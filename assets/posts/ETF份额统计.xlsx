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255" tabRatio="673"/>
  </bookViews>
  <sheets>
    <sheet name="行业etf数据02"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<sst xmlns="http://schemas.openxmlformats.org/spreadsheetml/2006/main" count="1190" uniqueCount="593">
  <si>
    <t>列1</t>
  </si>
  <si>
    <t>510300沪深300ETF</t>
  </si>
  <si>
    <t>列2</t>
  </si>
  <si>
    <t>列22</t>
  </si>
  <si>
    <t>列3</t>
  </si>
  <si>
    <t>列4</t>
  </si>
  <si>
    <t>列5</t>
  </si>
  <si>
    <t>列6</t>
  </si>
  <si>
    <t>列7</t>
  </si>
  <si>
    <t>510310易方达300</t>
  </si>
  <si>
    <t>列8</t>
  </si>
  <si>
    <t>列9</t>
  </si>
  <si>
    <t>列10</t>
  </si>
  <si>
    <t>列11</t>
  </si>
  <si>
    <t>列12</t>
  </si>
  <si>
    <t>列13</t>
  </si>
  <si>
    <t>列14</t>
  </si>
  <si>
    <t>510050 -  上证50ETF</t>
  </si>
  <si>
    <t>列15</t>
  </si>
  <si>
    <t>列16</t>
  </si>
  <si>
    <t>列17</t>
  </si>
  <si>
    <t>列18</t>
  </si>
  <si>
    <t>列19</t>
  </si>
  <si>
    <t>列20</t>
  </si>
  <si>
    <t>列21</t>
  </si>
  <si>
    <t>510500 -  中证500ETF</t>
  </si>
  <si>
    <t>列23</t>
  </si>
  <si>
    <t>列232</t>
  </si>
  <si>
    <t>列24</t>
  </si>
  <si>
    <t>列25</t>
  </si>
  <si>
    <t>列26</t>
  </si>
  <si>
    <t>列27</t>
  </si>
  <si>
    <t>列28</t>
  </si>
  <si>
    <t>512100 -  中证1000ETF</t>
  </si>
  <si>
    <t>列29</t>
  </si>
  <si>
    <t>列30</t>
  </si>
  <si>
    <t>列31</t>
  </si>
  <si>
    <t>列32</t>
  </si>
  <si>
    <t>列33</t>
  </si>
  <si>
    <t>列34</t>
  </si>
  <si>
    <t>列35</t>
  </si>
  <si>
    <t>159915 -  创业板</t>
  </si>
  <si>
    <t>列36</t>
  </si>
  <si>
    <t>列37</t>
  </si>
  <si>
    <t>列38</t>
  </si>
  <si>
    <t>列39</t>
  </si>
  <si>
    <t>列40</t>
  </si>
  <si>
    <t>列41</t>
  </si>
  <si>
    <t>列42</t>
  </si>
  <si>
    <t>列43</t>
  </si>
  <si>
    <t>159919 沪深300ETF嘉实</t>
  </si>
  <si>
    <t>列44</t>
  </si>
  <si>
    <t>列45</t>
  </si>
  <si>
    <t>列46</t>
  </si>
  <si>
    <t>列47</t>
  </si>
  <si>
    <t>列48</t>
  </si>
  <si>
    <t>列49</t>
  </si>
  <si>
    <t>列50</t>
  </si>
  <si>
    <t>159326 - 电网设备</t>
  </si>
  <si>
    <t>1</t>
  </si>
  <si>
    <t>列51</t>
  </si>
  <si>
    <t>列52</t>
  </si>
  <si>
    <t>列53</t>
  </si>
  <si>
    <t>列54</t>
  </si>
  <si>
    <t>列55</t>
  </si>
  <si>
    <t>列56</t>
  </si>
  <si>
    <t>159852-软件e</t>
  </si>
  <si>
    <t>2</t>
  </si>
  <si>
    <t>列57</t>
  </si>
  <si>
    <t>列58</t>
  </si>
  <si>
    <t>列59</t>
  </si>
  <si>
    <t>列60</t>
  </si>
  <si>
    <t>列61</t>
  </si>
  <si>
    <t>列62</t>
  </si>
  <si>
    <t>159870- 化工ETF</t>
  </si>
  <si>
    <t>3</t>
  </si>
  <si>
    <t>列63</t>
  </si>
  <si>
    <t>列64</t>
  </si>
  <si>
    <t>列65</t>
  </si>
  <si>
    <t>列66</t>
  </si>
  <si>
    <t>列67</t>
  </si>
  <si>
    <t>列68</t>
  </si>
  <si>
    <t>512400有色金属</t>
  </si>
  <si>
    <t>4</t>
  </si>
  <si>
    <t>列69</t>
  </si>
  <si>
    <t>列70</t>
  </si>
  <si>
    <t>列71</t>
  </si>
  <si>
    <t>列72</t>
  </si>
  <si>
    <t>列73</t>
  </si>
  <si>
    <t>列74</t>
  </si>
  <si>
    <t>516650有色金属ETF</t>
  </si>
  <si>
    <t>5</t>
  </si>
  <si>
    <t>列75</t>
  </si>
  <si>
    <t>列76</t>
  </si>
  <si>
    <t>列77</t>
  </si>
  <si>
    <t>列78</t>
  </si>
  <si>
    <t>列79</t>
  </si>
  <si>
    <t>列80</t>
  </si>
  <si>
    <t>517520 - 黄金股</t>
  </si>
  <si>
    <t>6</t>
  </si>
  <si>
    <t>列81</t>
  </si>
  <si>
    <t>列82</t>
  </si>
  <si>
    <t>列83</t>
  </si>
  <si>
    <t>列84</t>
  </si>
  <si>
    <t>列85</t>
  </si>
  <si>
    <t>列86</t>
  </si>
  <si>
    <t>159516 半导体设备ETF</t>
  </si>
  <si>
    <t>7</t>
  </si>
  <si>
    <t>列87</t>
  </si>
  <si>
    <t>列88</t>
  </si>
  <si>
    <t>列89</t>
  </si>
  <si>
    <t>列90</t>
  </si>
  <si>
    <t>列91</t>
  </si>
  <si>
    <t>列92</t>
  </si>
  <si>
    <t>512480 - 半导体</t>
  </si>
  <si>
    <t>8</t>
  </si>
  <si>
    <t>列93</t>
  </si>
  <si>
    <t>列94</t>
  </si>
  <si>
    <t>列95</t>
  </si>
  <si>
    <t>列96</t>
  </si>
  <si>
    <t>列97</t>
  </si>
  <si>
    <t>列98</t>
  </si>
  <si>
    <t>588200 - 科创芯片</t>
  </si>
  <si>
    <t>9</t>
  </si>
  <si>
    <t>列99</t>
  </si>
  <si>
    <t>列100</t>
  </si>
  <si>
    <t>列101</t>
  </si>
  <si>
    <t>列102</t>
  </si>
  <si>
    <t>列103</t>
  </si>
  <si>
    <t>列104</t>
  </si>
  <si>
    <t>588000 - 科创50</t>
  </si>
  <si>
    <t>10</t>
  </si>
  <si>
    <t>列105</t>
  </si>
  <si>
    <t>列106</t>
  </si>
  <si>
    <t>列107</t>
  </si>
  <si>
    <t>列108</t>
  </si>
  <si>
    <t>列109</t>
  </si>
  <si>
    <t>列110</t>
  </si>
  <si>
    <t>159819 - AI智能</t>
  </si>
  <si>
    <t>11</t>
  </si>
  <si>
    <t>列111</t>
  </si>
  <si>
    <t>列112</t>
  </si>
  <si>
    <t>列113</t>
  </si>
  <si>
    <t>列114</t>
  </si>
  <si>
    <t>列115</t>
  </si>
  <si>
    <t>列116</t>
  </si>
  <si>
    <t>515070 人工智能AIETF</t>
  </si>
  <si>
    <t>12</t>
  </si>
  <si>
    <t>列117</t>
  </si>
  <si>
    <t>列118</t>
  </si>
  <si>
    <t>列119</t>
  </si>
  <si>
    <t>列120</t>
  </si>
  <si>
    <t>列121</t>
  </si>
  <si>
    <t>列122</t>
  </si>
  <si>
    <t>512660 - 军工ETF</t>
  </si>
  <si>
    <t>13</t>
  </si>
  <si>
    <t>列123</t>
  </si>
  <si>
    <t>列124</t>
  </si>
  <si>
    <t>列125</t>
  </si>
  <si>
    <t>列126</t>
  </si>
  <si>
    <t>列127</t>
  </si>
  <si>
    <t>列3236</t>
  </si>
  <si>
    <t>159206 卫星ETF</t>
  </si>
  <si>
    <t>14</t>
  </si>
  <si>
    <t>列129</t>
  </si>
  <si>
    <t>列130</t>
  </si>
  <si>
    <t>列131</t>
  </si>
  <si>
    <t>列132</t>
  </si>
  <si>
    <t>列133</t>
  </si>
  <si>
    <t>列134</t>
  </si>
  <si>
    <t>562500 - 机器人</t>
  </si>
  <si>
    <t>15</t>
  </si>
  <si>
    <t>列135</t>
  </si>
  <si>
    <t>列136</t>
  </si>
  <si>
    <t>列137</t>
  </si>
  <si>
    <t>列138</t>
  </si>
  <si>
    <t>列139</t>
  </si>
  <si>
    <t>列140</t>
  </si>
  <si>
    <t>512170 - 医疗ETF</t>
  </si>
  <si>
    <t>16</t>
  </si>
  <si>
    <t>列141</t>
  </si>
  <si>
    <t>列142</t>
  </si>
  <si>
    <t>列143</t>
  </si>
  <si>
    <t>列144</t>
  </si>
  <si>
    <t>列145</t>
  </si>
  <si>
    <t>列146</t>
  </si>
  <si>
    <t>512010 - 医药ETF</t>
  </si>
  <si>
    <t>17</t>
  </si>
  <si>
    <t>列147</t>
  </si>
  <si>
    <t>列148</t>
  </si>
  <si>
    <t>列149</t>
  </si>
  <si>
    <t>列150</t>
  </si>
  <si>
    <t>列151</t>
  </si>
  <si>
    <t>列152</t>
  </si>
  <si>
    <t>159992 - 创新药</t>
  </si>
  <si>
    <t>18</t>
  </si>
  <si>
    <t>列153</t>
  </si>
  <si>
    <t>列154</t>
  </si>
  <si>
    <t>列155</t>
  </si>
  <si>
    <t>列156</t>
  </si>
  <si>
    <t>列157</t>
  </si>
  <si>
    <t>列158</t>
  </si>
  <si>
    <t>515790 - 光伏ETF</t>
  </si>
  <si>
    <t>19</t>
  </si>
  <si>
    <t>列159</t>
  </si>
  <si>
    <t>列160</t>
  </si>
  <si>
    <t>列161</t>
  </si>
  <si>
    <t>列162</t>
  </si>
  <si>
    <t>列163</t>
  </si>
  <si>
    <t>列164</t>
  </si>
  <si>
    <t>159755 - 电池ETF</t>
  </si>
  <si>
    <t>20</t>
  </si>
  <si>
    <t>列165</t>
  </si>
  <si>
    <t>列166</t>
  </si>
  <si>
    <t>列167</t>
  </si>
  <si>
    <t>列168</t>
  </si>
  <si>
    <t>列169</t>
  </si>
  <si>
    <t>列170</t>
  </si>
  <si>
    <t>516970 - 基建50</t>
  </si>
  <si>
    <t>21</t>
  </si>
  <si>
    <t>列171</t>
  </si>
  <si>
    <t>列172</t>
  </si>
  <si>
    <t>列173</t>
  </si>
  <si>
    <t>列174</t>
  </si>
  <si>
    <t>列175</t>
  </si>
  <si>
    <t>列176</t>
  </si>
  <si>
    <t>159745 - 建材ETF</t>
  </si>
  <si>
    <t>22</t>
  </si>
  <si>
    <t>列177</t>
  </si>
  <si>
    <t>列178</t>
  </si>
  <si>
    <t>列179</t>
  </si>
  <si>
    <t>列180</t>
  </si>
  <si>
    <t>列181</t>
  </si>
  <si>
    <t>列182</t>
  </si>
  <si>
    <t>512200 房地产ETF</t>
  </si>
  <si>
    <t>23</t>
  </si>
  <si>
    <t>列183</t>
  </si>
  <si>
    <t>列184</t>
  </si>
  <si>
    <t>列185</t>
  </si>
  <si>
    <t>列186</t>
  </si>
  <si>
    <t>列187</t>
  </si>
  <si>
    <t>列188</t>
  </si>
  <si>
    <t>159611 - 电力ETF</t>
  </si>
  <si>
    <t>24</t>
  </si>
  <si>
    <t>列189</t>
  </si>
  <si>
    <t>列190</t>
  </si>
  <si>
    <t>列191</t>
  </si>
  <si>
    <t>列192</t>
  </si>
  <si>
    <t>列193</t>
  </si>
  <si>
    <t>列194</t>
  </si>
  <si>
    <t>516510 - 云计算</t>
  </si>
  <si>
    <t>25</t>
  </si>
  <si>
    <t>列195</t>
  </si>
  <si>
    <t>列196</t>
  </si>
  <si>
    <t>列197</t>
  </si>
  <si>
    <t>列198</t>
  </si>
  <si>
    <t>列199</t>
  </si>
  <si>
    <t>列200</t>
  </si>
  <si>
    <t>512880 - 证券ETF</t>
  </si>
  <si>
    <t>26</t>
  </si>
  <si>
    <t>列201</t>
  </si>
  <si>
    <t>列202</t>
  </si>
  <si>
    <t>列203</t>
  </si>
  <si>
    <t>列204</t>
  </si>
  <si>
    <t>列205</t>
  </si>
  <si>
    <t>列206</t>
  </si>
  <si>
    <t>512800 - 银行ETF</t>
  </si>
  <si>
    <t>27</t>
  </si>
  <si>
    <t>列207</t>
  </si>
  <si>
    <t>列208</t>
  </si>
  <si>
    <t>列209</t>
  </si>
  <si>
    <t>列210</t>
  </si>
  <si>
    <t>列211</t>
  </si>
  <si>
    <t>列3250</t>
  </si>
  <si>
    <t>159851 - 金融科技ETF</t>
  </si>
  <si>
    <t>28</t>
  </si>
  <si>
    <t>列213</t>
  </si>
  <si>
    <t>列214</t>
  </si>
  <si>
    <t>列215</t>
  </si>
  <si>
    <t>列216</t>
  </si>
  <si>
    <t>列217</t>
  </si>
  <si>
    <t>列3251</t>
  </si>
  <si>
    <t>513090 - 香港证券</t>
  </si>
  <si>
    <t>29</t>
  </si>
  <si>
    <t>列219</t>
  </si>
  <si>
    <t>列220</t>
  </si>
  <si>
    <t>列221</t>
  </si>
  <si>
    <t>列2222</t>
  </si>
  <si>
    <t>列223</t>
  </si>
  <si>
    <t>列3252</t>
  </si>
  <si>
    <t>159920 - 恒生ETF</t>
  </si>
  <si>
    <t>30</t>
  </si>
  <si>
    <t>列225</t>
  </si>
  <si>
    <t>列226</t>
  </si>
  <si>
    <t>列227</t>
  </si>
  <si>
    <t>列228</t>
  </si>
  <si>
    <t>列229</t>
  </si>
  <si>
    <t>列230</t>
  </si>
  <si>
    <t>513180 - 恒指科技</t>
  </si>
  <si>
    <t>31</t>
  </si>
  <si>
    <t>列231</t>
  </si>
  <si>
    <t>列2322</t>
  </si>
  <si>
    <t>列233</t>
  </si>
  <si>
    <t>列234</t>
  </si>
  <si>
    <t>列235</t>
  </si>
  <si>
    <t>列236</t>
  </si>
  <si>
    <t>159567 港股创新药ETF</t>
  </si>
  <si>
    <t>32</t>
  </si>
  <si>
    <t>列237</t>
  </si>
  <si>
    <t>列238</t>
  </si>
  <si>
    <t>列239</t>
  </si>
  <si>
    <t>列240</t>
  </si>
  <si>
    <t>列241</t>
  </si>
  <si>
    <t>列242</t>
  </si>
  <si>
    <t>516150 - 稀土基金</t>
  </si>
  <si>
    <t>33</t>
  </si>
  <si>
    <t>列243</t>
  </si>
  <si>
    <t>列244</t>
  </si>
  <si>
    <t>列245</t>
  </si>
  <si>
    <t>列246</t>
  </si>
  <si>
    <t>列247</t>
  </si>
  <si>
    <t>列248</t>
  </si>
  <si>
    <t>512690 - 酒ETF</t>
  </si>
  <si>
    <t>34</t>
  </si>
  <si>
    <t>列249</t>
  </si>
  <si>
    <t>列250</t>
  </si>
  <si>
    <t>列251</t>
  </si>
  <si>
    <t>列252</t>
  </si>
  <si>
    <t>列253</t>
  </si>
  <si>
    <t>列254</t>
  </si>
  <si>
    <t>159928 - 消费ETF</t>
  </si>
  <si>
    <t>35</t>
  </si>
  <si>
    <t>列255</t>
  </si>
  <si>
    <t>列256</t>
  </si>
  <si>
    <t>列257</t>
  </si>
  <si>
    <t>列258</t>
  </si>
  <si>
    <t>列259</t>
  </si>
  <si>
    <t>列260</t>
  </si>
  <si>
    <t>515220 - 煤炭ETF</t>
  </si>
  <si>
    <t>36</t>
  </si>
  <si>
    <t>列261</t>
  </si>
  <si>
    <t>列262</t>
  </si>
  <si>
    <t>列263</t>
  </si>
  <si>
    <t>列264</t>
  </si>
  <si>
    <t>列265</t>
  </si>
  <si>
    <t>列266</t>
  </si>
  <si>
    <t>列267</t>
  </si>
  <si>
    <t>159998 计算机ETF</t>
  </si>
  <si>
    <t>37</t>
  </si>
  <si>
    <t>列269</t>
  </si>
  <si>
    <t>列270</t>
  </si>
  <si>
    <t>列271</t>
  </si>
  <si>
    <t>列272</t>
  </si>
  <si>
    <t>列273</t>
  </si>
  <si>
    <t>列274</t>
  </si>
  <si>
    <t>列275</t>
  </si>
  <si>
    <t xml:space="preserve">561360 石油ETF </t>
  </si>
  <si>
    <t>38</t>
  </si>
  <si>
    <t>列277</t>
  </si>
  <si>
    <t>列278</t>
  </si>
  <si>
    <t>列279</t>
  </si>
  <si>
    <t>列280</t>
  </si>
  <si>
    <t>列281</t>
  </si>
  <si>
    <t>列282</t>
  </si>
  <si>
    <t>列283</t>
  </si>
  <si>
    <t xml:space="preserve">510170 大宗商品ETF </t>
  </si>
  <si>
    <t>39</t>
  </si>
  <si>
    <t>列285</t>
  </si>
  <si>
    <t>列286</t>
  </si>
  <si>
    <t>列287</t>
  </si>
  <si>
    <t>列288</t>
  </si>
  <si>
    <t>列289</t>
  </si>
  <si>
    <t>列290</t>
  </si>
  <si>
    <t>列291</t>
  </si>
  <si>
    <t>列292</t>
  </si>
  <si>
    <t>红利低波ETF 512890</t>
  </si>
  <si>
    <t>40</t>
  </si>
  <si>
    <t>列294</t>
  </si>
  <si>
    <t>列295</t>
  </si>
  <si>
    <t>列296</t>
  </si>
  <si>
    <t>列297</t>
  </si>
  <si>
    <t>列298</t>
  </si>
  <si>
    <t>列299</t>
  </si>
  <si>
    <t>中药ETF 560080</t>
  </si>
  <si>
    <t>41</t>
  </si>
  <si>
    <t>列300</t>
  </si>
  <si>
    <t>列301</t>
  </si>
  <si>
    <t>列302</t>
  </si>
  <si>
    <t>列303</t>
  </si>
  <si>
    <t>列304</t>
  </si>
  <si>
    <t>列305</t>
  </si>
  <si>
    <t>511130 - 国债30年</t>
  </si>
  <si>
    <t>42</t>
  </si>
  <si>
    <t>列306</t>
  </si>
  <si>
    <t>列307</t>
  </si>
  <si>
    <t>列308</t>
  </si>
  <si>
    <t>列309</t>
  </si>
  <si>
    <t>列310</t>
  </si>
  <si>
    <t>列311</t>
  </si>
  <si>
    <t>511260-十年国债</t>
  </si>
  <si>
    <t>43</t>
  </si>
  <si>
    <t>列312</t>
  </si>
  <si>
    <t>列313</t>
  </si>
  <si>
    <t>列314</t>
  </si>
  <si>
    <t>列315</t>
  </si>
  <si>
    <t>列316</t>
  </si>
  <si>
    <t>列317</t>
  </si>
  <si>
    <t>列318</t>
  </si>
  <si>
    <t>豆粕ETF华夏159985</t>
  </si>
  <si>
    <t>列320</t>
  </si>
  <si>
    <t>列321</t>
  </si>
  <si>
    <t>列322</t>
  </si>
  <si>
    <t>列323</t>
  </si>
  <si>
    <t>列224</t>
  </si>
  <si>
    <t>列268</t>
  </si>
  <si>
    <t>列276</t>
  </si>
  <si>
    <t>列284</t>
  </si>
  <si>
    <t>列293</t>
  </si>
  <si>
    <t>列3212</t>
  </si>
  <si>
    <t>列3222</t>
  </si>
  <si>
    <t>列3232</t>
  </si>
  <si>
    <t>列324</t>
  </si>
  <si>
    <t>列325</t>
  </si>
  <si>
    <t>列326</t>
  </si>
  <si>
    <t>列3202</t>
  </si>
  <si>
    <t>市值（亿）</t>
  </si>
  <si>
    <t>差值(亿）</t>
  </si>
  <si>
    <t>周环比差值</t>
  </si>
  <si>
    <t>周环比差%</t>
  </si>
  <si>
    <t>月环比差%</t>
  </si>
  <si>
    <t>2026//2/27</t>
  </si>
  <si>
    <t>日期</t>
  </si>
  <si>
    <t>当日盘前份额</t>
  </si>
  <si>
    <t>前日盘前份额</t>
  </si>
  <si>
    <t>盘前份额增长</t>
  </si>
  <si>
    <t>盘前份额涨幅</t>
  </si>
  <si>
    <t>净值</t>
  </si>
  <si>
    <t>周份额增减</t>
  </si>
  <si>
    <t>月份额增减</t>
  </si>
  <si>
    <t>场内份额</t>
  </si>
  <si>
    <t>场内新增</t>
  </si>
  <si>
    <t>份额涨幅</t>
  </si>
  <si>
    <t>(万份)</t>
  </si>
  <si>
    <t>ETF代码</t>
  </si>
  <si>
    <t>2026//6/8</t>
  </si>
  <si>
    <t>2026//6/05</t>
  </si>
  <si>
    <t>2026//6/03</t>
  </si>
  <si>
    <t>2026//6/02</t>
  </si>
  <si>
    <t>2026//6/01</t>
  </si>
  <si>
    <t>2026//5/29</t>
  </si>
  <si>
    <t>2026//5/28</t>
  </si>
  <si>
    <t>2026//5/27</t>
  </si>
  <si>
    <t>2026//5/26</t>
  </si>
  <si>
    <t>2026//5/25</t>
  </si>
  <si>
    <t>2026//5/22</t>
  </si>
  <si>
    <t>2026//5/21</t>
  </si>
  <si>
    <t>2026//5/20</t>
  </si>
  <si>
    <t>2026//5/19</t>
  </si>
  <si>
    <t>2026//5/18</t>
  </si>
  <si>
    <t>2026//5/15</t>
  </si>
  <si>
    <t>2026//5/14</t>
  </si>
  <si>
    <t>2026//5/13</t>
  </si>
  <si>
    <t>2026//5/12</t>
  </si>
  <si>
    <t>2026//5/11</t>
  </si>
  <si>
    <t>2026//5/8</t>
  </si>
  <si>
    <t>2026//5/7</t>
  </si>
  <si>
    <t>2026//5/6</t>
  </si>
  <si>
    <t>2026//4/30</t>
  </si>
  <si>
    <t>2026//4/29</t>
  </si>
  <si>
    <t>2026//4/28</t>
  </si>
  <si>
    <t>2026//4/27</t>
  </si>
  <si>
    <t>2026//4/24</t>
  </si>
  <si>
    <t>2026//4/23</t>
  </si>
  <si>
    <t>2026//4/22</t>
  </si>
  <si>
    <t>2026//4/21</t>
  </si>
  <si>
    <t>2026//4/20</t>
  </si>
  <si>
    <t>2026//4/17</t>
  </si>
  <si>
    <t>2026//4/16</t>
  </si>
  <si>
    <t>·</t>
  </si>
  <si>
    <t>2026//4/15</t>
  </si>
  <si>
    <t>2026//4/14</t>
  </si>
  <si>
    <t>2026//4/13</t>
  </si>
  <si>
    <t>这周少一天</t>
  </si>
  <si>
    <t>2026//4/10</t>
  </si>
  <si>
    <t>2026//4/9</t>
  </si>
  <si>
    <t>2026//4/8</t>
  </si>
  <si>
    <t>2026//4/7</t>
  </si>
  <si>
    <t>2026//4/3</t>
  </si>
  <si>
    <t>2026//4/2</t>
  </si>
  <si>
    <t>2026//4/1</t>
  </si>
  <si>
    <t>2026//3/31</t>
  </si>
  <si>
    <t>2026//3/30</t>
  </si>
  <si>
    <t>2026//3/27</t>
  </si>
  <si>
    <t>拆分1:2</t>
  </si>
  <si>
    <t>2026//3/26</t>
  </si>
  <si>
    <t>2026//3/25</t>
  </si>
  <si>
    <t>2026//3/24</t>
  </si>
  <si>
    <t>2026//3/23</t>
  </si>
  <si>
    <t>2026//3/20</t>
  </si>
  <si>
    <t>2026//3/19</t>
  </si>
  <si>
    <t>2026//3/18</t>
  </si>
  <si>
    <t>2026//3/17</t>
  </si>
  <si>
    <t>2026//3/16</t>
  </si>
  <si>
    <t>2026//3/13</t>
  </si>
  <si>
    <t>2026//3/12</t>
  </si>
  <si>
    <t>2026//3/11</t>
  </si>
  <si>
    <t>2026//3/10</t>
  </si>
  <si>
    <t>2026//3/9</t>
  </si>
  <si>
    <t>2026//3/6</t>
  </si>
  <si>
    <t>2026//3/5</t>
  </si>
  <si>
    <t>2026//3/4</t>
  </si>
  <si>
    <t>2026//3/3</t>
  </si>
  <si>
    <t>2026//3/2</t>
  </si>
  <si>
    <t>2026//2/26</t>
  </si>
  <si>
    <t>2026//2/25</t>
  </si>
  <si>
    <t>2026//2/24</t>
  </si>
  <si>
    <t>2026//2/13</t>
  </si>
  <si>
    <t>2026//2/12</t>
  </si>
  <si>
    <t>2026//2/11</t>
  </si>
  <si>
    <t>2026//2/10</t>
  </si>
  <si>
    <t>2026//2/9</t>
  </si>
  <si>
    <t>2026//2//6</t>
  </si>
  <si>
    <t>2026//2//5</t>
  </si>
  <si>
    <t>2026//2//4</t>
  </si>
  <si>
    <t>2026//2//3</t>
  </si>
  <si>
    <t>2026//2//2</t>
  </si>
  <si>
    <t>2026//1//30</t>
  </si>
  <si>
    <t>2026//1//29</t>
  </si>
  <si>
    <t>2026//1//28</t>
  </si>
  <si>
    <t>2026//1//27</t>
  </si>
  <si>
    <t>2026//1//26</t>
  </si>
  <si>
    <t>2026//1//23</t>
  </si>
  <si>
    <t>147689 </t>
  </si>
  <si>
    <t>2026//1//22</t>
  </si>
  <si>
    <t>2026//1//21</t>
  </si>
  <si>
    <t>2026//1//20</t>
  </si>
  <si>
    <t>2026//1//19</t>
  </si>
  <si>
    <t>2026//1//16</t>
  </si>
  <si>
    <t>2026//1//15</t>
  </si>
  <si>
    <t>2026//1//14</t>
  </si>
  <si>
    <t>2026//1//13</t>
  </si>
  <si>
    <t>2026//1//12</t>
  </si>
  <si>
    <t>2026//1//9</t>
  </si>
  <si>
    <t>2026//1//8</t>
  </si>
  <si>
    <t>2026//1//7</t>
  </si>
  <si>
    <t>2026//1//6</t>
  </si>
  <si>
    <t>2026//1//5</t>
  </si>
  <si>
    <t>2025//12//31</t>
  </si>
  <si>
    <t>2025//12//30</t>
  </si>
  <si>
    <t>2025//12//29</t>
  </si>
  <si>
    <t>2025//12//26</t>
  </si>
  <si>
    <t>2025//12//25</t>
  </si>
  <si>
    <t>2025//12//24</t>
  </si>
  <si>
    <t>2025//12//23</t>
  </si>
  <si>
    <t>2025//12//22</t>
  </si>
  <si>
    <t>2025//12//19</t>
  </si>
  <si>
    <t>2025//12//18</t>
  </si>
  <si>
    <t>2025//12//17</t>
  </si>
  <si>
    <t>2025//12//16</t>
  </si>
  <si>
    <t>2025//12//15</t>
  </si>
  <si>
    <t>2025//12//12</t>
  </si>
  <si>
    <t>2025//12//11</t>
  </si>
  <si>
    <t>2025//12//10</t>
  </si>
  <si>
    <t>2025//12//9</t>
  </si>
  <si>
    <t>2025//12//8</t>
  </si>
  <si>
    <t>2025//12//5</t>
  </si>
  <si>
    <t>2025//12//4</t>
  </si>
  <si>
    <t>2025//12//3</t>
  </si>
  <si>
    <t>2025//12//2</t>
  </si>
  <si>
    <t>2025//12//1</t>
  </si>
  <si>
    <t>2025//11//28</t>
  </si>
  <si>
    <t>2025//11//27</t>
  </si>
  <si>
    <t>2025//11//26</t>
  </si>
  <si>
    <t>2025//11//25</t>
  </si>
  <si>
    <t>2025//11//24</t>
  </si>
  <si>
    <t>2025//11//21</t>
  </si>
  <si>
    <t>2025//11//20</t>
  </si>
  <si>
    <t>2025//11//19</t>
  </si>
  <si>
    <t>2025//11//18</t>
  </si>
  <si>
    <t>2025//11//17</t>
  </si>
  <si>
    <t>2025//11//14</t>
  </si>
  <si>
    <t>2025//11//13</t>
  </si>
  <si>
    <t>2025//11//12</t>
  </si>
  <si>
    <t>2025//11//11</t>
  </si>
  <si>
    <t>2025//11//10</t>
  </si>
  <si>
    <t>2025//11//7</t>
  </si>
  <si>
    <t>2025//11//6</t>
  </si>
  <si>
    <t>2025//11//5</t>
  </si>
  <si>
    <t>2025//11//4</t>
  </si>
  <si>
    <t>2025//11//3</t>
  </si>
  <si>
    <t>2025//10//31</t>
  </si>
  <si>
    <t>2025//10//30</t>
  </si>
  <si>
    <t>2025//10//29</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</si>
</sst>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_ "/>
    <numFmt numFmtId="178" formatCode="yyyy&quot;年&quot;m&quot;月&quot;d&quot;日&quot;;@"/>
  </numFmts>
  <fonts count="88">
    <font>
      <sz val="11"/>
      <color theme="1"/>
      <name val="宋体"/>
      <charset val="134"/>
      <scheme val="minor"/>
    </font>
    <font>
      <b/>
      <sz val="14"/>
      <color theme="1"/>
      <name val="宋体"/>
      <charset val="134"/>
      <scheme val="minor"/>
    </font>
    <font>
      <b/>
      <sz val="18"/>
      <color rgb="FFFF0000"/>
      <name val="宋体"/>
      <charset val="134"/>
      <scheme val="minor"/>
    </font>
    <font>
      <sz val="14"/>
      <color theme="1"/>
      <name val="宋体"/>
      <charset val="134"/>
      <scheme val="minor"/>
    </font>
    <font>
      <sz val="14"/>
      <color theme="1"/>
      <name val="微软雅黑"/>
      <charset val="134"/>
    </font>
    <font>
      <b/>
      <sz val="14"/>
      <color theme="1"/>
      <name val="微软雅黑"/>
      <charset val="134"/>
    </font>
    <font>
      <sz val="14"/>
      <name val="微软雅黑"/>
      <charset val="134"/>
    </font>
    <font>
      <sz val="14"/>
      <color theme="1"/>
      <name val="Arial"/>
      <charset val="134"/>
    </font>
    <font>
      <sz val="14"/>
      <color theme="1"/>
      <name val="黑体"/>
      <charset val="134"/>
    </font>
    <font>
      <b/>
      <sz val="18"/>
      <color theme="1"/>
      <name val="微软雅黑"/>
      <charset val="134"/>
    </font>
    <font>
      <b/>
      <sz val="18"/>
      <color theme="1"/>
      <name val="宋体"/>
      <charset val="134"/>
      <scheme val="minor"/>
    </font>
    <font>
      <b/>
      <sz val="18"/>
      <color theme="1"/>
      <name val="宋体"/>
      <charset val="134"/>
    </font>
    <font>
      <b/>
      <sz val="18"/>
      <color rgb="FFFF0000"/>
      <name val="Microsoft YaHei"/>
      <charset val="134"/>
    </font>
    <font>
      <b/>
      <sz val="18"/>
      <color rgb="FFFF0000"/>
      <name val="宋体"/>
      <charset val="134"/>
    </font>
    <font>
      <b/>
      <sz val="14"/>
      <color rgb="FF4372BA"/>
      <name val="宋体"/>
      <charset val="134"/>
    </font>
    <font>
      <b/>
      <sz val="14"/>
      <color rgb="FF4D4D4D"/>
      <name val="宋体"/>
      <charset val="134"/>
    </font>
    <font>
      <b/>
      <sz val="18"/>
      <color rgb="FFFF0000"/>
      <name val="Arial"/>
      <charset val="134"/>
    </font>
    <font>
      <b/>
      <sz val="14"/>
      <color rgb="FF4D4D4D"/>
      <name val="Arial"/>
      <charset val="134"/>
    </font>
    <font>
      <b/>
      <sz val="18"/>
      <color rgb="FFFF0000"/>
      <name val="黑体"/>
      <charset val="134"/>
    </font>
    <font>
      <b/>
      <sz val="14"/>
      <color theme="1"/>
      <name val="黑体"/>
      <charset val="134"/>
    </font>
    <font>
      <b/>
      <sz val="18"/>
      <color rgb="FFFF0000"/>
      <name val="Segoe UI"/>
      <charset val="134"/>
    </font>
    <font>
      <b/>
      <sz val="14"/>
      <color rgb="FF333333"/>
      <name val="Segoe UI"/>
      <charset val="134"/>
    </font>
    <font>
      <b/>
      <sz val="14"/>
      <color rgb="FF333333"/>
      <name val="宋体"/>
      <charset val="134"/>
    </font>
    <font>
      <b/>
      <sz val="20"/>
      <name val="宋体"/>
      <charset val="134"/>
    </font>
    <font>
      <b/>
      <sz val="18"/>
      <color rgb="FFFF0000"/>
      <name val="微软雅黑"/>
      <charset val="134"/>
    </font>
    <font>
      <b/>
      <sz val="14"/>
      <color rgb="FFFF0000"/>
      <name val="黑体"/>
      <charset val="134"/>
    </font>
    <font>
      <sz val="14"/>
      <color theme="1"/>
      <name val="Microsoft YaHei"/>
      <charset val="134"/>
    </font>
    <font>
      <b/>
      <sz val="14"/>
      <color theme="1"/>
      <name val="宋体"/>
      <charset val="134"/>
    </font>
    <font>
      <sz val="14"/>
      <color theme="1"/>
      <name val="Segoe UI"/>
      <charset val="134"/>
    </font>
    <font>
      <sz val="14"/>
      <color rgb="FF4D4D4D"/>
      <name val="Arial"/>
      <charset val="134"/>
    </font>
    <font>
      <sz val="14"/>
      <color rgb="FF333333"/>
      <name val="Segoe UI"/>
      <charset val="134"/>
    </font>
    <font>
      <sz val="14"/>
      <color theme="1"/>
      <name val="宋体"/>
      <charset val="134"/>
    </font>
    <font>
      <sz val="14"/>
      <color rgb="FF333333"/>
      <name val="宋体"/>
      <charset val="134"/>
    </font>
    <font>
      <b/>
      <sz val="14"/>
      <color rgb="FF333333"/>
      <name val="Microsoft YaHei"/>
      <charset val="134"/>
    </font>
    <font>
      <b/>
      <sz val="14"/>
      <color theme="1"/>
      <name val="Microsoft YaHei"/>
      <charset val="134"/>
    </font>
    <font>
      <sz val="14"/>
      <color rgb="FF333333"/>
      <name val="Arial"/>
      <charset val="134"/>
    </font>
    <font>
      <sz val="14"/>
      <color rgb="FF333333"/>
      <name val="黑体"/>
      <charset val="134"/>
    </font>
    <font>
      <sz val="14"/>
      <color rgb="FF333333"/>
      <name val="微软雅黑"/>
      <charset val="134"/>
    </font>
    <font>
      <sz val="14"/>
      <color rgb="FF3D3D3D"/>
      <name val="Arial"/>
      <charset val="134"/>
    </font>
    <font>
      <b/>
      <sz val="14"/>
      <color rgb="FF333333"/>
      <name val="Arial"/>
      <charset val="134"/>
    </font>
    <font>
      <b/>
      <sz val="14"/>
      <color rgb="FF333333"/>
      <name val="微软雅黑"/>
      <charset val="134"/>
    </font>
    <font>
      <b/>
      <sz val="14"/>
      <name val="微软雅黑"/>
      <charset val="134"/>
    </font>
    <font>
      <b/>
      <sz val="14"/>
      <color rgb="FF3D3D3D"/>
      <name val="Arial"/>
      <charset val="134"/>
    </font>
    <font>
      <b/>
      <sz val="14"/>
      <name val="Calibri"/>
      <charset val="134"/>
    </font>
    <font>
      <b/>
      <sz val="14"/>
      <name val="黑体"/>
      <charset val="134"/>
    </font>
    <font>
      <sz val="11"/>
      <color indexed="8"/>
      <name val="宋体"/>
      <charset val="134"/>
      <scheme val="minor"/>
    </font>
    <font>
      <sz val="14"/>
      <name val="黑体"/>
      <charset val="134"/>
    </font>
    <font>
      <sz val="12"/>
      <color rgb="FF333333"/>
      <name val="Segoe UI"/>
      <charset val="134"/>
    </font>
    <font>
      <sz val="9"/>
      <color rgb="FF333333"/>
      <name val="宋体"/>
      <charset val="134"/>
    </font>
    <font>
      <sz val="14"/>
      <name val="Segoe UI"/>
      <charset val="134"/>
    </font>
    <font>
      <sz val="14"/>
      <name val="Arial"/>
      <charset val="134"/>
    </font>
    <font>
      <sz val="14"/>
      <name val="宋体"/>
      <charset val="134"/>
      <scheme val="minor"/>
    </font>
    <font>
      <sz val="14"/>
      <name val="宋体"/>
      <charset val="134"/>
    </font>
    <font>
      <sz val="14"/>
      <color rgb="FF3D3D3D"/>
      <name val="黑体"/>
      <charset val="134"/>
    </font>
    <font>
      <sz val="14"/>
      <color rgb="FF00B050"/>
      <name val="Arial"/>
      <charset val="134"/>
    </font>
    <font>
      <sz val="14"/>
      <color rgb="FFFF0000"/>
      <name val="Arial"/>
      <charset val="134"/>
    </font>
    <font>
      <sz val="14"/>
      <color rgb="FF3D3D3D"/>
      <name val="微软雅黑"/>
      <charset val="134"/>
    </font>
    <font>
      <sz val="14"/>
      <color rgb="FF00B050"/>
      <name val="微软雅黑"/>
      <charset val="134"/>
    </font>
    <font>
      <sz val="14"/>
      <color rgb="FFFF0000"/>
      <name val="微软雅黑"/>
      <charset val="134"/>
    </font>
    <font>
      <sz val="14"/>
      <color rgb="FF337AB7"/>
      <name val="Arial"/>
      <charset val="134"/>
    </font>
    <font>
      <sz val="14"/>
      <color rgb="FF337AB7"/>
      <name val="宋体"/>
      <charset val="134"/>
    </font>
    <font>
      <sz val="14"/>
      <color rgb="FF337AB7"/>
      <name val="微软雅黑"/>
      <charset val="134"/>
    </font>
    <font>
      <sz val="14"/>
      <color theme="9"/>
      <name val="微软雅黑"/>
      <charset val="134"/>
    </font>
    <font>
      <sz val="14"/>
      <color rgb="FF008000"/>
      <name val="Arial"/>
      <charset val="134"/>
    </font>
    <font>
      <sz val="14"/>
      <color rgb="FFDB3338"/>
      <name val="微软雅黑"/>
      <charset val="134"/>
    </font>
    <font>
      <sz val="14"/>
      <color rgb="FF008000"/>
      <name val="微软雅黑"/>
      <charset val="134"/>
    </font>
    <font>
      <sz val="14"/>
      <color theme="7" tint="-0.25"/>
      <name val="Arial"/>
      <charset val="134"/>
    </font>
    <font>
      <sz val="14"/>
      <color rgb="FF3D3D3D"/>
      <name val="宋体"/>
      <charset val="134"/>
    </font>
    <font>
      <sz val="14"/>
      <color rgb="FF555555"/>
      <name val="微软雅黑"/>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45">
    <fill>
      <patternFill patternType="none"/>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69" fillId="0" borderId="0">
      <alignment vertical="center"/>
    </xf>
    <xf numFmtId="0" fontId="70" fillId="0" borderId="0">
      <alignment vertical="center"/>
    </xf>
    <xf numFmtId="0" fontId="0" fillId="16" borderId="6">
      <alignment vertical="center"/>
    </xf>
    <xf numFmtId="0" fontId="71" fillId="0" borderId="0">
      <alignment vertical="center"/>
    </xf>
    <xf numFmtId="0" fontId="72" fillId="0" borderId="0">
      <alignment vertical="center"/>
    </xf>
    <xf numFmtId="0" fontId="73" fillId="0" borderId="0">
      <alignment vertical="center"/>
    </xf>
    <xf numFmtId="0" fontId="74" fillId="0" borderId="7">
      <alignment vertical="center"/>
    </xf>
    <xf numFmtId="0" fontId="75" fillId="0" borderId="7">
      <alignment vertical="center"/>
    </xf>
    <xf numFmtId="0" fontId="76" fillId="0" borderId="8">
      <alignment vertical="center"/>
    </xf>
    <xf numFmtId="0" fontId="76" fillId="0" borderId="0">
      <alignment vertical="center"/>
    </xf>
    <xf numFmtId="0" fontId="77" fillId="17" borderId="9">
      <alignment vertical="center"/>
    </xf>
    <xf numFmtId="0" fontId="78" fillId="18" borderId="10">
      <alignment vertical="center"/>
    </xf>
    <xf numFmtId="0" fontId="79" fillId="18" borderId="9">
      <alignment vertical="center"/>
    </xf>
    <xf numFmtId="0" fontId="80" fillId="19" borderId="11">
      <alignment vertical="center"/>
    </xf>
    <xf numFmtId="0" fontId="81" fillId="0" borderId="12">
      <alignment vertical="center"/>
    </xf>
    <xf numFmtId="0" fontId="82" fillId="0" borderId="13">
      <alignment vertical="center"/>
    </xf>
    <xf numFmtId="0" fontId="83" fillId="20" borderId="0">
      <alignment vertical="center"/>
    </xf>
    <xf numFmtId="0" fontId="84" fillId="21" borderId="0">
      <alignment vertical="center"/>
    </xf>
    <xf numFmtId="0" fontId="85" fillId="22" borderId="0">
      <alignment vertical="center"/>
    </xf>
    <xf numFmtId="0" fontId="86" fillId="9" borderId="0">
      <alignment vertical="center"/>
    </xf>
    <xf numFmtId="0" fontId="87" fillId="23" borderId="0">
      <alignment vertical="center"/>
    </xf>
    <xf numFmtId="0" fontId="87" fillId="24" borderId="0">
      <alignment vertical="center"/>
    </xf>
    <xf numFmtId="0" fontId="86" fillId="25" borderId="0">
      <alignment vertical="center"/>
    </xf>
    <xf numFmtId="0" fontId="86" fillId="10" borderId="0">
      <alignment vertical="center"/>
    </xf>
    <xf numFmtId="0" fontId="87" fillId="26" borderId="0">
      <alignment vertical="center"/>
    </xf>
    <xf numFmtId="0" fontId="87" fillId="27" borderId="0">
      <alignment vertical="center"/>
    </xf>
    <xf numFmtId="0" fontId="86" fillId="28" borderId="0">
      <alignment vertical="center"/>
    </xf>
    <xf numFmtId="0" fontId="86" fillId="29" borderId="0">
      <alignment vertical="center"/>
    </xf>
    <xf numFmtId="0" fontId="87" fillId="30" borderId="0">
      <alignment vertical="center"/>
    </xf>
    <xf numFmtId="0" fontId="87" fillId="31" borderId="0">
      <alignment vertical="center"/>
    </xf>
    <xf numFmtId="0" fontId="86" fillId="32" borderId="0">
      <alignment vertical="center"/>
    </xf>
    <xf numFmtId="0" fontId="86" fillId="33" borderId="0">
      <alignment vertical="center"/>
    </xf>
    <xf numFmtId="0" fontId="87" fillId="34" borderId="0">
      <alignment vertical="center"/>
    </xf>
    <xf numFmtId="0" fontId="87" fillId="35" borderId="0">
      <alignment vertical="center"/>
    </xf>
    <xf numFmtId="0" fontId="86" fillId="36" borderId="0">
      <alignment vertical="center"/>
    </xf>
    <xf numFmtId="0" fontId="86" fillId="37" borderId="0">
      <alignment vertical="center"/>
    </xf>
    <xf numFmtId="0" fontId="87" fillId="38" borderId="0">
      <alignment vertical="center"/>
    </xf>
    <xf numFmtId="0" fontId="87" fillId="39" borderId="0">
      <alignment vertical="center"/>
    </xf>
    <xf numFmtId="0" fontId="86" fillId="40" borderId="0">
      <alignment vertical="center"/>
    </xf>
    <xf numFmtId="0" fontId="86" fillId="41" borderId="0">
      <alignment vertical="center"/>
    </xf>
    <xf numFmtId="0" fontId="87" fillId="42" borderId="0">
      <alignment vertical="center"/>
    </xf>
    <xf numFmtId="0" fontId="87" fillId="43" borderId="0">
      <alignment vertical="center"/>
    </xf>
    <xf numFmtId="0" fontId="86" fillId="44" borderId="0">
      <alignment vertical="center"/>
    </xf>
  </cellStyleXfs>
  <cellXfs count="542">
    <xf numFmtId="0" fontId="0" fillId="0" borderId="0" xfId="0" applyAlignment="1">
      <alignment vertical="center"/>
    </xf>
    <xf numFmtId="0" fontId="1" fillId="0" borderId="1" xfId="0" applyFont="1" applyBorder="1" applyAlignment="1">
      <alignment horizontal="left" vertical="center" wrapText="1" shrinkToFit="1"/>
    </xf>
    <xf numFmtId="0" fontId="2" fillId="0" borderId="1" xfId="0" applyFont="1" applyBorder="1" applyAlignment="1">
      <alignment horizontal="left" vertical="center" wrapText="1" shrinkToFit="1"/>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0" borderId="1" xfId="0" applyFont="1" applyBorder="1" applyAlignment="1">
      <alignment horizontal="center" vertical="center"/>
    </xf>
    <xf numFmtId="0" fontId="4" fillId="4" borderId="1" xfId="0" applyFont="1" applyFill="1" applyBorder="1" applyAlignment="1">
      <alignment horizontal="center" vertical="center"/>
    </xf>
    <xf numFmtId="0" fontId="5" fillId="5" borderId="1" xfId="0" applyFont="1" applyFill="1" applyBorder="1" applyAlignment="1">
      <alignment horizontal="center" vertical="center"/>
    </xf>
    <xf numFmtId="0" fontId="4" fillId="0" borderId="1" xfId="0" applyFont="1" applyBorder="1" applyAlignment="1">
      <alignment horizontal="center" vertical="center"/>
    </xf>
    <xf numFmtId="0" fontId="4" fillId="5"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6" borderId="1" xfId="0" applyFont="1" applyFill="1" applyBorder="1" applyAlignment="1">
      <alignment horizontal="center" vertical="center"/>
    </xf>
    <xf numFmtId="0" fontId="6" fillId="0" borderId="1" xfId="0" applyFont="1" applyBorder="1" applyAlignment="1">
      <alignment horizontal="center" vertical="center"/>
    </xf>
    <xf numFmtId="0" fontId="6" fillId="5" borderId="1" xfId="0" applyFont="1" applyFill="1" applyBorder="1" applyAlignment="1">
      <alignment horizontal="center" vertical="center"/>
    </xf>
    <xf numFmtId="0" fontId="4" fillId="7" borderId="1" xfId="0" applyFont="1" applyFill="1" applyBorder="1" applyAlignment="1">
      <alignment horizontal="center" vertical="center"/>
    </xf>
    <xf numFmtId="176" fontId="4" fillId="0" borderId="1" xfId="0" applyNumberFormat="1" applyFont="1" applyBorder="1" applyAlignment="1">
      <alignment horizontal="center" vertical="center"/>
    </xf>
    <xf numFmtId="176" fontId="3" fillId="0" borderId="1" xfId="0" applyNumberFormat="1" applyFont="1" applyBorder="1" applyAlignment="1">
      <alignment vertical="center"/>
    </xf>
    <xf numFmtId="0" fontId="3" fillId="0" borderId="1" xfId="0" applyFont="1" applyBorder="1" applyAlignment="1">
      <alignment vertical="center"/>
    </xf>
    <xf numFmtId="10" fontId="3" fillId="0" borderId="1" xfId="0" applyNumberFormat="1" applyFont="1" applyBorder="1" applyAlignment="1">
      <alignment vertical="center"/>
    </xf>
    <xf numFmtId="0" fontId="7" fillId="0" borderId="1" xfId="0" applyFont="1" applyBorder="1" applyAlignment="1">
      <alignment horizontal="center" vertical="center"/>
    </xf>
    <xf numFmtId="177" fontId="3" fillId="0" borderId="1" xfId="0" applyNumberFormat="1" applyFont="1" applyBorder="1" applyAlignment="1">
      <alignment vertical="center"/>
    </xf>
    <xf numFmtId="177" fontId="7" fillId="0" borderId="1" xfId="0" applyNumberFormat="1" applyFont="1" applyBorder="1" applyAlignment="1">
      <alignment horizontal="center" vertical="center"/>
    </xf>
    <xf numFmtId="10" fontId="3" fillId="0" borderId="1" xfId="0" applyNumberFormat="1" applyFont="1" applyBorder="1" applyAlignment="1">
      <alignment horizontal="center" vertical="center"/>
    </xf>
    <xf numFmtId="177" fontId="3" fillId="0" borderId="1" xfId="0" applyNumberFormat="1" applyFont="1" applyBorder="1" applyAlignment="1">
      <alignment horizontal="center" vertical="center"/>
    </xf>
    <xf numFmtId="0" fontId="3" fillId="0" borderId="1" xfId="0" applyFont="1" applyBorder="1" applyAlignment="1">
      <alignment horizontal="center" vertical="center" wrapText="1" shrinkToFit="1"/>
    </xf>
    <xf numFmtId="0" fontId="3" fillId="0" borderId="0" xfId="0" applyFont="1" applyAlignment="1">
      <alignment horizontal="center" vertical="center"/>
    </xf>
    <xf numFmtId="0" fontId="8" fillId="0" borderId="1" xfId="0" applyFont="1" applyBorder="1" applyAlignment="1">
      <alignment horizontal="center" vertical="center"/>
    </xf>
    <xf numFmtId="176" fontId="9" fillId="0" borderId="1" xfId="0" applyNumberFormat="1" applyFont="1" applyBorder="1" applyAlignment="1">
      <alignment horizontal="left" vertical="center" wrapText="1" shrinkToFit="1"/>
    </xf>
    <xf numFmtId="0" fontId="2" fillId="8" borderId="1" xfId="0" applyFont="1" applyFill="1" applyBorder="1" applyAlignment="1">
      <alignment horizontal="left" vertical="center" wrapText="1" shrinkToFit="1"/>
    </xf>
    <xf numFmtId="176" fontId="1" fillId="0" borderId="1" xfId="0" applyNumberFormat="1" applyFont="1" applyBorder="1" applyAlignment="1">
      <alignment horizontal="left" vertical="center" wrapText="1" shrinkToFit="1"/>
    </xf>
    <xf numFmtId="0" fontId="10" fillId="0" borderId="1" xfId="0" applyFont="1" applyBorder="1" applyAlignment="1">
      <alignment horizontal="left" vertical="center" wrapText="1" shrinkToFit="1"/>
    </xf>
    <xf numFmtId="10" fontId="10" fillId="0" borderId="1" xfId="0" applyNumberFormat="1" applyFont="1" applyBorder="1" applyAlignment="1">
      <alignment horizontal="left" vertical="center" wrapText="1" shrinkToFit="1"/>
    </xf>
    <xf numFmtId="0" fontId="11" fillId="0" borderId="1" xfId="0" applyFont="1" applyBorder="1" applyAlignment="1">
      <alignment horizontal="left" vertical="center" wrapText="1" shrinkToFit="1"/>
    </xf>
    <xf numFmtId="177" fontId="2" fillId="8" borderId="1" xfId="0" applyNumberFormat="1" applyFont="1" applyFill="1" applyBorder="1" applyAlignment="1">
      <alignment horizontal="left" vertical="center" wrapText="1" shrinkToFit="1"/>
    </xf>
    <xf numFmtId="177" fontId="11" fillId="0" borderId="1" xfId="0" applyNumberFormat="1" applyFont="1" applyBorder="1" applyAlignment="1">
      <alignment horizontal="left" vertical="center" wrapText="1" shrinkToFit="1"/>
    </xf>
    <xf numFmtId="0" fontId="12" fillId="8" borderId="1" xfId="0" applyFont="1" applyFill="1" applyBorder="1" applyAlignment="1">
      <alignment horizontal="left" vertical="center" wrapText="1" shrinkToFit="1"/>
    </xf>
    <xf numFmtId="10" fontId="1" fillId="0" borderId="1" xfId="0" applyNumberFormat="1" applyFont="1" applyBorder="1" applyAlignment="1">
      <alignment horizontal="left" vertical="center" wrapText="1" shrinkToFit="1"/>
    </xf>
    <xf numFmtId="0" fontId="13" fillId="8" borderId="1" xfId="0" applyFont="1" applyFill="1" applyBorder="1" applyAlignment="1">
      <alignment horizontal="left" vertical="center" wrapText="1" shrinkToFit="1"/>
    </xf>
    <xf numFmtId="0" fontId="14" fillId="0" borderId="1" xfId="0" applyFont="1" applyBorder="1" applyAlignment="1">
      <alignment horizontal="left" vertical="center" wrapText="1" shrinkToFit="1"/>
    </xf>
    <xf numFmtId="0" fontId="1" fillId="9" borderId="1" xfId="0" applyFont="1" applyFill="1" applyBorder="1" applyAlignment="1">
      <alignment horizontal="left" vertical="center" wrapText="1" shrinkToFit="1"/>
    </xf>
    <xf numFmtId="0" fontId="2" fillId="8" borderId="0" xfId="0" applyFont="1" applyFill="1" applyAlignment="1">
      <alignment horizontal="left" vertical="center" wrapText="1" shrinkToFit="1"/>
    </xf>
    <xf numFmtId="10" fontId="15" fillId="0" borderId="1" xfId="0" applyNumberFormat="1" applyFont="1" applyBorder="1" applyAlignment="1">
      <alignment horizontal="left" vertical="center" wrapText="1" shrinkToFit="1"/>
    </xf>
    <xf numFmtId="0" fontId="16" fillId="8" borderId="1" xfId="0" applyFont="1" applyFill="1" applyBorder="1" applyAlignment="1">
      <alignment horizontal="left" vertical="center" wrapText="1" shrinkToFit="1"/>
    </xf>
    <xf numFmtId="0" fontId="17" fillId="9" borderId="1" xfId="0" applyFont="1" applyFill="1" applyBorder="1" applyAlignment="1">
      <alignment horizontal="left" vertical="center" wrapText="1" shrinkToFit="1"/>
    </xf>
    <xf numFmtId="0" fontId="15" fillId="0" borderId="1" xfId="0" applyFont="1" applyBorder="1" applyAlignment="1">
      <alignment horizontal="left" vertical="center" wrapText="1" shrinkToFit="1"/>
    </xf>
    <xf numFmtId="0" fontId="1" fillId="5" borderId="1" xfId="0" applyFont="1" applyFill="1" applyBorder="1" applyAlignment="1">
      <alignment horizontal="left" vertical="center" wrapText="1" shrinkToFit="1"/>
    </xf>
    <xf numFmtId="10" fontId="2" fillId="0" borderId="1" xfId="0" applyNumberFormat="1" applyFont="1" applyBorder="1" applyAlignment="1">
      <alignment horizontal="left" vertical="center" wrapText="1" shrinkToFit="1"/>
    </xf>
    <xf numFmtId="10" fontId="2" fillId="8" borderId="1" xfId="0" applyNumberFormat="1" applyFont="1" applyFill="1" applyBorder="1" applyAlignment="1">
      <alignment horizontal="left" vertical="center" wrapText="1" shrinkToFit="1"/>
    </xf>
    <xf numFmtId="0" fontId="1" fillId="10" borderId="1" xfId="0" applyFont="1" applyFill="1" applyBorder="1" applyAlignment="1">
      <alignment horizontal="left" vertical="center" wrapText="1" shrinkToFit="1"/>
    </xf>
    <xf numFmtId="0" fontId="1" fillId="0" borderId="0" xfId="0" applyFont="1" applyAlignment="1">
      <alignment horizontal="left" vertical="center" wrapText="1" shrinkToFit="1"/>
    </xf>
    <xf numFmtId="0" fontId="18" fillId="8" borderId="1" xfId="0" applyFont="1" applyFill="1" applyBorder="1" applyAlignment="1">
      <alignment horizontal="left" vertical="center" wrapText="1" shrinkToFit="1"/>
    </xf>
    <xf numFmtId="0" fontId="19" fillId="0" borderId="1" xfId="0" applyFont="1" applyBorder="1" applyAlignment="1">
      <alignment horizontal="left" vertical="center" wrapText="1" shrinkToFit="1"/>
    </xf>
    <xf numFmtId="0" fontId="13" fillId="8" borderId="0" xfId="0" applyFont="1" applyFill="1" applyAlignment="1">
      <alignment horizontal="left" vertical="center" wrapText="1" shrinkToFit="1"/>
    </xf>
    <xf numFmtId="0" fontId="20" fillId="8" borderId="1" xfId="0" applyFont="1" applyFill="1" applyBorder="1" applyAlignment="1">
      <alignment horizontal="left" vertical="center" wrapText="1" shrinkToFit="1"/>
    </xf>
    <xf numFmtId="0" fontId="21" fillId="0" borderId="1" xfId="0" applyFont="1" applyBorder="1" applyAlignment="1">
      <alignment horizontal="left" vertical="center" wrapText="1" shrinkToFit="1"/>
    </xf>
    <xf numFmtId="0" fontId="22" fillId="0" borderId="1" xfId="0" applyFont="1" applyBorder="1" applyAlignment="1">
      <alignment horizontal="left" vertical="center" wrapText="1" shrinkToFit="1"/>
    </xf>
    <xf numFmtId="0" fontId="23" fillId="8" borderId="1" xfId="0" applyFont="1" applyFill="1" applyBorder="1" applyAlignment="1">
      <alignment horizontal="left" vertical="center" wrapText="1"/>
    </xf>
    <xf numFmtId="0" fontId="19" fillId="0" borderId="1" xfId="0" applyFont="1" applyBorder="1" applyAlignment="1">
      <alignment horizontal="center" vertical="center" wrapText="1" shrinkToFit="1"/>
    </xf>
    <xf numFmtId="177" fontId="1" fillId="0" borderId="1" xfId="0" applyNumberFormat="1" applyFont="1" applyBorder="1" applyAlignment="1">
      <alignment horizontal="left" vertical="center" wrapText="1" shrinkToFit="1"/>
    </xf>
    <xf numFmtId="176" fontId="24" fillId="0" borderId="1" xfId="0" applyNumberFormat="1" applyFont="1" applyBorder="1" applyAlignment="1">
      <alignment horizontal="left" vertical="center" wrapText="1" shrinkToFit="1"/>
    </xf>
    <xf numFmtId="178" fontId="12" fillId="0" borderId="1" xfId="0" applyNumberFormat="1" applyFont="1" applyBorder="1" applyAlignment="1">
      <alignment horizontal="left" vertical="center" wrapText="1" shrinkToFit="1"/>
    </xf>
    <xf numFmtId="176" fontId="2" fillId="0" borderId="1" xfId="0" applyNumberFormat="1" applyFont="1" applyBorder="1" applyAlignment="1">
      <alignment horizontal="left" vertical="center" wrapText="1" shrinkToFit="1"/>
    </xf>
    <xf numFmtId="0" fontId="12" fillId="0" borderId="1" xfId="0" applyFont="1" applyBorder="1" applyAlignment="1">
      <alignment horizontal="left" vertical="center" wrapText="1" shrinkToFit="1"/>
    </xf>
    <xf numFmtId="10" fontId="12" fillId="0" borderId="1" xfId="0" applyNumberFormat="1" applyFont="1" applyBorder="1" applyAlignment="1">
      <alignment horizontal="left" vertical="center" wrapText="1" shrinkToFit="1"/>
    </xf>
    <xf numFmtId="10" fontId="16" fillId="0" borderId="1" xfId="0" applyNumberFormat="1" applyFont="1" applyBorder="1" applyAlignment="1">
      <alignment horizontal="left" vertical="center" wrapText="1" shrinkToFit="1"/>
    </xf>
    <xf numFmtId="0" fontId="2" fillId="0" borderId="0" xfId="0" applyFont="1" applyAlignment="1">
      <alignment horizontal="left" vertical="center" wrapText="1" shrinkToFit="1"/>
    </xf>
    <xf numFmtId="0" fontId="25" fillId="0" borderId="1" xfId="0" applyFont="1" applyBorder="1" applyAlignment="1">
      <alignment horizontal="center" vertical="center" wrapText="1" shrinkToFit="1"/>
    </xf>
    <xf numFmtId="177" fontId="2" fillId="0" borderId="1" xfId="0" applyNumberFormat="1" applyFont="1" applyBorder="1" applyAlignment="1">
      <alignment horizontal="left" vertical="center" wrapText="1" shrinkToFit="1"/>
    </xf>
    <xf numFmtId="176" fontId="4" fillId="2" borderId="1" xfId="0" applyNumberFormat="1" applyFont="1" applyFill="1" applyBorder="1" applyAlignment="1">
      <alignment horizontal="center" vertical="center" wrapText="1"/>
    </xf>
    <xf numFmtId="0" fontId="3" fillId="2" borderId="1" xfId="0" applyFont="1" applyFill="1" applyBorder="1" applyAlignment="1">
      <alignment vertical="center"/>
    </xf>
    <xf numFmtId="10" fontId="3" fillId="2" borderId="1" xfId="0" applyNumberFormat="1" applyFont="1" applyFill="1" applyBorder="1" applyAlignment="1">
      <alignment vertical="center"/>
    </xf>
    <xf numFmtId="0" fontId="7" fillId="2" borderId="1" xfId="0" applyFont="1" applyFill="1" applyBorder="1" applyAlignment="1">
      <alignment horizontal="center" vertical="center"/>
    </xf>
    <xf numFmtId="177" fontId="3" fillId="2" borderId="1" xfId="0" applyNumberFormat="1" applyFont="1" applyFill="1" applyBorder="1" applyAlignment="1">
      <alignment vertical="center"/>
    </xf>
    <xf numFmtId="177" fontId="7" fillId="2" borderId="1" xfId="0" applyNumberFormat="1" applyFont="1" applyFill="1" applyBorder="1" applyAlignment="1">
      <alignment horizontal="center" vertical="center"/>
    </xf>
    <xf numFmtId="176" fontId="4" fillId="0" borderId="1" xfId="0" applyNumberFormat="1" applyFont="1" applyBorder="1" applyAlignment="1">
      <alignment horizontal="center" vertical="center" wrapText="1"/>
    </xf>
    <xf numFmtId="0" fontId="26" fillId="2" borderId="1" xfId="0" applyFont="1" applyFill="1" applyBorder="1" applyAlignment="1">
      <alignment horizontal="center" vertical="center" wrapText="1"/>
    </xf>
    <xf numFmtId="10" fontId="26" fillId="2" borderId="1" xfId="0" applyNumberFormat="1" applyFont="1" applyFill="1" applyBorder="1" applyAlignment="1">
      <alignment horizontal="center" vertical="center" wrapText="1"/>
    </xf>
    <xf numFmtId="10" fontId="3" fillId="2" borderId="1" xfId="0" applyNumberFormat="1" applyFont="1" applyFill="1" applyBorder="1" applyAlignment="1">
      <alignment horizontal="center" vertical="center"/>
    </xf>
    <xf numFmtId="0" fontId="27" fillId="2" borderId="1" xfId="0" applyFont="1" applyFill="1" applyBorder="1" applyAlignment="1">
      <alignment horizontal="center" vertical="center" wrapText="1"/>
    </xf>
    <xf numFmtId="177" fontId="3" fillId="2" borderId="1" xfId="0" applyNumberFormat="1" applyFont="1" applyFill="1" applyBorder="1" applyAlignment="1">
      <alignment horizontal="center" vertical="center"/>
    </xf>
    <xf numFmtId="10"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0" fontId="8" fillId="2" borderId="1" xfId="0" applyFont="1" applyFill="1" applyBorder="1" applyAlignment="1">
      <alignment horizontal="center" vertical="center"/>
    </xf>
    <xf numFmtId="0" fontId="28" fillId="2" borderId="1" xfId="0" applyFont="1" applyFill="1" applyBorder="1" applyAlignment="1">
      <alignment horizontal="center" vertical="center"/>
    </xf>
    <xf numFmtId="176" fontId="4" fillId="3" borderId="1" xfId="0" applyNumberFormat="1" applyFont="1" applyFill="1" applyBorder="1" applyAlignment="1">
      <alignment horizontal="center" vertical="center" wrapText="1"/>
    </xf>
    <xf numFmtId="0" fontId="3" fillId="3" borderId="1" xfId="0" applyFont="1" applyFill="1" applyBorder="1" applyAlignment="1">
      <alignment vertical="center"/>
    </xf>
    <xf numFmtId="176" fontId="3" fillId="2" borderId="1" xfId="0" applyNumberFormat="1" applyFont="1" applyFill="1" applyBorder="1" applyAlignment="1">
      <alignment horizontal="center" vertical="center"/>
    </xf>
    <xf numFmtId="10" fontId="3" fillId="3" borderId="1" xfId="0" applyNumberFormat="1" applyFont="1" applyFill="1" applyBorder="1" applyAlignment="1">
      <alignment vertical="center"/>
    </xf>
    <xf numFmtId="0" fontId="7" fillId="3" borderId="1" xfId="0" applyFont="1" applyFill="1" applyBorder="1" applyAlignment="1">
      <alignment horizontal="center" vertical="center"/>
    </xf>
    <xf numFmtId="177" fontId="3" fillId="3" borderId="1" xfId="0" applyNumberFormat="1" applyFont="1" applyFill="1" applyBorder="1" applyAlignment="1">
      <alignment vertical="center"/>
    </xf>
    <xf numFmtId="177" fontId="7" fillId="3" borderId="1" xfId="0" applyNumberFormat="1" applyFont="1" applyFill="1" applyBorder="1" applyAlignment="1">
      <alignment horizontal="center" vertical="center"/>
    </xf>
    <xf numFmtId="0" fontId="26" fillId="3" borderId="1" xfId="0" applyFont="1" applyFill="1" applyBorder="1" applyAlignment="1">
      <alignment horizontal="center" vertical="center" wrapText="1"/>
    </xf>
    <xf numFmtId="10" fontId="26" fillId="3" borderId="1" xfId="0" applyNumberFormat="1" applyFont="1" applyFill="1" applyBorder="1" applyAlignment="1">
      <alignment horizontal="center" vertical="center" wrapText="1"/>
    </xf>
    <xf numFmtId="10" fontId="3" fillId="3" borderId="1" xfId="0" applyNumberFormat="1" applyFont="1" applyFill="1" applyBorder="1" applyAlignment="1">
      <alignment horizontal="center" vertical="center"/>
    </xf>
    <xf numFmtId="177" fontId="3" fillId="3" borderId="1" xfId="0" applyNumberFormat="1" applyFont="1" applyFill="1" applyBorder="1" applyAlignment="1">
      <alignment horizontal="center" vertical="center"/>
    </xf>
    <xf numFmtId="0" fontId="14" fillId="3" borderId="1" xfId="0" applyFont="1" applyFill="1" applyBorder="1" applyAlignment="1">
      <alignment horizontal="center" vertical="center" wrapText="1"/>
    </xf>
    <xf numFmtId="10" fontId="29" fillId="3" borderId="1" xfId="0" applyNumberFormat="1" applyFont="1" applyFill="1" applyBorder="1" applyAlignment="1">
      <alignment horizontal="center" vertical="center" wrapText="1"/>
    </xf>
    <xf numFmtId="0" fontId="29" fillId="3" borderId="1" xfId="0" applyFont="1" applyFill="1" applyBorder="1" applyAlignment="1">
      <alignment horizontal="center" vertical="center" wrapText="1"/>
    </xf>
    <xf numFmtId="0" fontId="8" fillId="3" borderId="1" xfId="0" applyFont="1" applyFill="1" applyBorder="1" applyAlignment="1">
      <alignment horizontal="center" vertical="center"/>
    </xf>
    <xf numFmtId="0" fontId="30" fillId="3" borderId="1" xfId="0" applyFont="1" applyFill="1" applyBorder="1" applyAlignment="1">
      <alignment horizontal="center" vertical="center"/>
    </xf>
    <xf numFmtId="176" fontId="4" fillId="3" borderId="1" xfId="0" applyNumberFormat="1" applyFont="1" applyFill="1" applyBorder="1" applyAlignment="1">
      <alignment horizontal="center" vertical="center"/>
    </xf>
    <xf numFmtId="176" fontId="31" fillId="11" borderId="1" xfId="0" applyNumberFormat="1" applyFont="1" applyFill="1" applyBorder="1" applyAlignment="1">
      <alignment horizontal="center" vertical="center"/>
    </xf>
    <xf numFmtId="0" fontId="31" fillId="11" borderId="1" xfId="0" applyFont="1" applyFill="1" applyBorder="1" applyAlignment="1">
      <alignment horizontal="center" vertical="center"/>
    </xf>
    <xf numFmtId="10" fontId="3" fillId="11" borderId="1" xfId="0" applyNumberFormat="1" applyFont="1" applyFill="1" applyBorder="1" applyAlignment="1">
      <alignment vertical="center"/>
    </xf>
    <xf numFmtId="0" fontId="3" fillId="3" borderId="1" xfId="0" applyFont="1" applyFill="1" applyBorder="1" applyAlignment="1">
      <alignment horizontal="center" vertical="center" wrapText="1"/>
    </xf>
    <xf numFmtId="10" fontId="3" fillId="3" borderId="1" xfId="0" applyNumberFormat="1" applyFont="1" applyFill="1" applyBorder="1" applyAlignment="1">
      <alignment horizontal="center" vertical="center" wrapText="1"/>
    </xf>
    <xf numFmtId="0" fontId="30" fillId="3" borderId="2" xfId="0" applyFont="1" applyFill="1" applyBorder="1" applyAlignment="1">
      <alignment horizontal="center" vertical="center" wrapText="1"/>
    </xf>
    <xf numFmtId="0" fontId="32" fillId="3" borderId="1" xfId="0" applyFont="1" applyFill="1" applyBorder="1" applyAlignment="1">
      <alignment horizontal="center" vertical="center"/>
    </xf>
    <xf numFmtId="176" fontId="4" fillId="11" borderId="1" xfId="0" applyNumberFormat="1" applyFont="1" applyFill="1" applyBorder="1" applyAlignment="1">
      <alignment horizontal="center" vertical="center"/>
    </xf>
    <xf numFmtId="0" fontId="3" fillId="11" borderId="1" xfId="0" applyFont="1" applyFill="1" applyBorder="1" applyAlignment="1">
      <alignment vertical="center"/>
    </xf>
    <xf numFmtId="176" fontId="3" fillId="11" borderId="1" xfId="0" applyNumberFormat="1" applyFont="1" applyFill="1" applyBorder="1" applyAlignment="1">
      <alignment horizontal="center" vertical="center"/>
    </xf>
    <xf numFmtId="0" fontId="3" fillId="11" borderId="0" xfId="0" applyFont="1" applyFill="1" applyAlignment="1">
      <alignment vertical="center"/>
    </xf>
    <xf numFmtId="0" fontId="3" fillId="11" borderId="1" xfId="0" applyFont="1" applyFill="1" applyBorder="1" applyAlignment="1">
      <alignment horizontal="center" vertical="center"/>
    </xf>
    <xf numFmtId="0" fontId="7" fillId="11" borderId="1" xfId="0" applyFont="1" applyFill="1" applyBorder="1" applyAlignment="1">
      <alignment horizontal="center" vertical="center"/>
    </xf>
    <xf numFmtId="177" fontId="3" fillId="11" borderId="1" xfId="0" applyNumberFormat="1" applyFont="1" applyFill="1" applyBorder="1" applyAlignment="1">
      <alignment vertical="center"/>
    </xf>
    <xf numFmtId="177" fontId="7" fillId="11" borderId="1" xfId="0" applyNumberFormat="1" applyFont="1" applyFill="1" applyBorder="1" applyAlignment="1">
      <alignment horizontal="center" vertical="center"/>
    </xf>
    <xf numFmtId="0" fontId="33" fillId="0" borderId="1" xfId="0" applyFont="1" applyBorder="1" applyAlignment="1">
      <alignment horizontal="center" vertical="center" wrapText="1"/>
    </xf>
    <xf numFmtId="10" fontId="33" fillId="0" borderId="1" xfId="0" applyNumberFormat="1" applyFont="1" applyBorder="1" applyAlignment="1">
      <alignment horizontal="center" vertical="center" wrapText="1"/>
    </xf>
    <xf numFmtId="10" fontId="34" fillId="0" borderId="1" xfId="0" applyNumberFormat="1" applyFont="1" applyBorder="1" applyAlignment="1">
      <alignment horizontal="center" vertical="center" wrapText="1"/>
    </xf>
    <xf numFmtId="0" fontId="32" fillId="0" borderId="1" xfId="0" applyFont="1" applyBorder="1" applyAlignment="1">
      <alignment horizontal="center" vertical="center"/>
    </xf>
    <xf numFmtId="177" fontId="32" fillId="0" borderId="1" xfId="0" applyNumberFormat="1" applyFont="1" applyBorder="1" applyAlignment="1">
      <alignment horizontal="center" vertical="center"/>
    </xf>
    <xf numFmtId="10" fontId="32" fillId="0" borderId="1" xfId="0" applyNumberFormat="1" applyFont="1" applyBorder="1" applyAlignment="1">
      <alignment horizontal="center" vertical="center"/>
    </xf>
    <xf numFmtId="10" fontId="35" fillId="0" borderId="1" xfId="0" applyNumberFormat="1" applyFont="1" applyBorder="1" applyAlignment="1">
      <alignment horizontal="center" vertical="center"/>
    </xf>
    <xf numFmtId="0" fontId="32" fillId="0" borderId="1" xfId="0" applyFont="1" applyBorder="1" applyAlignment="1">
      <alignment horizontal="center" vertical="center" wrapText="1" shrinkToFit="1"/>
    </xf>
    <xf numFmtId="0" fontId="32" fillId="0" borderId="0" xfId="0" applyFont="1" applyAlignment="1">
      <alignment horizontal="center" vertical="center"/>
    </xf>
    <xf numFmtId="0" fontId="35" fillId="0" borderId="1" xfId="0" applyFont="1" applyBorder="1" applyAlignment="1">
      <alignment horizontal="center" vertical="center"/>
    </xf>
    <xf numFmtId="10" fontId="3" fillId="11" borderId="1" xfId="0" applyNumberFormat="1" applyFont="1" applyFill="1" applyBorder="1" applyAlignment="1">
      <alignment horizontal="center" vertical="center"/>
    </xf>
    <xf numFmtId="10" fontId="35" fillId="0" borderId="0" xfId="0" applyNumberFormat="1" applyFont="1" applyAlignment="1">
      <alignment horizontal="center" vertical="center"/>
    </xf>
    <xf numFmtId="10" fontId="32" fillId="0" borderId="0" xfId="0" applyNumberFormat="1" applyFont="1" applyAlignment="1">
      <alignment horizontal="center" vertical="center"/>
    </xf>
    <xf numFmtId="0" fontId="3" fillId="0" borderId="0" xfId="0" applyFont="1" applyAlignment="1">
      <alignment vertical="center"/>
    </xf>
    <xf numFmtId="176" fontId="32" fillId="0" borderId="1" xfId="0" applyNumberFormat="1" applyFont="1" applyBorder="1" applyAlignment="1">
      <alignment horizontal="center" vertical="center"/>
    </xf>
    <xf numFmtId="0" fontId="32" fillId="12" borderId="1" xfId="0" applyFont="1" applyFill="1" applyBorder="1" applyAlignment="1">
      <alignment horizontal="center" vertical="center"/>
    </xf>
    <xf numFmtId="10" fontId="32" fillId="12" borderId="1" xfId="0" applyNumberFormat="1" applyFont="1" applyFill="1" applyBorder="1" applyAlignment="1">
      <alignment horizontal="center" vertical="center"/>
    </xf>
    <xf numFmtId="0" fontId="32" fillId="11" borderId="3" xfId="0" applyFont="1" applyFill="1" applyBorder="1" applyAlignment="1">
      <alignment horizontal="center" vertical="center"/>
    </xf>
    <xf numFmtId="0" fontId="33" fillId="12" borderId="1" xfId="0" applyFont="1" applyFill="1" applyBorder="1" applyAlignment="1">
      <alignment horizontal="center" vertical="center" wrapText="1"/>
    </xf>
    <xf numFmtId="10" fontId="33" fillId="12" borderId="1" xfId="0" applyNumberFormat="1" applyFont="1" applyFill="1" applyBorder="1" applyAlignment="1">
      <alignment horizontal="center" vertical="center" wrapText="1"/>
    </xf>
    <xf numFmtId="10" fontId="35" fillId="12" borderId="1" xfId="0" applyNumberFormat="1" applyFont="1" applyFill="1" applyBorder="1" applyAlignment="1">
      <alignment horizontal="center" vertical="center"/>
    </xf>
    <xf numFmtId="0" fontId="32" fillId="0" borderId="3" xfId="0" applyFont="1" applyBorder="1" applyAlignment="1">
      <alignment horizontal="center" vertical="center"/>
    </xf>
    <xf numFmtId="0" fontId="35" fillId="0" borderId="0" xfId="0" applyFont="1" applyAlignment="1">
      <alignment horizontal="center" vertical="center"/>
    </xf>
    <xf numFmtId="0" fontId="36" fillId="0" borderId="1" xfId="0" applyFont="1" applyBorder="1" applyAlignment="1">
      <alignment horizontal="center" vertical="center"/>
    </xf>
    <xf numFmtId="10" fontId="35" fillId="11" borderId="0" xfId="0" applyNumberFormat="1" applyFont="1" applyFill="1" applyAlignment="1">
      <alignment horizontal="center" vertical="center"/>
    </xf>
    <xf numFmtId="177" fontId="32" fillId="12" borderId="1" xfId="0" applyNumberFormat="1" applyFont="1" applyFill="1" applyBorder="1" applyAlignment="1">
      <alignment horizontal="center" vertical="center"/>
    </xf>
    <xf numFmtId="176" fontId="0" fillId="0" borderId="4" xfId="0" applyNumberFormat="1" applyBorder="1" applyAlignment="1"/>
    <xf numFmtId="0" fontId="35" fillId="12" borderId="1" xfId="0" applyFont="1" applyFill="1" applyBorder="1" applyAlignment="1">
      <alignment horizontal="center" vertical="center"/>
    </xf>
    <xf numFmtId="0" fontId="0" fillId="0" borderId="4" xfId="0" applyBorder="1" applyAlignment="1"/>
    <xf numFmtId="177" fontId="35" fillId="0" borderId="1" xfId="0" applyNumberFormat="1" applyFont="1" applyBorder="1" applyAlignment="1">
      <alignment horizontal="center" vertical="center"/>
    </xf>
    <xf numFmtId="0" fontId="0" fillId="0" borderId="5" xfId="0" applyBorder="1" applyAlignment="1"/>
    <xf numFmtId="0" fontId="35" fillId="0" borderId="1" xfId="0" applyFont="1" applyBorder="1" applyAlignment="1">
      <alignment horizontal="center" vertical="center" wrapText="1" shrinkToFit="1"/>
    </xf>
    <xf numFmtId="0" fontId="8" fillId="0" borderId="4" xfId="0" applyFont="1" applyBorder="1" applyAlignment="1">
      <alignment horizontal="center"/>
    </xf>
    <xf numFmtId="177" fontId="35" fillId="12" borderId="1" xfId="0" applyNumberFormat="1" applyFont="1" applyFill="1" applyBorder="1" applyAlignment="1">
      <alignment horizontal="center" vertical="center"/>
    </xf>
    <xf numFmtId="176" fontId="4" fillId="4" borderId="1" xfId="0" applyNumberFormat="1" applyFont="1" applyFill="1" applyBorder="1" applyAlignment="1">
      <alignment horizontal="center" vertical="center"/>
    </xf>
    <xf numFmtId="176" fontId="4" fillId="4" borderId="4" xfId="0" applyNumberFormat="1" applyFont="1" applyFill="1" applyBorder="1" applyAlignment="1">
      <alignment horizontal="center" vertical="center"/>
    </xf>
    <xf numFmtId="10" fontId="3" fillId="4" borderId="1" xfId="0" applyNumberFormat="1" applyFont="1" applyFill="1" applyBorder="1" applyAlignment="1">
      <alignment vertical="center"/>
    </xf>
    <xf numFmtId="176" fontId="4" fillId="4" borderId="1" xfId="0" applyNumberFormat="1" applyFont="1" applyFill="1" applyBorder="1" applyAlignment="1">
      <alignment horizontal="center" vertical="center" wrapText="1"/>
    </xf>
    <xf numFmtId="0" fontId="37" fillId="4" borderId="1" xfId="0" applyFont="1" applyFill="1" applyBorder="1" applyAlignment="1">
      <alignment horizontal="center" vertical="center" wrapText="1"/>
    </xf>
    <xf numFmtId="0" fontId="6" fillId="4" borderId="1" xfId="0" applyFont="1" applyFill="1" applyBorder="1" applyAlignment="1">
      <alignment horizontal="center" vertical="center" wrapText="1"/>
    </xf>
    <xf numFmtId="10" fontId="6" fillId="4" borderId="1" xfId="0" applyNumberFormat="1" applyFont="1" applyFill="1" applyBorder="1" applyAlignment="1">
      <alignment horizontal="center" vertical="center" wrapText="1"/>
    </xf>
    <xf numFmtId="10" fontId="4" fillId="4" borderId="1" xfId="0" applyNumberFormat="1" applyFont="1" applyFill="1" applyBorder="1" applyAlignment="1">
      <alignment horizontal="center" vertical="center" wrapText="1"/>
    </xf>
    <xf numFmtId="10" fontId="4" fillId="4" borderId="1" xfId="0" applyNumberFormat="1" applyFont="1" applyFill="1" applyBorder="1" applyAlignment="1">
      <alignment horizontal="center" vertical="center"/>
    </xf>
    <xf numFmtId="177" fontId="37" fillId="4" borderId="1" xfId="0" applyNumberFormat="1" applyFont="1" applyFill="1" applyBorder="1" applyAlignment="1">
      <alignment horizontal="center" vertical="center"/>
    </xf>
    <xf numFmtId="0" fontId="6" fillId="4" borderId="1" xfId="0" applyFont="1" applyFill="1" applyBorder="1" applyAlignment="1">
      <alignment horizontal="center" vertical="center"/>
    </xf>
    <xf numFmtId="10" fontId="6" fillId="4" borderId="1" xfId="0" applyNumberFormat="1" applyFont="1" applyFill="1" applyBorder="1" applyAlignment="1">
      <alignment horizontal="center" vertical="center"/>
    </xf>
    <xf numFmtId="0" fontId="37" fillId="4" borderId="1" xfId="0" applyFont="1" applyFill="1" applyBorder="1" applyAlignment="1">
      <alignment horizontal="center" vertical="center"/>
    </xf>
    <xf numFmtId="10" fontId="37" fillId="4" borderId="1" xfId="0" applyNumberFormat="1" applyFont="1" applyFill="1" applyBorder="1" applyAlignment="1">
      <alignment horizontal="center" vertical="center"/>
    </xf>
    <xf numFmtId="0" fontId="37" fillId="4" borderId="1" xfId="0" applyFont="1" applyFill="1" applyBorder="1" applyAlignment="1">
      <alignment horizontal="center" vertical="center" wrapText="1" shrinkToFit="1"/>
    </xf>
    <xf numFmtId="0" fontId="38" fillId="4" borderId="3" xfId="0" applyFont="1" applyFill="1" applyBorder="1" applyAlignment="1">
      <alignment horizontal="center" vertical="center"/>
    </xf>
    <xf numFmtId="0" fontId="38" fillId="4" borderId="3" xfId="0" applyFont="1" applyFill="1" applyBorder="1" applyAlignment="1">
      <alignment horizontal="right" vertical="center"/>
    </xf>
    <xf numFmtId="0" fontId="8" fillId="4" borderId="1" xfId="0" applyFont="1" applyFill="1" applyBorder="1" applyAlignment="1">
      <alignment horizontal="center" vertical="center"/>
    </xf>
    <xf numFmtId="177" fontId="4" fillId="4" borderId="1" xfId="0" applyNumberFormat="1" applyFont="1" applyFill="1" applyBorder="1" applyAlignment="1">
      <alignment horizontal="center" vertical="center"/>
    </xf>
    <xf numFmtId="176" fontId="5" fillId="5" borderId="1" xfId="0" applyNumberFormat="1" applyFont="1" applyFill="1" applyBorder="1" applyAlignment="1">
      <alignment horizontal="center" vertical="center"/>
    </xf>
    <xf numFmtId="0" fontId="39" fillId="5" borderId="1" xfId="0" applyFont="1" applyFill="1" applyBorder="1" applyAlignment="1">
      <alignment horizontal="center" vertical="center"/>
    </xf>
    <xf numFmtId="0" fontId="39" fillId="5" borderId="0" xfId="0" applyFont="1" applyFill="1" applyAlignment="1">
      <alignment horizontal="center" vertical="center"/>
    </xf>
    <xf numFmtId="10" fontId="7" fillId="0" borderId="1" xfId="0" applyNumberFormat="1" applyFont="1" applyBorder="1" applyAlignment="1">
      <alignment horizontal="center" vertical="center"/>
    </xf>
    <xf numFmtId="10" fontId="1" fillId="5" borderId="1" xfId="0" applyNumberFormat="1" applyFont="1" applyFill="1" applyBorder="1" applyAlignment="1">
      <alignment vertical="center"/>
    </xf>
    <xf numFmtId="10" fontId="39" fillId="5" borderId="1" xfId="0" applyNumberFormat="1" applyFont="1" applyFill="1" applyBorder="1" applyAlignment="1">
      <alignment horizontal="center" vertical="center"/>
    </xf>
    <xf numFmtId="177" fontId="39" fillId="5" borderId="1" xfId="0" applyNumberFormat="1" applyFont="1" applyFill="1" applyBorder="1" applyAlignment="1">
      <alignment horizontal="center" vertical="center"/>
    </xf>
    <xf numFmtId="0" fontId="1" fillId="5" borderId="1" xfId="0" applyFont="1" applyFill="1" applyBorder="1" applyAlignment="1">
      <alignment vertical="center"/>
    </xf>
    <xf numFmtId="0" fontId="40" fillId="5" borderId="1" xfId="0" applyFont="1" applyFill="1" applyBorder="1" applyAlignment="1">
      <alignment horizontal="center" vertical="center" wrapText="1"/>
    </xf>
    <xf numFmtId="0" fontId="41" fillId="5" borderId="1" xfId="0" applyFont="1" applyFill="1" applyBorder="1" applyAlignment="1">
      <alignment horizontal="center" vertical="center" wrapText="1"/>
    </xf>
    <xf numFmtId="10" fontId="41"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xf>
    <xf numFmtId="177" fontId="40" fillId="5" borderId="1" xfId="0" applyNumberFormat="1" applyFont="1" applyFill="1" applyBorder="1" applyAlignment="1">
      <alignment horizontal="center" vertical="center"/>
    </xf>
    <xf numFmtId="0" fontId="41" fillId="5" borderId="1" xfId="0" applyFont="1" applyFill="1" applyBorder="1" applyAlignment="1">
      <alignment horizontal="center" vertical="center"/>
    </xf>
    <xf numFmtId="10" fontId="41" fillId="5" borderId="1" xfId="0" applyNumberFormat="1" applyFont="1" applyFill="1" applyBorder="1" applyAlignment="1">
      <alignment horizontal="center" vertical="center"/>
    </xf>
    <xf numFmtId="0" fontId="40" fillId="5" borderId="1" xfId="0" applyFont="1" applyFill="1" applyBorder="1" applyAlignment="1">
      <alignment horizontal="center" vertical="center"/>
    </xf>
    <xf numFmtId="10" fontId="40" fillId="5" borderId="1" xfId="0" applyNumberFormat="1" applyFont="1" applyFill="1" applyBorder="1" applyAlignment="1">
      <alignment horizontal="center" vertical="center"/>
    </xf>
    <xf numFmtId="0" fontId="42" fillId="5" borderId="3" xfId="0" applyFont="1" applyFill="1" applyBorder="1" applyAlignment="1">
      <alignment horizontal="center" vertical="center"/>
    </xf>
    <xf numFmtId="0" fontId="42" fillId="5" borderId="3" xfId="0" applyFont="1" applyFill="1" applyBorder="1" applyAlignment="1">
      <alignment horizontal="right" vertical="center"/>
    </xf>
    <xf numFmtId="0" fontId="43" fillId="5" borderId="1" xfId="0" applyFont="1" applyFill="1" applyBorder="1" applyAlignment="1">
      <alignment horizontal="left" vertical="center" wrapText="1"/>
    </xf>
    <xf numFmtId="0" fontId="44" fillId="5" borderId="1" xfId="0" applyFont="1" applyFill="1" applyBorder="1" applyAlignment="1">
      <alignment horizontal="center" vertical="center" wrapText="1"/>
    </xf>
    <xf numFmtId="177" fontId="4" fillId="0" borderId="1" xfId="0" applyNumberFormat="1" applyFont="1" applyBorder="1" applyAlignment="1">
      <alignment horizontal="center" vertical="center"/>
    </xf>
    <xf numFmtId="10" fontId="4" fillId="0" borderId="1" xfId="0" applyNumberFormat="1" applyFont="1" applyBorder="1" applyAlignment="1">
      <alignment horizontal="center" vertical="center"/>
    </xf>
    <xf numFmtId="176" fontId="35" fillId="0" borderId="1" xfId="0" applyNumberFormat="1" applyFont="1" applyBorder="1" applyAlignment="1">
      <alignment horizontal="center" vertical="center"/>
    </xf>
    <xf numFmtId="0" fontId="37" fillId="0" borderId="1" xfId="0" applyFont="1" applyBorder="1" applyAlignment="1">
      <alignment horizontal="center" vertical="center" wrapText="1"/>
    </xf>
    <xf numFmtId="0" fontId="6" fillId="0" borderId="1" xfId="0" applyFont="1" applyBorder="1" applyAlignment="1">
      <alignment horizontal="center" vertical="center" wrapText="1"/>
    </xf>
    <xf numFmtId="10" fontId="6" fillId="0" borderId="1" xfId="0" applyNumberFormat="1" applyFont="1" applyBorder="1" applyAlignment="1">
      <alignment horizontal="center" vertical="center" wrapText="1"/>
    </xf>
    <xf numFmtId="10" fontId="4" fillId="0" borderId="1" xfId="0" applyNumberFormat="1" applyFont="1" applyBorder="1" applyAlignment="1">
      <alignment horizontal="center" vertical="center" wrapText="1"/>
    </xf>
    <xf numFmtId="177" fontId="37" fillId="0" borderId="1" xfId="0" applyNumberFormat="1" applyFont="1" applyBorder="1" applyAlignment="1">
      <alignment horizontal="center" vertical="center"/>
    </xf>
    <xf numFmtId="10" fontId="6" fillId="0" borderId="1" xfId="0" applyNumberFormat="1" applyFont="1" applyBorder="1" applyAlignment="1">
      <alignment horizontal="center" vertical="center"/>
    </xf>
    <xf numFmtId="0" fontId="37" fillId="0" borderId="1" xfId="0" applyFont="1" applyBorder="1" applyAlignment="1">
      <alignment horizontal="center" vertical="center"/>
    </xf>
    <xf numFmtId="10" fontId="37" fillId="0" borderId="1" xfId="0" applyNumberFormat="1" applyFont="1" applyBorder="1" applyAlignment="1">
      <alignment horizontal="center" vertical="center"/>
    </xf>
    <xf numFmtId="0" fontId="37" fillId="0" borderId="1" xfId="0" applyFont="1" applyBorder="1" applyAlignment="1">
      <alignment horizontal="center" vertical="center" wrapText="1" shrinkToFit="1"/>
    </xf>
    <xf numFmtId="0" fontId="4" fillId="0" borderId="0" xfId="0" applyFont="1" applyAlignment="1">
      <alignment horizontal="center" vertical="center"/>
    </xf>
    <xf numFmtId="0" fontId="38" fillId="0" borderId="3" xfId="0" applyFont="1" applyBorder="1" applyAlignment="1">
      <alignment horizontal="center" vertical="center"/>
    </xf>
    <xf numFmtId="0" fontId="38" fillId="0" borderId="3" xfId="0" applyFont="1" applyBorder="1" applyAlignment="1">
      <alignment horizontal="right" vertical="center"/>
    </xf>
    <xf numFmtId="0" fontId="45" fillId="0" borderId="0" xfId="0" applyFont="1" applyAlignment="1">
      <alignment vertical="center"/>
    </xf>
    <xf numFmtId="0" fontId="7" fillId="0" borderId="0" xfId="0" applyFont="1" applyAlignment="1">
      <alignment horizontal="center" vertical="center"/>
    </xf>
    <xf numFmtId="0" fontId="6" fillId="11" borderId="1" xfId="0" applyFont="1" applyFill="1" applyBorder="1" applyAlignment="1">
      <alignment horizontal="center" vertical="center"/>
    </xf>
    <xf numFmtId="10" fontId="6" fillId="11" borderId="1" xfId="0" applyNumberFormat="1" applyFont="1" applyFill="1" applyBorder="1" applyAlignment="1">
      <alignment horizontal="center" vertical="center"/>
    </xf>
    <xf numFmtId="0" fontId="4" fillId="11" borderId="1" xfId="0" applyFont="1" applyFill="1" applyBorder="1" applyAlignment="1">
      <alignment horizontal="center" vertical="center"/>
    </xf>
    <xf numFmtId="10" fontId="4" fillId="11" borderId="1" xfId="0" applyNumberFormat="1" applyFont="1" applyFill="1" applyBorder="1" applyAlignment="1">
      <alignment horizontal="center" vertical="center"/>
    </xf>
    <xf numFmtId="176" fontId="4" fillId="5" borderId="1" xfId="0" applyNumberFormat="1" applyFont="1" applyFill="1" applyBorder="1" applyAlignment="1">
      <alignment horizontal="center" vertical="center"/>
    </xf>
    <xf numFmtId="0" fontId="7" fillId="5" borderId="0" xfId="0" applyFont="1" applyFill="1" applyAlignment="1">
      <alignment horizontal="center" vertical="center"/>
    </xf>
    <xf numFmtId="0" fontId="7" fillId="5" borderId="1" xfId="0" applyFont="1" applyFill="1" applyBorder="1" applyAlignment="1">
      <alignment horizontal="center" vertical="center"/>
    </xf>
    <xf numFmtId="10" fontId="7" fillId="5" borderId="1" xfId="0" applyNumberFormat="1" applyFont="1" applyFill="1" applyBorder="1" applyAlignment="1">
      <alignment horizontal="center" vertical="center"/>
    </xf>
    <xf numFmtId="10" fontId="3" fillId="5" borderId="1" xfId="0" applyNumberFormat="1" applyFont="1" applyFill="1" applyBorder="1" applyAlignment="1">
      <alignment vertical="center"/>
    </xf>
    <xf numFmtId="0" fontId="3" fillId="5" borderId="1" xfId="0" applyFont="1" applyFill="1" applyBorder="1" applyAlignment="1">
      <alignment vertical="center"/>
    </xf>
    <xf numFmtId="0" fontId="3" fillId="5" borderId="0" xfId="0" applyFont="1" applyFill="1" applyAlignment="1">
      <alignment vertical="center"/>
    </xf>
    <xf numFmtId="176" fontId="4" fillId="5" borderId="1" xfId="0" applyNumberFormat="1" applyFont="1" applyFill="1" applyBorder="1" applyAlignment="1">
      <alignment horizontal="center" vertical="center" wrapText="1"/>
    </xf>
    <xf numFmtId="0" fontId="37" fillId="5"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10" fontId="6" fillId="5" borderId="1" xfId="0" applyNumberFormat="1" applyFont="1" applyFill="1" applyBorder="1" applyAlignment="1">
      <alignment horizontal="center" vertical="center" wrapText="1"/>
    </xf>
    <xf numFmtId="10" fontId="4" fillId="5" borderId="1" xfId="0" applyNumberFormat="1" applyFont="1" applyFill="1" applyBorder="1" applyAlignment="1">
      <alignment horizontal="center" vertical="center" wrapText="1"/>
    </xf>
    <xf numFmtId="10" fontId="4" fillId="5" borderId="1" xfId="0" applyNumberFormat="1" applyFont="1" applyFill="1" applyBorder="1" applyAlignment="1">
      <alignment horizontal="center" vertical="center"/>
    </xf>
    <xf numFmtId="177" fontId="37" fillId="5" borderId="1" xfId="0" applyNumberFormat="1" applyFont="1" applyFill="1" applyBorder="1" applyAlignment="1">
      <alignment horizontal="center" vertical="center"/>
    </xf>
    <xf numFmtId="10" fontId="6" fillId="5" borderId="1" xfId="0" applyNumberFormat="1" applyFont="1" applyFill="1" applyBorder="1" applyAlignment="1">
      <alignment horizontal="center" vertical="center"/>
    </xf>
    <xf numFmtId="0" fontId="37" fillId="5" borderId="1" xfId="0" applyFont="1" applyFill="1" applyBorder="1" applyAlignment="1">
      <alignment horizontal="center" vertical="center"/>
    </xf>
    <xf numFmtId="10" fontId="37" fillId="5" borderId="1" xfId="0" applyNumberFormat="1" applyFont="1" applyFill="1" applyBorder="1" applyAlignment="1">
      <alignment horizontal="center" vertical="center"/>
    </xf>
    <xf numFmtId="0" fontId="37" fillId="5" borderId="1" xfId="0" applyFont="1" applyFill="1" applyBorder="1" applyAlignment="1">
      <alignment horizontal="center" vertical="center" wrapText="1" shrinkToFit="1"/>
    </xf>
    <xf numFmtId="0" fontId="0" fillId="5" borderId="0" xfId="0" applyFill="1" applyAlignment="1">
      <alignment vertical="center"/>
    </xf>
    <xf numFmtId="0" fontId="38" fillId="5" borderId="3" xfId="0" applyFont="1" applyFill="1" applyBorder="1" applyAlignment="1">
      <alignment horizontal="center" vertical="center"/>
    </xf>
    <xf numFmtId="0" fontId="38" fillId="5" borderId="3" xfId="0" applyFont="1" applyFill="1" applyBorder="1" applyAlignment="1">
      <alignment horizontal="right" vertical="center"/>
    </xf>
    <xf numFmtId="0" fontId="8" fillId="5" borderId="1" xfId="0" applyFont="1" applyFill="1" applyBorder="1" applyAlignment="1">
      <alignment horizontal="center" vertical="center"/>
    </xf>
    <xf numFmtId="0" fontId="46" fillId="0" borderId="1" xfId="0" applyFont="1" applyBorder="1" applyAlignment="1">
      <alignment horizontal="center" vertical="center" wrapText="1"/>
    </xf>
    <xf numFmtId="0" fontId="7" fillId="3" borderId="0" xfId="0" applyFont="1" applyFill="1" applyAlignment="1">
      <alignment horizontal="center" vertical="center"/>
    </xf>
    <xf numFmtId="10" fontId="7" fillId="3" borderId="1" xfId="0" applyNumberFormat="1" applyFont="1" applyFill="1" applyBorder="1" applyAlignment="1">
      <alignment horizontal="center" vertical="center"/>
    </xf>
    <xf numFmtId="0" fontId="3" fillId="3" borderId="0" xfId="0" applyFont="1" applyFill="1" applyAlignment="1">
      <alignment vertical="center"/>
    </xf>
    <xf numFmtId="0" fontId="37" fillId="3" borderId="1" xfId="0" applyFont="1" applyFill="1" applyBorder="1" applyAlignment="1">
      <alignment horizontal="center" vertical="center" wrapText="1"/>
    </xf>
    <xf numFmtId="0" fontId="6" fillId="3" borderId="1" xfId="0" applyFont="1" applyFill="1" applyBorder="1" applyAlignment="1">
      <alignment horizontal="center" vertical="center" wrapText="1"/>
    </xf>
    <xf numFmtId="10" fontId="6" fillId="3" borderId="1" xfId="0" applyNumberFormat="1" applyFont="1" applyFill="1" applyBorder="1" applyAlignment="1">
      <alignment horizontal="center" vertical="center" wrapText="1"/>
    </xf>
    <xf numFmtId="10" fontId="4" fillId="3" borderId="1" xfId="0" applyNumberFormat="1" applyFont="1" applyFill="1" applyBorder="1" applyAlignment="1">
      <alignment horizontal="center" vertical="center" wrapText="1"/>
    </xf>
    <xf numFmtId="10" fontId="4" fillId="3" borderId="1" xfId="0" applyNumberFormat="1" applyFont="1" applyFill="1" applyBorder="1" applyAlignment="1">
      <alignment horizontal="center" vertical="center"/>
    </xf>
    <xf numFmtId="177" fontId="37" fillId="3" borderId="1" xfId="0" applyNumberFormat="1" applyFont="1" applyFill="1" applyBorder="1" applyAlignment="1">
      <alignment horizontal="center" vertical="center"/>
    </xf>
    <xf numFmtId="0" fontId="6" fillId="3" borderId="1" xfId="0" applyFont="1" applyFill="1" applyBorder="1" applyAlignment="1">
      <alignment horizontal="center" vertical="center"/>
    </xf>
    <xf numFmtId="10" fontId="6" fillId="3" borderId="1" xfId="0" applyNumberFormat="1" applyFont="1" applyFill="1" applyBorder="1" applyAlignment="1">
      <alignment horizontal="center" vertical="center"/>
    </xf>
    <xf numFmtId="0" fontId="37" fillId="3" borderId="1" xfId="0" applyFont="1" applyFill="1" applyBorder="1" applyAlignment="1">
      <alignment horizontal="center" vertical="center"/>
    </xf>
    <xf numFmtId="10" fontId="37" fillId="3" borderId="1" xfId="0" applyNumberFormat="1" applyFont="1" applyFill="1" applyBorder="1" applyAlignment="1">
      <alignment horizontal="center" vertical="center"/>
    </xf>
    <xf numFmtId="0" fontId="47" fillId="0" borderId="0" xfId="0" applyFont="1" applyAlignment="1">
      <alignment vertical="center"/>
    </xf>
    <xf numFmtId="0" fontId="37" fillId="3" borderId="1" xfId="0" applyFont="1" applyFill="1" applyBorder="1" applyAlignment="1">
      <alignment horizontal="center" vertical="center" wrapText="1" shrinkToFit="1"/>
    </xf>
    <xf numFmtId="0" fontId="0" fillId="3" borderId="0" xfId="0" applyFill="1" applyAlignment="1">
      <alignment vertical="center"/>
    </xf>
    <xf numFmtId="0" fontId="47" fillId="3" borderId="0" xfId="0" applyFont="1" applyFill="1" applyAlignment="1">
      <alignment vertical="center"/>
    </xf>
    <xf numFmtId="0" fontId="38" fillId="3" borderId="3" xfId="0" applyFont="1" applyFill="1" applyBorder="1" applyAlignment="1">
      <alignment horizontal="center" vertical="center"/>
    </xf>
    <xf numFmtId="0" fontId="38" fillId="3" borderId="3" xfId="0" applyFont="1" applyFill="1" applyBorder="1" applyAlignment="1">
      <alignment horizontal="right" vertical="center"/>
    </xf>
    <xf numFmtId="4" fontId="7" fillId="0" borderId="1" xfId="0" applyNumberFormat="1" applyFont="1" applyBorder="1" applyAlignment="1">
      <alignment horizontal="center" vertical="center"/>
    </xf>
    <xf numFmtId="4" fontId="3" fillId="0" borderId="1" xfId="0" applyNumberFormat="1" applyFont="1" applyBorder="1" applyAlignment="1">
      <alignment vertical="center"/>
    </xf>
    <xf numFmtId="4" fontId="37" fillId="0" borderId="1" xfId="0" applyNumberFormat="1" applyFont="1" applyBorder="1" applyAlignment="1">
      <alignment horizontal="center" vertical="center" wrapText="1"/>
    </xf>
    <xf numFmtId="4" fontId="37" fillId="0" borderId="1" xfId="0" applyNumberFormat="1" applyFont="1" applyBorder="1" applyAlignment="1">
      <alignment horizontal="center" vertical="center"/>
    </xf>
    <xf numFmtId="4" fontId="4" fillId="0" borderId="1" xfId="0" applyNumberFormat="1" applyFont="1" applyBorder="1" applyAlignment="1">
      <alignment horizontal="center" vertical="center"/>
    </xf>
    <xf numFmtId="0" fontId="47" fillId="5" borderId="0" xfId="0" applyFont="1" applyFill="1" applyAlignment="1">
      <alignment vertical="center"/>
    </xf>
    <xf numFmtId="4" fontId="48" fillId="5" borderId="0" xfId="0" applyNumberFormat="1" applyFont="1" applyFill="1" applyAlignment="1">
      <alignment vertical="center"/>
    </xf>
    <xf numFmtId="4" fontId="32" fillId="5" borderId="0" xfId="0" applyNumberFormat="1" applyFont="1" applyFill="1" applyAlignment="1">
      <alignment vertical="center"/>
    </xf>
    <xf numFmtId="0" fontId="30" fillId="0" borderId="0" xfId="0" applyFont="1" applyAlignment="1">
      <alignment vertical="center"/>
    </xf>
    <xf numFmtId="4" fontId="32" fillId="0" borderId="0" xfId="0" applyNumberFormat="1" applyFont="1" applyAlignment="1">
      <alignment vertical="center"/>
    </xf>
    <xf numFmtId="0" fontId="30" fillId="5" borderId="0" xfId="0" applyFont="1" applyFill="1" applyAlignment="1">
      <alignment vertical="center"/>
    </xf>
    <xf numFmtId="176" fontId="6" fillId="5" borderId="1" xfId="0" applyNumberFormat="1" applyFont="1" applyFill="1" applyBorder="1" applyAlignment="1">
      <alignment horizontal="center" vertical="center"/>
    </xf>
    <xf numFmtId="0" fontId="49" fillId="5" borderId="0" xfId="0" applyFont="1" applyFill="1" applyAlignment="1">
      <alignment vertical="center"/>
    </xf>
    <xf numFmtId="0" fontId="50" fillId="5" borderId="1" xfId="0" applyFont="1" applyFill="1" applyBorder="1" applyAlignment="1">
      <alignment horizontal="center" vertical="center"/>
    </xf>
    <xf numFmtId="10" fontId="50" fillId="5" borderId="1" xfId="0" applyNumberFormat="1" applyFont="1" applyFill="1" applyBorder="1" applyAlignment="1">
      <alignment horizontal="center" vertical="center"/>
    </xf>
    <xf numFmtId="10" fontId="51" fillId="5" borderId="1" xfId="0" applyNumberFormat="1" applyFont="1" applyFill="1" applyBorder="1" applyAlignment="1">
      <alignment vertical="center"/>
    </xf>
    <xf numFmtId="4" fontId="52" fillId="5" borderId="0" xfId="0" applyNumberFormat="1" applyFont="1" applyFill="1" applyAlignment="1">
      <alignment vertical="center"/>
    </xf>
    <xf numFmtId="0" fontId="51" fillId="5" borderId="1" xfId="0" applyFont="1" applyFill="1" applyBorder="1" applyAlignment="1">
      <alignment vertical="center"/>
    </xf>
    <xf numFmtId="0" fontId="51" fillId="5" borderId="0" xfId="0" applyFont="1" applyFill="1" applyAlignment="1">
      <alignment vertical="center"/>
    </xf>
    <xf numFmtId="4" fontId="37" fillId="5" borderId="1" xfId="0" applyNumberFormat="1" applyFont="1" applyFill="1" applyBorder="1" applyAlignment="1">
      <alignment horizontal="center" vertical="center" wrapText="1"/>
    </xf>
    <xf numFmtId="4" fontId="37" fillId="5" borderId="1" xfId="0" applyNumberFormat="1" applyFont="1" applyFill="1" applyBorder="1" applyAlignment="1">
      <alignment horizontal="center" vertical="center"/>
    </xf>
    <xf numFmtId="4" fontId="4" fillId="5" borderId="1" xfId="0" applyNumberFormat="1" applyFont="1" applyFill="1" applyBorder="1" applyAlignment="1">
      <alignment horizontal="center" vertical="center"/>
    </xf>
    <xf numFmtId="0" fontId="4" fillId="5" borderId="1" xfId="0" applyFont="1" applyFill="1" applyBorder="1" applyAlignment="1">
      <alignment horizontal="center" vertical="center" wrapText="1" shrinkToFit="1"/>
    </xf>
    <xf numFmtId="0" fontId="4" fillId="0" borderId="1" xfId="0" applyFont="1" applyBorder="1" applyAlignment="1">
      <alignment horizontal="center" vertical="center" wrapText="1" shrinkToFit="1"/>
    </xf>
    <xf numFmtId="4" fontId="3" fillId="3" borderId="1" xfId="0" applyNumberFormat="1" applyFont="1" applyFill="1" applyBorder="1" applyAlignment="1">
      <alignment vertical="center"/>
    </xf>
    <xf numFmtId="4" fontId="37" fillId="3" borderId="1" xfId="0" applyNumberFormat="1" applyFont="1" applyFill="1" applyBorder="1" applyAlignment="1">
      <alignment horizontal="center" vertical="center" wrapText="1"/>
    </xf>
    <xf numFmtId="4" fontId="37" fillId="3" borderId="1" xfId="0" applyNumberFormat="1" applyFont="1" applyFill="1" applyBorder="1" applyAlignment="1">
      <alignment horizontal="center" vertical="center"/>
    </xf>
    <xf numFmtId="0" fontId="4" fillId="3" borderId="1" xfId="0" applyFont="1" applyFill="1" applyBorder="1" applyAlignment="1">
      <alignment horizontal="center" vertical="center" wrapText="1" shrinkToFit="1"/>
    </xf>
    <xf numFmtId="4" fontId="4" fillId="3" borderId="1" xfId="0" applyNumberFormat="1" applyFont="1" applyFill="1" applyBorder="1" applyAlignment="1">
      <alignment horizontal="center" vertical="center"/>
    </xf>
    <xf numFmtId="4" fontId="22" fillId="0" borderId="0" xfId="0" applyNumberFormat="1" applyFont="1" applyAlignment="1">
      <alignment horizontal="center" vertical="center"/>
    </xf>
    <xf numFmtId="176" fontId="7" fillId="5" borderId="1" xfId="0" applyNumberFormat="1" applyFont="1" applyFill="1" applyBorder="1" applyAlignment="1">
      <alignment horizontal="center" vertical="center"/>
    </xf>
    <xf numFmtId="177" fontId="7" fillId="5" borderId="1" xfId="0" applyNumberFormat="1" applyFont="1" applyFill="1" applyBorder="1" applyAlignment="1">
      <alignment horizontal="center" vertical="center"/>
    </xf>
    <xf numFmtId="4" fontId="3" fillId="5" borderId="1" xfId="0" applyNumberFormat="1" applyFont="1" applyFill="1" applyBorder="1" applyAlignment="1">
      <alignment vertical="center"/>
    </xf>
    <xf numFmtId="176" fontId="7" fillId="0" borderId="1" xfId="0" applyNumberFormat="1" applyFont="1" applyBorder="1" applyAlignment="1">
      <alignment horizontal="center" vertical="center"/>
    </xf>
    <xf numFmtId="0" fontId="5" fillId="0" borderId="1" xfId="0" applyFont="1" applyBorder="1" applyAlignment="1">
      <alignment horizontal="center" vertical="center"/>
    </xf>
    <xf numFmtId="10" fontId="38" fillId="5" borderId="0" xfId="0" applyNumberFormat="1" applyFont="1" applyFill="1" applyAlignment="1">
      <alignment horizontal="right" vertical="center"/>
    </xf>
    <xf numFmtId="14" fontId="38" fillId="5" borderId="3" xfId="0" applyNumberFormat="1" applyFont="1" applyFill="1" applyBorder="1" applyAlignment="1">
      <alignment horizontal="center" vertical="center"/>
    </xf>
    <xf numFmtId="0" fontId="30" fillId="0" borderId="0" xfId="0" applyFont="1" applyAlignment="1">
      <alignment horizontal="center" vertical="center"/>
    </xf>
    <xf numFmtId="10" fontId="38" fillId="0" borderId="3" xfId="0" applyNumberFormat="1" applyFont="1" applyBorder="1" applyAlignment="1">
      <alignment horizontal="right" vertical="center"/>
    </xf>
    <xf numFmtId="10" fontId="38" fillId="0" borderId="0" xfId="0" applyNumberFormat="1" applyFont="1" applyAlignment="1">
      <alignment horizontal="right" vertical="center"/>
    </xf>
    <xf numFmtId="14" fontId="38" fillId="0" borderId="3" xfId="0" applyNumberFormat="1" applyFont="1" applyBorder="1" applyAlignment="1">
      <alignment horizontal="center" vertical="center"/>
    </xf>
    <xf numFmtId="0" fontId="53" fillId="0" borderId="3" xfId="0" applyFont="1" applyBorder="1" applyAlignment="1">
      <alignment horizontal="center" vertical="center"/>
    </xf>
    <xf numFmtId="10" fontId="38" fillId="0" borderId="3" xfId="0" applyNumberFormat="1" applyFont="1" applyBorder="1" applyAlignment="1">
      <alignment horizontal="center" vertical="center"/>
    </xf>
    <xf numFmtId="176" fontId="7" fillId="3" borderId="1" xfId="0" applyNumberFormat="1" applyFont="1" applyFill="1" applyBorder="1" applyAlignment="1">
      <alignment horizontal="center" vertical="center"/>
    </xf>
    <xf numFmtId="10" fontId="38" fillId="3" borderId="3" xfId="0" applyNumberFormat="1" applyFont="1" applyFill="1" applyBorder="1" applyAlignment="1">
      <alignment horizontal="right" vertical="center"/>
    </xf>
    <xf numFmtId="176" fontId="4" fillId="6" borderId="1" xfId="0" applyNumberFormat="1" applyFont="1" applyFill="1" applyBorder="1" applyAlignment="1">
      <alignment horizontal="center" vertical="center" wrapText="1"/>
    </xf>
    <xf numFmtId="4" fontId="37" fillId="6" borderId="1" xfId="0" applyNumberFormat="1" applyFont="1" applyFill="1" applyBorder="1" applyAlignment="1">
      <alignment horizontal="center" vertical="center" wrapText="1"/>
    </xf>
    <xf numFmtId="0" fontId="6" fillId="6" borderId="1" xfId="0" applyFont="1" applyFill="1" applyBorder="1" applyAlignment="1">
      <alignment horizontal="center" vertical="center" wrapText="1"/>
    </xf>
    <xf numFmtId="10" fontId="6" fillId="6" borderId="1" xfId="0" applyNumberFormat="1" applyFont="1" applyFill="1" applyBorder="1" applyAlignment="1">
      <alignment horizontal="center" vertical="center" wrapText="1"/>
    </xf>
    <xf numFmtId="10" fontId="4" fillId="6" borderId="1" xfId="0" applyNumberFormat="1" applyFont="1" applyFill="1" applyBorder="1" applyAlignment="1">
      <alignment horizontal="center" vertical="center" wrapText="1"/>
    </xf>
    <xf numFmtId="10" fontId="4" fillId="6" borderId="1" xfId="0" applyNumberFormat="1" applyFont="1" applyFill="1" applyBorder="1" applyAlignment="1">
      <alignment horizontal="center" vertical="center"/>
    </xf>
    <xf numFmtId="0" fontId="4" fillId="6" borderId="0" xfId="0" applyFont="1" applyFill="1" applyAlignment="1">
      <alignment horizontal="center" vertical="center"/>
    </xf>
    <xf numFmtId="0" fontId="6" fillId="6" borderId="1" xfId="0" applyFont="1" applyFill="1" applyBorder="1" applyAlignment="1">
      <alignment horizontal="center" vertical="center"/>
    </xf>
    <xf numFmtId="10" fontId="6" fillId="6" borderId="1" xfId="0" applyNumberFormat="1" applyFont="1" applyFill="1" applyBorder="1" applyAlignment="1">
      <alignment horizontal="center" vertical="center"/>
    </xf>
    <xf numFmtId="10" fontId="37" fillId="6" borderId="1" xfId="0" applyNumberFormat="1" applyFont="1" applyFill="1" applyBorder="1" applyAlignment="1">
      <alignment horizontal="center" vertical="center"/>
    </xf>
    <xf numFmtId="0" fontId="37" fillId="6" borderId="0" xfId="0" applyFont="1" applyFill="1" applyAlignment="1">
      <alignment horizontal="center" vertical="center"/>
    </xf>
    <xf numFmtId="0" fontId="37" fillId="6" borderId="1" xfId="0" applyFont="1" applyFill="1" applyBorder="1" applyAlignment="1">
      <alignment horizontal="center" vertical="center"/>
    </xf>
    <xf numFmtId="0" fontId="38" fillId="6" borderId="3" xfId="0" applyFont="1" applyFill="1" applyBorder="1" applyAlignment="1">
      <alignment horizontal="center" vertical="center"/>
    </xf>
    <xf numFmtId="0" fontId="53" fillId="6" borderId="3" xfId="0" applyFont="1" applyFill="1" applyBorder="1" applyAlignment="1">
      <alignment horizontal="center" vertical="center"/>
    </xf>
    <xf numFmtId="10" fontId="38" fillId="6" borderId="3" xfId="0" applyNumberFormat="1" applyFont="1" applyFill="1" applyBorder="1" applyAlignment="1">
      <alignment horizontal="center" vertical="center"/>
    </xf>
    <xf numFmtId="10" fontId="38" fillId="5" borderId="3" xfId="0" applyNumberFormat="1" applyFont="1" applyFill="1" applyBorder="1" applyAlignment="1">
      <alignment horizontal="right" vertical="center"/>
    </xf>
    <xf numFmtId="14" fontId="6" fillId="5" borderId="1" xfId="0" applyNumberFormat="1" applyFont="1" applyFill="1" applyBorder="1" applyAlignment="1">
      <alignment horizontal="center" vertical="center" wrapText="1"/>
    </xf>
    <xf numFmtId="0" fontId="53" fillId="5" borderId="3" xfId="0" applyFont="1" applyFill="1" applyBorder="1" applyAlignment="1">
      <alignment horizontal="center" vertical="center"/>
    </xf>
    <xf numFmtId="10" fontId="38" fillId="5" borderId="3" xfId="0" applyNumberFormat="1" applyFont="1" applyFill="1" applyBorder="1" applyAlignment="1">
      <alignment horizontal="center" vertical="center"/>
    </xf>
    <xf numFmtId="14" fontId="6" fillId="0" borderId="1" xfId="0" applyNumberFormat="1" applyFont="1" applyBorder="1" applyAlignment="1">
      <alignment horizontal="center" vertical="center" wrapText="1"/>
    </xf>
    <xf numFmtId="4" fontId="37" fillId="0" borderId="0" xfId="0" applyNumberFormat="1" applyFont="1" applyAlignment="1">
      <alignment horizontal="center" vertical="center"/>
    </xf>
    <xf numFmtId="0" fontId="37" fillId="0" borderId="0" xfId="0" applyFont="1" applyAlignment="1">
      <alignment horizontal="center" vertical="center"/>
    </xf>
    <xf numFmtId="176" fontId="6" fillId="0" borderId="1" xfId="0" applyNumberFormat="1" applyFont="1" applyBorder="1" applyAlignment="1">
      <alignment horizontal="center" vertical="center" wrapText="1"/>
    </xf>
    <xf numFmtId="4" fontId="6" fillId="0" borderId="1" xfId="0" applyNumberFormat="1" applyFont="1" applyBorder="1" applyAlignment="1">
      <alignment horizontal="center" vertical="center" wrapText="1"/>
    </xf>
    <xf numFmtId="177" fontId="6" fillId="0" borderId="1" xfId="0" applyNumberFormat="1" applyFont="1" applyBorder="1" applyAlignment="1">
      <alignment horizontal="center" vertical="center"/>
    </xf>
    <xf numFmtId="4" fontId="6" fillId="0" borderId="1" xfId="0" applyNumberFormat="1" applyFont="1" applyBorder="1" applyAlignment="1">
      <alignment horizontal="center" vertical="center"/>
    </xf>
    <xf numFmtId="4" fontId="32" fillId="5" borderId="0" xfId="0" applyNumberFormat="1" applyFont="1" applyFill="1" applyAlignment="1">
      <alignment horizontal="center" vertical="center"/>
    </xf>
    <xf numFmtId="176" fontId="6" fillId="5" borderId="1" xfId="0" applyNumberFormat="1" applyFont="1" applyFill="1" applyBorder="1" applyAlignment="1">
      <alignment horizontal="center" vertical="center" wrapText="1"/>
    </xf>
    <xf numFmtId="4" fontId="37" fillId="5" borderId="0" xfId="0" applyNumberFormat="1" applyFont="1" applyFill="1" applyAlignment="1">
      <alignment horizontal="center" vertical="center"/>
    </xf>
    <xf numFmtId="14" fontId="6" fillId="5" borderId="1" xfId="0" applyNumberFormat="1" applyFont="1" applyFill="1" applyBorder="1" applyAlignment="1">
      <alignment horizontal="center" vertical="center"/>
    </xf>
    <xf numFmtId="177" fontId="6" fillId="5" borderId="1" xfId="0" applyNumberFormat="1" applyFont="1" applyFill="1" applyBorder="1" applyAlignment="1">
      <alignment horizontal="center" vertical="center"/>
    </xf>
    <xf numFmtId="4" fontId="6" fillId="5" borderId="1" xfId="0" applyNumberFormat="1" applyFont="1" applyFill="1" applyBorder="1" applyAlignment="1">
      <alignment horizontal="center" vertical="center"/>
    </xf>
    <xf numFmtId="0" fontId="37" fillId="5" borderId="0" xfId="0" applyFont="1" applyFill="1" applyAlignment="1">
      <alignment horizontal="center" vertical="center"/>
    </xf>
    <xf numFmtId="0" fontId="54" fillId="0" borderId="1" xfId="0" applyFont="1" applyBorder="1" applyAlignment="1">
      <alignment horizontal="center" vertical="center"/>
    </xf>
    <xf numFmtId="10" fontId="54" fillId="0" borderId="1" xfId="0" applyNumberFormat="1" applyFont="1" applyBorder="1" applyAlignment="1">
      <alignment horizontal="center" vertical="center"/>
    </xf>
    <xf numFmtId="0" fontId="30" fillId="0" borderId="1" xfId="0" applyFont="1" applyBorder="1" applyAlignment="1">
      <alignment vertical="center"/>
    </xf>
    <xf numFmtId="0" fontId="55" fillId="0" borderId="1" xfId="0" applyFont="1" applyBorder="1" applyAlignment="1">
      <alignment horizontal="center" vertical="center"/>
    </xf>
    <xf numFmtId="10" fontId="55" fillId="0" borderId="1" xfId="0" applyNumberFormat="1" applyFont="1" applyBorder="1" applyAlignment="1">
      <alignment horizontal="center" vertical="center"/>
    </xf>
    <xf numFmtId="4" fontId="37" fillId="0" borderId="0" xfId="0" applyNumberFormat="1" applyFont="1" applyAlignment="1">
      <alignment horizontal="center" vertical="center" wrapText="1"/>
    </xf>
    <xf numFmtId="14" fontId="6" fillId="0" borderId="1" xfId="0" applyNumberFormat="1" applyFont="1" applyBorder="1" applyAlignment="1">
      <alignment horizontal="center" vertical="center"/>
    </xf>
    <xf numFmtId="177" fontId="37" fillId="0" borderId="0" xfId="0" applyNumberFormat="1" applyFont="1" applyAlignment="1">
      <alignment horizontal="center" vertical="center"/>
    </xf>
    <xf numFmtId="14" fontId="56" fillId="0" borderId="0" xfId="0" applyNumberFormat="1" applyFont="1" applyAlignment="1">
      <alignment horizontal="center" vertical="center"/>
    </xf>
    <xf numFmtId="0" fontId="56" fillId="0" borderId="3" xfId="0" applyFont="1" applyBorder="1" applyAlignment="1">
      <alignment horizontal="center" vertical="center"/>
    </xf>
    <xf numFmtId="0" fontId="56" fillId="0" borderId="0" xfId="0" applyFont="1" applyAlignment="1">
      <alignment horizontal="center" vertical="center"/>
    </xf>
    <xf numFmtId="10" fontId="6" fillId="0" borderId="0" xfId="0" applyNumberFormat="1" applyFont="1" applyAlignment="1">
      <alignment horizontal="center" vertical="center"/>
    </xf>
    <xf numFmtId="0" fontId="57" fillId="0" borderId="1" xfId="0" applyFont="1" applyBorder="1" applyAlignment="1">
      <alignment horizontal="center" vertical="center" wrapText="1"/>
    </xf>
    <xf numFmtId="10" fontId="57" fillId="0" borderId="1" xfId="0" applyNumberFormat="1" applyFont="1" applyBorder="1" applyAlignment="1">
      <alignment horizontal="center" vertical="center" wrapText="1"/>
    </xf>
    <xf numFmtId="0" fontId="57" fillId="0" borderId="1" xfId="0" applyFont="1" applyBorder="1" applyAlignment="1">
      <alignment horizontal="center" vertical="center"/>
    </xf>
    <xf numFmtId="10" fontId="57" fillId="0" borderId="1" xfId="0" applyNumberFormat="1" applyFont="1" applyBorder="1" applyAlignment="1">
      <alignment horizontal="center" vertical="center"/>
    </xf>
    <xf numFmtId="0" fontId="58" fillId="0" borderId="1" xfId="0" applyFont="1" applyBorder="1" applyAlignment="1">
      <alignment horizontal="center" vertical="center"/>
    </xf>
    <xf numFmtId="10" fontId="58" fillId="0" borderId="1" xfId="0" applyNumberFormat="1" applyFont="1" applyBorder="1" applyAlignment="1">
      <alignment horizontal="center" vertical="center"/>
    </xf>
    <xf numFmtId="10" fontId="56" fillId="0" borderId="3" xfId="0" applyNumberFormat="1" applyFont="1" applyBorder="1" applyAlignment="1">
      <alignment horizontal="center" vertical="center"/>
    </xf>
    <xf numFmtId="14" fontId="37" fillId="0" borderId="1" xfId="0" applyNumberFormat="1" applyFont="1" applyBorder="1" applyAlignment="1">
      <alignment horizontal="center" vertical="center"/>
    </xf>
    <xf numFmtId="10" fontId="37" fillId="0" borderId="0" xfId="0" applyNumberFormat="1" applyFont="1" applyAlignment="1">
      <alignment horizontal="center" vertical="center"/>
    </xf>
    <xf numFmtId="4" fontId="32" fillId="0" borderId="1" xfId="0" applyNumberFormat="1" applyFont="1" applyBorder="1" applyAlignment="1">
      <alignment vertical="center"/>
    </xf>
    <xf numFmtId="0" fontId="58" fillId="0" borderId="1" xfId="0" applyFont="1" applyBorder="1" applyAlignment="1">
      <alignment horizontal="center" vertical="center" wrapText="1"/>
    </xf>
    <xf numFmtId="10" fontId="58" fillId="0" borderId="1" xfId="0" applyNumberFormat="1" applyFont="1" applyBorder="1" applyAlignment="1">
      <alignment horizontal="center" vertical="center" wrapText="1"/>
    </xf>
    <xf numFmtId="176" fontId="38" fillId="3" borderId="1" xfId="0" applyNumberFormat="1" applyFont="1" applyFill="1" applyBorder="1" applyAlignment="1">
      <alignment horizontal="center" vertical="center"/>
    </xf>
    <xf numFmtId="0" fontId="30" fillId="3" borderId="1" xfId="0" applyFont="1" applyFill="1" applyBorder="1" applyAlignment="1">
      <alignment vertical="center"/>
    </xf>
    <xf numFmtId="0" fontId="54" fillId="3" borderId="1" xfId="0" applyFont="1" applyFill="1" applyBorder="1" applyAlignment="1">
      <alignment horizontal="center" vertical="center"/>
    </xf>
    <xf numFmtId="10" fontId="54" fillId="3" borderId="1" xfId="0" applyNumberFormat="1" applyFont="1" applyFill="1" applyBorder="1" applyAlignment="1">
      <alignment horizontal="center" vertical="center"/>
    </xf>
    <xf numFmtId="10" fontId="35" fillId="3" borderId="1" xfId="0" applyNumberFormat="1" applyFont="1" applyFill="1" applyBorder="1" applyAlignment="1">
      <alignment horizontal="center" vertical="center"/>
    </xf>
    <xf numFmtId="0" fontId="38" fillId="3" borderId="1" xfId="0" applyFont="1" applyFill="1" applyBorder="1" applyAlignment="1">
      <alignment horizontal="center" vertical="center"/>
    </xf>
    <xf numFmtId="0" fontId="35" fillId="3" borderId="1" xfId="0" applyFont="1" applyFill="1" applyBorder="1" applyAlignment="1">
      <alignment horizontal="center" vertical="center"/>
    </xf>
    <xf numFmtId="0" fontId="55" fillId="3" borderId="1" xfId="0" applyFont="1" applyFill="1" applyBorder="1" applyAlignment="1">
      <alignment horizontal="center" vertical="center"/>
    </xf>
    <xf numFmtId="10" fontId="55" fillId="3" borderId="1" xfId="0" applyNumberFormat="1" applyFont="1" applyFill="1" applyBorder="1" applyAlignment="1">
      <alignment horizontal="center" vertical="center"/>
    </xf>
    <xf numFmtId="177" fontId="35" fillId="3" borderId="1" xfId="0" applyNumberFormat="1" applyFont="1" applyFill="1" applyBorder="1" applyAlignment="1">
      <alignment horizontal="center" vertical="center"/>
    </xf>
    <xf numFmtId="0" fontId="56" fillId="6"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57" fillId="6" borderId="1" xfId="0" applyFont="1" applyFill="1" applyBorder="1" applyAlignment="1">
      <alignment horizontal="center" vertical="center" wrapText="1"/>
    </xf>
    <xf numFmtId="10" fontId="57" fillId="6" borderId="1" xfId="0" applyNumberFormat="1" applyFont="1" applyFill="1" applyBorder="1" applyAlignment="1">
      <alignment horizontal="center" vertical="center" wrapText="1"/>
    </xf>
    <xf numFmtId="14" fontId="56" fillId="6" borderId="1" xfId="0" applyNumberFormat="1" applyFont="1" applyFill="1" applyBorder="1" applyAlignment="1">
      <alignment horizontal="center" vertical="center"/>
    </xf>
    <xf numFmtId="0" fontId="56" fillId="6" borderId="1" xfId="0" applyFont="1" applyFill="1" applyBorder="1" applyAlignment="1">
      <alignment horizontal="center" vertical="center"/>
    </xf>
    <xf numFmtId="177" fontId="37" fillId="6" borderId="1" xfId="0" applyNumberFormat="1" applyFont="1" applyFill="1" applyBorder="1" applyAlignment="1">
      <alignment horizontal="center" vertical="center"/>
    </xf>
    <xf numFmtId="0" fontId="58" fillId="6" borderId="1" xfId="0" applyFont="1" applyFill="1" applyBorder="1" applyAlignment="1">
      <alignment horizontal="center" vertical="center"/>
    </xf>
    <xf numFmtId="10" fontId="58" fillId="6" borderId="1" xfId="0" applyNumberFormat="1" applyFont="1" applyFill="1" applyBorder="1" applyAlignment="1">
      <alignment horizontal="center" vertical="center"/>
    </xf>
    <xf numFmtId="4" fontId="37" fillId="6" borderId="1" xfId="0" applyNumberFormat="1" applyFont="1" applyFill="1" applyBorder="1" applyAlignment="1">
      <alignment horizontal="center" vertical="center"/>
    </xf>
    <xf numFmtId="0" fontId="57" fillId="6" borderId="1" xfId="0" applyFont="1" applyFill="1" applyBorder="1" applyAlignment="1">
      <alignment horizontal="center" vertical="center"/>
    </xf>
    <xf numFmtId="10" fontId="57" fillId="6" borderId="1" xfId="0" applyNumberFormat="1" applyFont="1" applyFill="1" applyBorder="1" applyAlignment="1">
      <alignment horizontal="center" vertical="center"/>
    </xf>
    <xf numFmtId="10" fontId="56" fillId="6" borderId="1" xfId="0" applyNumberFormat="1" applyFont="1" applyFill="1" applyBorder="1" applyAlignment="1">
      <alignment horizontal="center" vertical="center"/>
    </xf>
    <xf numFmtId="14" fontId="56" fillId="6" borderId="0" xfId="0" applyNumberFormat="1" applyFont="1" applyFill="1" applyAlignment="1">
      <alignment horizontal="center" vertical="center"/>
    </xf>
    <xf numFmtId="0" fontId="56" fillId="6" borderId="3" xfId="0" applyFont="1" applyFill="1" applyBorder="1" applyAlignment="1">
      <alignment horizontal="center" vertical="center"/>
    </xf>
    <xf numFmtId="10" fontId="56" fillId="6" borderId="3" xfId="0" applyNumberFormat="1" applyFont="1" applyFill="1" applyBorder="1" applyAlignment="1">
      <alignment horizontal="center" vertical="center"/>
    </xf>
    <xf numFmtId="177" fontId="56" fillId="6" borderId="1" xfId="0" applyNumberFormat="1" applyFont="1" applyFill="1" applyBorder="1" applyAlignment="1">
      <alignment horizontal="center" vertical="center"/>
    </xf>
    <xf numFmtId="0" fontId="56" fillId="6" borderId="0" xfId="0" applyFont="1" applyFill="1" applyAlignment="1">
      <alignment horizontal="center" vertical="center"/>
    </xf>
    <xf numFmtId="10" fontId="56" fillId="6" borderId="0" xfId="0" applyNumberFormat="1" applyFont="1" applyFill="1" applyAlignment="1">
      <alignment horizontal="center" vertical="center"/>
    </xf>
    <xf numFmtId="176" fontId="38" fillId="0" borderId="1" xfId="0" applyNumberFormat="1" applyFont="1" applyBorder="1" applyAlignment="1">
      <alignment horizontal="center" vertical="center"/>
    </xf>
    <xf numFmtId="0" fontId="38" fillId="0" borderId="1" xfId="0" applyFont="1" applyBorder="1" applyAlignment="1">
      <alignment horizontal="center" vertical="center"/>
    </xf>
    <xf numFmtId="0" fontId="56" fillId="0" borderId="1" xfId="0" applyFont="1" applyBorder="1" applyAlignment="1">
      <alignment horizontal="center" vertical="center" wrapText="1"/>
    </xf>
    <xf numFmtId="0" fontId="4" fillId="0" borderId="1" xfId="0" applyFont="1" applyBorder="1" applyAlignment="1">
      <alignment horizontal="center" vertical="center" wrapText="1"/>
    </xf>
    <xf numFmtId="14" fontId="56" fillId="0" borderId="1" xfId="0" applyNumberFormat="1" applyFont="1" applyBorder="1" applyAlignment="1">
      <alignment horizontal="center" vertical="center"/>
    </xf>
    <xf numFmtId="0" fontId="56" fillId="0" borderId="1" xfId="0" applyFont="1" applyBorder="1" applyAlignment="1">
      <alignment horizontal="center" vertical="center"/>
    </xf>
    <xf numFmtId="10" fontId="56" fillId="0" borderId="1" xfId="0" applyNumberFormat="1" applyFont="1" applyBorder="1" applyAlignment="1">
      <alignment horizontal="center" vertical="center"/>
    </xf>
    <xf numFmtId="177" fontId="56" fillId="0" borderId="1" xfId="0" applyNumberFormat="1" applyFont="1" applyBorder="1" applyAlignment="1">
      <alignment horizontal="center" vertical="center"/>
    </xf>
    <xf numFmtId="4" fontId="56" fillId="0" borderId="1" xfId="0" applyNumberFormat="1" applyFont="1" applyBorder="1" applyAlignment="1">
      <alignment horizontal="center" vertical="center"/>
    </xf>
    <xf numFmtId="10" fontId="56" fillId="0" borderId="0" xfId="0" applyNumberFormat="1" applyFont="1" applyAlignment="1">
      <alignment horizontal="center" vertical="center"/>
    </xf>
    <xf numFmtId="0" fontId="38" fillId="0" borderId="1" xfId="0" applyFont="1" applyBorder="1" applyAlignment="1">
      <alignment horizontal="right" vertical="center"/>
    </xf>
    <xf numFmtId="177" fontId="59" fillId="0" borderId="1" xfId="0" applyNumberFormat="1" applyFont="1" applyBorder="1" applyAlignment="1">
      <alignment horizontal="center" vertical="center"/>
    </xf>
    <xf numFmtId="4" fontId="60" fillId="0" borderId="1" xfId="0" applyNumberFormat="1" applyFont="1" applyBorder="1" applyAlignment="1">
      <alignment vertical="center"/>
    </xf>
    <xf numFmtId="4" fontId="61" fillId="0" borderId="1" xfId="0" applyNumberFormat="1" applyFont="1" applyBorder="1" applyAlignment="1">
      <alignment horizontal="center" vertical="center" wrapText="1"/>
    </xf>
    <xf numFmtId="10" fontId="62" fillId="0" borderId="1" xfId="0" applyNumberFormat="1" applyFont="1" applyBorder="1" applyAlignment="1">
      <alignment horizontal="center" vertical="center" wrapText="1"/>
    </xf>
    <xf numFmtId="10" fontId="62" fillId="0" borderId="1" xfId="0" applyNumberFormat="1" applyFont="1" applyBorder="1" applyAlignment="1">
      <alignment horizontal="center" vertical="center"/>
    </xf>
    <xf numFmtId="0" fontId="63" fillId="13" borderId="1" xfId="0" applyFont="1" applyFill="1" applyBorder="1" applyAlignment="1">
      <alignment horizontal="right" vertical="center"/>
    </xf>
    <xf numFmtId="10" fontId="63" fillId="13" borderId="1" xfId="0" applyNumberFormat="1" applyFont="1" applyFill="1" applyBorder="1" applyAlignment="1">
      <alignment horizontal="right" vertical="center"/>
    </xf>
    <xf numFmtId="0" fontId="63" fillId="14" borderId="1" xfId="0" applyFont="1" applyFill="1" applyBorder="1" applyAlignment="1">
      <alignment horizontal="right" vertical="center"/>
    </xf>
    <xf numFmtId="10" fontId="63" fillId="14" borderId="1" xfId="0" applyNumberFormat="1" applyFont="1" applyFill="1" applyBorder="1" applyAlignment="1">
      <alignment horizontal="right" vertical="center"/>
    </xf>
    <xf numFmtId="4" fontId="64" fillId="0" borderId="1" xfId="0" applyNumberFormat="1" applyFont="1" applyBorder="1" applyAlignment="1">
      <alignment horizontal="center" vertical="center" wrapText="1"/>
    </xf>
    <xf numFmtId="177" fontId="61" fillId="0" borderId="1" xfId="0" applyNumberFormat="1" applyFont="1" applyBorder="1" applyAlignment="1">
      <alignment horizontal="center" vertical="center"/>
    </xf>
    <xf numFmtId="0" fontId="58" fillId="13" borderId="1" xfId="0" applyFont="1" applyFill="1" applyBorder="1" applyAlignment="1">
      <alignment horizontal="center" vertical="center"/>
    </xf>
    <xf numFmtId="10" fontId="58" fillId="13" borderId="1" xfId="0" applyNumberFormat="1" applyFont="1" applyFill="1" applyBorder="1" applyAlignment="1">
      <alignment horizontal="center" vertical="center"/>
    </xf>
    <xf numFmtId="10" fontId="56" fillId="14" borderId="1" xfId="0" applyNumberFormat="1" applyFont="1" applyFill="1" applyBorder="1" applyAlignment="1">
      <alignment horizontal="center" vertical="center"/>
    </xf>
    <xf numFmtId="0" fontId="56" fillId="14" borderId="1" xfId="0" applyFont="1" applyFill="1" applyBorder="1" applyAlignment="1">
      <alignment horizontal="center" vertical="center"/>
    </xf>
    <xf numFmtId="4" fontId="61" fillId="0" borderId="1" xfId="0" applyNumberFormat="1" applyFont="1" applyBorder="1" applyAlignment="1">
      <alignment horizontal="center" vertical="center"/>
    </xf>
    <xf numFmtId="0" fontId="65" fillId="13" borderId="1" xfId="0" applyFont="1" applyFill="1" applyBorder="1" applyAlignment="1">
      <alignment horizontal="center" vertical="center"/>
    </xf>
    <xf numFmtId="10" fontId="65" fillId="13" borderId="1" xfId="0" applyNumberFormat="1" applyFont="1" applyFill="1" applyBorder="1" applyAlignment="1">
      <alignment horizontal="center" vertical="center"/>
    </xf>
    <xf numFmtId="0" fontId="65" fillId="14" borderId="1" xfId="0" applyFont="1" applyFill="1" applyBorder="1" applyAlignment="1">
      <alignment horizontal="center" vertical="center"/>
    </xf>
    <xf numFmtId="10" fontId="65" fillId="14" borderId="1" xfId="0" applyNumberFormat="1" applyFont="1" applyFill="1" applyBorder="1" applyAlignment="1">
      <alignment horizontal="center" vertical="center"/>
    </xf>
    <xf numFmtId="0" fontId="58" fillId="14" borderId="1" xfId="0" applyFont="1" applyFill="1" applyBorder="1" applyAlignment="1">
      <alignment horizontal="center" vertical="center"/>
    </xf>
    <xf numFmtId="10" fontId="58" fillId="14" borderId="1" xfId="0" applyNumberFormat="1" applyFont="1" applyFill="1" applyBorder="1" applyAlignment="1">
      <alignment horizontal="center" vertical="center"/>
    </xf>
    <xf numFmtId="177" fontId="38" fillId="0" borderId="1" xfId="0" applyNumberFormat="1" applyFont="1" applyBorder="1" applyAlignment="1">
      <alignment horizontal="center" vertical="center"/>
    </xf>
    <xf numFmtId="0" fontId="54" fillId="14" borderId="1" xfId="0" applyFont="1" applyFill="1" applyBorder="1" applyAlignment="1">
      <alignment horizontal="right" vertical="center"/>
    </xf>
    <xf numFmtId="10" fontId="54" fillId="14" borderId="1" xfId="0" applyNumberFormat="1" applyFont="1" applyFill="1" applyBorder="1" applyAlignment="1">
      <alignment horizontal="right" vertical="center"/>
    </xf>
    <xf numFmtId="0" fontId="58" fillId="14" borderId="1" xfId="0" applyFont="1" applyFill="1" applyBorder="1" applyAlignment="1">
      <alignment horizontal="center" vertical="center" wrapText="1"/>
    </xf>
    <xf numFmtId="10" fontId="58" fillId="14" borderId="1" xfId="0" applyNumberFormat="1" applyFont="1" applyFill="1" applyBorder="1" applyAlignment="1">
      <alignment horizontal="center" vertical="center" wrapText="1"/>
    </xf>
    <xf numFmtId="0" fontId="65" fillId="15" borderId="1" xfId="0" applyFont="1" applyFill="1" applyBorder="1" applyAlignment="1">
      <alignment horizontal="center" vertical="center"/>
    </xf>
    <xf numFmtId="10" fontId="65" fillId="15" borderId="1" xfId="0" applyNumberFormat="1" applyFont="1" applyFill="1" applyBorder="1" applyAlignment="1">
      <alignment horizontal="center" vertical="center"/>
    </xf>
    <xf numFmtId="176" fontId="38" fillId="5" borderId="1" xfId="0" applyNumberFormat="1" applyFont="1" applyFill="1" applyBorder="1" applyAlignment="1">
      <alignment horizontal="center" vertical="center"/>
    </xf>
    <xf numFmtId="0" fontId="38" fillId="5" borderId="1" xfId="0" applyFont="1" applyFill="1" applyBorder="1" applyAlignment="1">
      <alignment horizontal="right" vertical="center"/>
    </xf>
    <xf numFmtId="0" fontId="63" fillId="5" borderId="1" xfId="0" applyFont="1" applyFill="1" applyBorder="1" applyAlignment="1">
      <alignment horizontal="right" vertical="center"/>
    </xf>
    <xf numFmtId="10" fontId="63" fillId="5" borderId="1" xfId="0" applyNumberFormat="1" applyFont="1" applyFill="1" applyBorder="1" applyAlignment="1">
      <alignment horizontal="right" vertical="center"/>
    </xf>
    <xf numFmtId="10" fontId="38" fillId="5" borderId="1" xfId="0" applyNumberFormat="1" applyFont="1" applyFill="1" applyBorder="1" applyAlignment="1">
      <alignment horizontal="center" vertical="center"/>
    </xf>
    <xf numFmtId="0" fontId="38" fillId="5" borderId="1" xfId="0" applyFont="1" applyFill="1" applyBorder="1" applyAlignment="1">
      <alignment horizontal="center" vertical="center"/>
    </xf>
    <xf numFmtId="14" fontId="38" fillId="5" borderId="1" xfId="0" applyNumberFormat="1" applyFont="1" applyFill="1" applyBorder="1" applyAlignment="1">
      <alignment horizontal="center" vertical="center"/>
    </xf>
    <xf numFmtId="0" fontId="55" fillId="5" borderId="1" xfId="0" applyFont="1" applyFill="1" applyBorder="1" applyAlignment="1">
      <alignment horizontal="right" vertical="center"/>
    </xf>
    <xf numFmtId="10" fontId="55" fillId="5" borderId="1" xfId="0" applyNumberFormat="1" applyFont="1" applyFill="1" applyBorder="1" applyAlignment="1">
      <alignment horizontal="right" vertical="center"/>
    </xf>
    <xf numFmtId="177" fontId="38" fillId="5" borderId="1" xfId="0" applyNumberFormat="1" applyFont="1" applyFill="1" applyBorder="1" applyAlignment="1">
      <alignment horizontal="center" vertical="center"/>
    </xf>
    <xf numFmtId="0" fontId="56" fillId="5" borderId="1" xfId="0" applyFont="1" applyFill="1" applyBorder="1" applyAlignment="1">
      <alignment horizontal="center" vertical="center" wrapText="1"/>
    </xf>
    <xf numFmtId="0" fontId="58" fillId="5" borderId="1" xfId="0" applyFont="1" applyFill="1" applyBorder="1" applyAlignment="1">
      <alignment horizontal="center" vertical="center" wrapText="1"/>
    </xf>
    <xf numFmtId="10" fontId="58" fillId="5" borderId="1" xfId="0" applyNumberFormat="1" applyFont="1" applyFill="1" applyBorder="1" applyAlignment="1">
      <alignment horizontal="center" vertical="center" wrapText="1"/>
    </xf>
    <xf numFmtId="14" fontId="56" fillId="5" borderId="1" xfId="0" applyNumberFormat="1" applyFont="1" applyFill="1" applyBorder="1" applyAlignment="1">
      <alignment horizontal="center" vertical="center"/>
    </xf>
    <xf numFmtId="0" fontId="56" fillId="5" borderId="1" xfId="0" applyFont="1" applyFill="1" applyBorder="1" applyAlignment="1">
      <alignment horizontal="center" vertical="center"/>
    </xf>
    <xf numFmtId="177" fontId="56" fillId="5" borderId="1" xfId="0" applyNumberFormat="1" applyFont="1" applyFill="1" applyBorder="1" applyAlignment="1">
      <alignment horizontal="center" vertical="center"/>
    </xf>
    <xf numFmtId="0" fontId="58" fillId="5" borderId="1" xfId="0" applyFont="1" applyFill="1" applyBorder="1" applyAlignment="1">
      <alignment horizontal="center" vertical="center"/>
    </xf>
    <xf numFmtId="10" fontId="58" fillId="5" borderId="1" xfId="0" applyNumberFormat="1" applyFont="1" applyFill="1" applyBorder="1" applyAlignment="1">
      <alignment horizontal="center" vertical="center"/>
    </xf>
    <xf numFmtId="10" fontId="56" fillId="5" borderId="1" xfId="0" applyNumberFormat="1" applyFont="1" applyFill="1" applyBorder="1" applyAlignment="1">
      <alignment horizontal="center" vertical="center"/>
    </xf>
    <xf numFmtId="14" fontId="56" fillId="5" borderId="0" xfId="0" applyNumberFormat="1" applyFont="1" applyFill="1" applyAlignment="1">
      <alignment horizontal="center" vertical="center"/>
    </xf>
    <xf numFmtId="0" fontId="56" fillId="5" borderId="3" xfId="0" applyFont="1" applyFill="1" applyBorder="1" applyAlignment="1">
      <alignment horizontal="center" vertical="center"/>
    </xf>
    <xf numFmtId="10" fontId="56" fillId="5" borderId="3" xfId="0" applyNumberFormat="1" applyFont="1" applyFill="1" applyBorder="1" applyAlignment="1">
      <alignment horizontal="center" vertical="center"/>
    </xf>
    <xf numFmtId="0" fontId="65" fillId="5" borderId="1" xfId="0" applyFont="1" applyFill="1" applyBorder="1" applyAlignment="1">
      <alignment horizontal="center" vertical="center"/>
    </xf>
    <xf numFmtId="10" fontId="65" fillId="5" borderId="1" xfId="0" applyNumberFormat="1" applyFont="1" applyFill="1" applyBorder="1" applyAlignment="1">
      <alignment horizontal="center" vertical="center"/>
    </xf>
    <xf numFmtId="0" fontId="57" fillId="5" borderId="1" xfId="0" applyFont="1" applyFill="1" applyBorder="1" applyAlignment="1">
      <alignment horizontal="center" vertical="center"/>
    </xf>
    <xf numFmtId="10" fontId="57" fillId="5" borderId="1" xfId="0" applyNumberFormat="1" applyFont="1" applyFill="1" applyBorder="1" applyAlignment="1">
      <alignment horizontal="center" vertical="center"/>
    </xf>
    <xf numFmtId="0" fontId="56" fillId="5" borderId="0" xfId="0" applyFont="1" applyFill="1" applyAlignment="1">
      <alignment horizontal="center" vertical="center"/>
    </xf>
    <xf numFmtId="10" fontId="56" fillId="5" borderId="0" xfId="0" applyNumberFormat="1" applyFont="1" applyFill="1" applyAlignment="1">
      <alignment horizontal="center" vertical="center"/>
    </xf>
    <xf numFmtId="10" fontId="38" fillId="0" borderId="1" xfId="0" applyNumberFormat="1" applyFont="1" applyBorder="1" applyAlignment="1">
      <alignment horizontal="center" vertical="center"/>
    </xf>
    <xf numFmtId="14" fontId="38" fillId="0" borderId="1" xfId="0" applyNumberFormat="1" applyFont="1" applyBorder="1" applyAlignment="1">
      <alignment horizontal="center" vertical="center"/>
    </xf>
    <xf numFmtId="0" fontId="65" fillId="0" borderId="1" xfId="0" applyFont="1" applyBorder="1" applyAlignment="1">
      <alignment horizontal="center" vertical="center"/>
    </xf>
    <xf numFmtId="10" fontId="65" fillId="0" borderId="1" xfId="0" applyNumberFormat="1" applyFont="1" applyBorder="1" applyAlignment="1">
      <alignment horizontal="center" vertical="center"/>
    </xf>
    <xf numFmtId="0" fontId="58" fillId="15" borderId="1" xfId="0" applyFont="1" applyFill="1" applyBorder="1" applyAlignment="1">
      <alignment horizontal="center" vertical="center"/>
    </xf>
    <xf numFmtId="10" fontId="58" fillId="15" borderId="1" xfId="0" applyNumberFormat="1" applyFont="1" applyFill="1" applyBorder="1" applyAlignment="1">
      <alignment horizontal="center" vertical="center"/>
    </xf>
    <xf numFmtId="0" fontId="55" fillId="14" borderId="1" xfId="0" applyFont="1" applyFill="1" applyBorder="1" applyAlignment="1">
      <alignment horizontal="right" vertical="center"/>
    </xf>
    <xf numFmtId="10" fontId="55" fillId="14" borderId="1" xfId="0" applyNumberFormat="1" applyFont="1" applyFill="1" applyBorder="1" applyAlignment="1">
      <alignment horizontal="right" vertical="center"/>
    </xf>
    <xf numFmtId="177" fontId="66" fillId="5" borderId="1" xfId="0" applyNumberFormat="1" applyFont="1" applyFill="1" applyBorder="1" applyAlignment="1">
      <alignment horizontal="center" vertical="center"/>
    </xf>
    <xf numFmtId="0" fontId="65" fillId="14" borderId="1" xfId="0" applyFont="1" applyFill="1" applyBorder="1" applyAlignment="1">
      <alignment horizontal="center" vertical="center" wrapText="1"/>
    </xf>
    <xf numFmtId="10" fontId="65" fillId="14" borderId="1" xfId="0" applyNumberFormat="1" applyFont="1" applyFill="1" applyBorder="1" applyAlignment="1">
      <alignment horizontal="center" vertical="center" wrapText="1"/>
    </xf>
    <xf numFmtId="10" fontId="67" fillId="0" borderId="1" xfId="0" applyNumberFormat="1" applyFont="1" applyBorder="1" applyAlignment="1">
      <alignment horizontal="center" vertical="center"/>
    </xf>
    <xf numFmtId="176" fontId="4" fillId="10" borderId="1" xfId="0" applyNumberFormat="1" applyFont="1" applyFill="1" applyBorder="1" applyAlignment="1">
      <alignment horizontal="center" vertical="center"/>
    </xf>
    <xf numFmtId="176" fontId="38" fillId="10" borderId="1" xfId="0" applyNumberFormat="1" applyFont="1" applyFill="1" applyBorder="1" applyAlignment="1">
      <alignment horizontal="center" vertical="center"/>
    </xf>
    <xf numFmtId="0" fontId="38" fillId="10" borderId="1" xfId="0" applyFont="1" applyFill="1" applyBorder="1" applyAlignment="1">
      <alignment horizontal="right" vertical="center"/>
    </xf>
    <xf numFmtId="0" fontId="63" fillId="10" borderId="1" xfId="0" applyFont="1" applyFill="1" applyBorder="1" applyAlignment="1">
      <alignment horizontal="right" vertical="center"/>
    </xf>
    <xf numFmtId="10" fontId="63" fillId="10" borderId="1" xfId="0" applyNumberFormat="1" applyFont="1" applyFill="1" applyBorder="1" applyAlignment="1">
      <alignment horizontal="right" vertical="center"/>
    </xf>
    <xf numFmtId="10" fontId="3" fillId="10" borderId="1" xfId="0" applyNumberFormat="1" applyFont="1" applyFill="1" applyBorder="1" applyAlignment="1">
      <alignment vertical="center"/>
    </xf>
    <xf numFmtId="10" fontId="3" fillId="10" borderId="0" xfId="0" applyNumberFormat="1" applyFont="1" applyFill="1" applyAlignment="1">
      <alignment vertical="center"/>
    </xf>
    <xf numFmtId="0" fontId="38" fillId="10" borderId="1" xfId="0" applyFont="1" applyFill="1" applyBorder="1" applyAlignment="1">
      <alignment horizontal="center" vertical="center"/>
    </xf>
    <xf numFmtId="10" fontId="38" fillId="10" borderId="1" xfId="0" applyNumberFormat="1" applyFont="1" applyFill="1" applyBorder="1" applyAlignment="1">
      <alignment horizontal="center" vertical="center"/>
    </xf>
    <xf numFmtId="14" fontId="38" fillId="10" borderId="1" xfId="0" applyNumberFormat="1" applyFont="1" applyFill="1" applyBorder="1" applyAlignment="1">
      <alignment horizontal="center" vertical="center"/>
    </xf>
    <xf numFmtId="177" fontId="38" fillId="10" borderId="1" xfId="0" applyNumberFormat="1" applyFont="1" applyFill="1" applyBorder="1" applyAlignment="1">
      <alignment horizontal="center" vertical="center"/>
    </xf>
    <xf numFmtId="0" fontId="55" fillId="10" borderId="1" xfId="0" applyFont="1" applyFill="1" applyBorder="1" applyAlignment="1">
      <alignment horizontal="right" vertical="center"/>
    </xf>
    <xf numFmtId="10" fontId="55" fillId="10" borderId="1" xfId="0" applyNumberFormat="1" applyFont="1" applyFill="1" applyBorder="1" applyAlignment="1">
      <alignment horizontal="right" vertical="center"/>
    </xf>
    <xf numFmtId="0" fontId="3" fillId="10" borderId="1" xfId="0" applyFont="1" applyFill="1" applyBorder="1" applyAlignment="1">
      <alignment vertical="center"/>
    </xf>
    <xf numFmtId="176" fontId="4" fillId="7" borderId="1" xfId="0" applyNumberFormat="1" applyFont="1" applyFill="1" applyBorder="1" applyAlignment="1">
      <alignment horizontal="center" vertical="center" wrapText="1"/>
    </xf>
    <xf numFmtId="0" fontId="56" fillId="7" borderId="1" xfId="0" applyFont="1" applyFill="1" applyBorder="1" applyAlignment="1">
      <alignment horizontal="center" vertical="center" wrapText="1"/>
    </xf>
    <xf numFmtId="0" fontId="65" fillId="7" borderId="1" xfId="0" applyFont="1" applyFill="1" applyBorder="1" applyAlignment="1">
      <alignment horizontal="center" vertical="center" wrapText="1"/>
    </xf>
    <xf numFmtId="10" fontId="65" fillId="7" borderId="1" xfId="0" applyNumberFormat="1" applyFont="1" applyFill="1" applyBorder="1" applyAlignment="1">
      <alignment horizontal="center" vertical="center" wrapText="1"/>
    </xf>
    <xf numFmtId="10" fontId="4" fillId="7" borderId="1" xfId="0" applyNumberFormat="1" applyFont="1" applyFill="1" applyBorder="1" applyAlignment="1">
      <alignment horizontal="center" vertical="center" wrapText="1"/>
    </xf>
    <xf numFmtId="10" fontId="4" fillId="7" borderId="1" xfId="0" applyNumberFormat="1" applyFont="1" applyFill="1" applyBorder="1" applyAlignment="1">
      <alignment horizontal="center" vertical="center"/>
    </xf>
    <xf numFmtId="14" fontId="56" fillId="7" borderId="1" xfId="0" applyNumberFormat="1" applyFont="1" applyFill="1" applyBorder="1" applyAlignment="1">
      <alignment horizontal="center" vertical="center"/>
    </xf>
    <xf numFmtId="0" fontId="56" fillId="7" borderId="1" xfId="0" applyFont="1" applyFill="1" applyBorder="1" applyAlignment="1">
      <alignment horizontal="center" vertical="center"/>
    </xf>
    <xf numFmtId="177" fontId="56" fillId="7" borderId="1" xfId="0" applyNumberFormat="1" applyFont="1" applyFill="1" applyBorder="1" applyAlignment="1">
      <alignment horizontal="center" vertical="center"/>
    </xf>
    <xf numFmtId="0" fontId="65" fillId="7" borderId="1" xfId="0" applyFont="1" applyFill="1" applyBorder="1" applyAlignment="1">
      <alignment horizontal="center" vertical="center"/>
    </xf>
    <xf numFmtId="10" fontId="65" fillId="7" borderId="1" xfId="0" applyNumberFormat="1" applyFont="1" applyFill="1" applyBorder="1" applyAlignment="1">
      <alignment horizontal="center" vertical="center"/>
    </xf>
    <xf numFmtId="0" fontId="58" fillId="7" borderId="1" xfId="0" applyFont="1" applyFill="1" applyBorder="1" applyAlignment="1">
      <alignment horizontal="center" vertical="center"/>
    </xf>
    <xf numFmtId="10" fontId="58" fillId="7" borderId="1" xfId="0" applyNumberFormat="1" applyFont="1" applyFill="1" applyBorder="1" applyAlignment="1">
      <alignment horizontal="center" vertical="center"/>
    </xf>
    <xf numFmtId="10" fontId="56" fillId="7" borderId="1" xfId="0" applyNumberFormat="1" applyFont="1" applyFill="1" applyBorder="1" applyAlignment="1">
      <alignment horizontal="center" vertical="center"/>
    </xf>
    <xf numFmtId="0" fontId="6" fillId="7" borderId="1" xfId="0" applyFont="1" applyFill="1" applyBorder="1" applyAlignment="1">
      <alignment horizontal="center" vertical="center"/>
    </xf>
    <xf numFmtId="10" fontId="6" fillId="7" borderId="1" xfId="0" applyNumberFormat="1" applyFont="1" applyFill="1" applyBorder="1" applyAlignment="1">
      <alignment horizontal="center" vertical="center"/>
    </xf>
    <xf numFmtId="14" fontId="56" fillId="7" borderId="0" xfId="0" applyNumberFormat="1" applyFont="1" applyFill="1" applyAlignment="1">
      <alignment horizontal="center" vertical="center"/>
    </xf>
    <xf numFmtId="0" fontId="56" fillId="7" borderId="3" xfId="0" applyFont="1" applyFill="1" applyBorder="1" applyAlignment="1">
      <alignment horizontal="center" vertical="center"/>
    </xf>
    <xf numFmtId="10" fontId="56" fillId="7" borderId="3" xfId="0" applyNumberFormat="1" applyFont="1" applyFill="1" applyBorder="1" applyAlignment="1">
      <alignment horizontal="center" vertical="center"/>
    </xf>
    <xf numFmtId="0" fontId="37" fillId="7" borderId="1" xfId="0" applyFont="1" applyFill="1" applyBorder="1" applyAlignment="1">
      <alignment horizontal="center" vertical="center"/>
    </xf>
    <xf numFmtId="0" fontId="57" fillId="7" borderId="1" xfId="0" applyFont="1" applyFill="1" applyBorder="1" applyAlignment="1">
      <alignment horizontal="center" vertical="center"/>
    </xf>
    <xf numFmtId="10" fontId="57" fillId="7" borderId="1" xfId="0" applyNumberFormat="1" applyFont="1" applyFill="1" applyBorder="1" applyAlignment="1">
      <alignment horizontal="center" vertical="center"/>
    </xf>
    <xf numFmtId="0" fontId="56" fillId="7" borderId="0" xfId="0" applyFont="1" applyFill="1" applyAlignment="1">
      <alignment horizontal="center" vertical="center"/>
    </xf>
    <xf numFmtId="10" fontId="56" fillId="7" borderId="0" xfId="0" applyNumberFormat="1" applyFont="1" applyFill="1" applyAlignment="1">
      <alignment horizontal="center" vertical="center"/>
    </xf>
    <xf numFmtId="0" fontId="38" fillId="7" borderId="3" xfId="0" applyFont="1" applyFill="1" applyBorder="1" applyAlignment="1">
      <alignment horizontal="center" vertical="center"/>
    </xf>
    <xf numFmtId="0" fontId="53" fillId="7" borderId="3" xfId="0" applyFont="1" applyFill="1" applyBorder="1" applyAlignment="1">
      <alignment horizontal="center" vertical="center"/>
    </xf>
    <xf numFmtId="10" fontId="38" fillId="7" borderId="3" xfId="0" applyNumberFormat="1" applyFont="1" applyFill="1" applyBorder="1" applyAlignment="1">
      <alignment horizontal="center" vertical="center"/>
    </xf>
    <xf numFmtId="0" fontId="8" fillId="7" borderId="1" xfId="0" applyFont="1" applyFill="1" applyBorder="1" applyAlignment="1">
      <alignment horizontal="center" vertical="center"/>
    </xf>
    <xf numFmtId="10" fontId="38" fillId="14" borderId="1" xfId="0" applyNumberFormat="1" applyFont="1" applyFill="1" applyBorder="1" applyAlignment="1">
      <alignment horizontal="right" vertical="center"/>
    </xf>
    <xf numFmtId="0" fontId="58" fillId="6" borderId="1" xfId="0" applyFont="1" applyFill="1" applyBorder="1" applyAlignment="1">
      <alignment horizontal="center" vertical="center" wrapText="1"/>
    </xf>
    <xf numFmtId="10" fontId="58" fillId="6" borderId="1" xfId="0" applyNumberFormat="1" applyFont="1" applyFill="1" applyBorder="1" applyAlignment="1">
      <alignment horizontal="center" vertical="center" wrapText="1"/>
    </xf>
    <xf numFmtId="0" fontId="65" fillId="6" borderId="1" xfId="0" applyFont="1" applyFill="1" applyBorder="1" applyAlignment="1">
      <alignment horizontal="center" vertical="center"/>
    </xf>
    <xf numFmtId="10" fontId="65" fillId="6"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177" fontId="37" fillId="14" borderId="1" xfId="0" applyNumberFormat="1" applyFont="1" applyFill="1" applyBorder="1" applyAlignment="1">
      <alignment horizontal="center" vertical="center" wrapText="1"/>
    </xf>
    <xf numFmtId="14" fontId="56" fillId="14" borderId="1" xfId="0" applyNumberFormat="1" applyFont="1" applyFill="1" applyBorder="1" applyAlignment="1">
      <alignment horizontal="center" vertical="center"/>
    </xf>
    <xf numFmtId="10" fontId="4" fillId="14" borderId="1" xfId="0" applyNumberFormat="1" applyFont="1" applyFill="1" applyBorder="1" applyAlignment="1">
      <alignment horizontal="center" vertical="center"/>
    </xf>
    <xf numFmtId="10" fontId="37" fillId="14" borderId="1" xfId="0" applyNumberFormat="1" applyFont="1" applyFill="1" applyBorder="1" applyAlignment="1">
      <alignment horizontal="center" vertical="center" wrapText="1"/>
    </xf>
    <xf numFmtId="0" fontId="56" fillId="3" borderId="1" xfId="0" applyFont="1" applyFill="1" applyBorder="1" applyAlignment="1">
      <alignment horizontal="center" vertical="center" wrapText="1"/>
    </xf>
    <xf numFmtId="0" fontId="58" fillId="3" borderId="1" xfId="0" applyFont="1" applyFill="1" applyBorder="1" applyAlignment="1">
      <alignment horizontal="center" vertical="center" wrapText="1"/>
    </xf>
    <xf numFmtId="10" fontId="58" fillId="3" borderId="1" xfId="0" applyNumberFormat="1" applyFont="1" applyFill="1" applyBorder="1" applyAlignment="1">
      <alignment horizontal="center" vertical="center" wrapText="1"/>
    </xf>
    <xf numFmtId="14" fontId="56" fillId="3" borderId="1" xfId="0" applyNumberFormat="1" applyFont="1" applyFill="1" applyBorder="1" applyAlignment="1">
      <alignment horizontal="center" vertical="center"/>
    </xf>
    <xf numFmtId="0" fontId="56" fillId="3" borderId="1" xfId="0" applyFont="1" applyFill="1" applyBorder="1" applyAlignment="1">
      <alignment horizontal="center" vertical="center"/>
    </xf>
    <xf numFmtId="177" fontId="56" fillId="3" borderId="1" xfId="0" applyNumberFormat="1" applyFont="1" applyFill="1" applyBorder="1" applyAlignment="1">
      <alignment horizontal="center" vertical="center"/>
    </xf>
    <xf numFmtId="0" fontId="65" fillId="3" borderId="1" xfId="0" applyFont="1" applyFill="1" applyBorder="1" applyAlignment="1">
      <alignment horizontal="center" vertical="center"/>
    </xf>
    <xf numFmtId="10" fontId="65" fillId="3" borderId="1" xfId="0" applyNumberFormat="1" applyFont="1" applyFill="1" applyBorder="1" applyAlignment="1">
      <alignment horizontal="center" vertical="center"/>
    </xf>
    <xf numFmtId="10" fontId="56" fillId="3" borderId="1" xfId="0" applyNumberFormat="1" applyFont="1" applyFill="1" applyBorder="1" applyAlignment="1">
      <alignment horizontal="center" vertical="center"/>
    </xf>
    <xf numFmtId="0" fontId="58" fillId="3" borderId="1" xfId="0" applyFont="1" applyFill="1" applyBorder="1" applyAlignment="1">
      <alignment horizontal="center" vertical="center"/>
    </xf>
    <xf numFmtId="10" fontId="58" fillId="3" borderId="1" xfId="0" applyNumberFormat="1" applyFont="1" applyFill="1" applyBorder="1" applyAlignment="1">
      <alignment horizontal="center" vertical="center"/>
    </xf>
    <xf numFmtId="177" fontId="37" fillId="3" borderId="1" xfId="0" applyNumberFormat="1" applyFont="1" applyFill="1" applyBorder="1" applyAlignment="1">
      <alignment horizontal="center" vertical="center" wrapText="1"/>
    </xf>
    <xf numFmtId="10" fontId="37" fillId="3" borderId="1" xfId="0" applyNumberFormat="1" applyFont="1" applyFill="1" applyBorder="1" applyAlignment="1">
      <alignment horizontal="center" vertical="center" wrapText="1"/>
    </xf>
    <xf numFmtId="14" fontId="4" fillId="3" borderId="1" xfId="0" applyNumberFormat="1" applyFont="1" applyFill="1" applyBorder="1" applyAlignment="1">
      <alignment horizontal="center" vertical="center"/>
    </xf>
    <xf numFmtId="0" fontId="57" fillId="3" borderId="1" xfId="0" applyFont="1" applyFill="1" applyBorder="1" applyAlignment="1">
      <alignment horizontal="center" vertical="center"/>
    </xf>
    <xf numFmtId="10" fontId="57" fillId="3" borderId="1" xfId="0" applyNumberFormat="1" applyFont="1" applyFill="1" applyBorder="1" applyAlignment="1">
      <alignment horizontal="center" vertical="center"/>
    </xf>
    <xf numFmtId="0" fontId="4" fillId="3" borderId="0" xfId="0" applyFont="1" applyFill="1" applyAlignment="1">
      <alignment horizontal="center" vertical="center"/>
    </xf>
    <xf numFmtId="0" fontId="68" fillId="0" borderId="1" xfId="0" applyFont="1" applyBorder="1" applyAlignment="1">
      <alignment horizontal="center" vertical="center" wrapText="1"/>
    </xf>
    <xf numFmtId="14" fontId="37" fillId="14" borderId="1" xfId="0" applyNumberFormat="1" applyFont="1" applyFill="1" applyBorder="1" applyAlignment="1">
      <alignment horizontal="center" vertical="center" wrapText="1"/>
    </xf>
    <xf numFmtId="10" fontId="68" fillId="14" borderId="1" xfId="0" applyNumberFormat="1" applyFont="1" applyFill="1" applyBorder="1" applyAlignment="1">
      <alignment horizontal="center" vertical="center" wrapText="1"/>
    </xf>
    <xf numFmtId="0" fontId="55" fillId="13" borderId="1" xfId="0" applyFont="1" applyFill="1" applyBorder="1" applyAlignment="1">
      <alignment horizontal="right" vertical="center"/>
    </xf>
    <xf numFmtId="10" fontId="55" fillId="13" borderId="1" xfId="0" applyNumberFormat="1" applyFont="1" applyFill="1" applyBorder="1" applyAlignment="1">
      <alignment horizontal="right" vertical="center"/>
    </xf>
    <xf numFmtId="10" fontId="68" fillId="0" borderId="1" xfId="0" applyNumberFormat="1" applyFont="1" applyBorder="1" applyAlignment="1">
      <alignment horizontal="center" vertical="center" wrapText="1"/>
    </xf>
    <xf numFmtId="0" fontId="68" fillId="0" borderId="1" xfId="0" applyFont="1" applyBorder="1" applyAlignment="1">
      <alignment horizontal="center" vertical="center" wrapText="1" shrinkToFit="1"/>
    </xf>
    <xf numFmtId="0" fontId="68" fillId="14" borderId="1" xfId="0" applyFont="1" applyFill="1" applyBorder="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alignment vertical="center"/>
    </dxf>
    <dxf>
      <font>
        <sz val="14"/>
      </font>
      <numFmt numFmtId="176" formatCode="yyyy/m/d;@"/>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name val="Arial"/>
        <scheme val="none"/>
        <sz val="14"/>
      </font>
      <alignment horizontal="center"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name val="Arial"/>
        <scheme val="none"/>
        <sz val="14"/>
      </font>
      <numFmt numFmtId="177" formatCode="0.00_ "/>
      <alignment horizontal="center"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dxf>
    <dxf>
      <alignment vertical="center"/>
    </dxf>
    <dxf>
      <alignment vertical="center"/>
    </dxf>
    <dxf>
      <alignment vertical="center"/>
    </dxf>
    <dxf>
      <numFmt numFmtId="10" formatCode="0.00%"/>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xr9:uid="{267968C8-6FFD-4C36-ACC1-9EA1FD1885CA}">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PI164" totalsRowShown="0">
  <autoFilter xmlns:etc="http://www.wps.cn/officeDocument/2017/etCustomData" ref="A1:PI164" etc:filterBottomFollowUsedRange="0"/>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33"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9"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45"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51"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7"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63"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9"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75"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81"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7"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93"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9"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205"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11"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7"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23"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29"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35"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41"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47"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53"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5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6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73"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81"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89"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98"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304"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310"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316"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 dataDxfId="413"/>
    <tableColumn id="388" name="列268" dataDxfId="414"/>
    <tableColumn id="389" name="列276"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fund.szse.cn/marketdata/fundslist/javascript:void(0);" TargetMode="External"/><Relationship Id="rId2" Type="http://schemas.openxmlformats.org/officeDocument/2006/relationships/hyperlink" Target="http://fund.eastmoney.com/159516.html" TargetMode="Externa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I164"/>
  <sheetViews>
    <sheetView tabSelected="1" zoomScale="50" zoomScaleNormal="50" workbookViewId="0">
      <pane ySplit="2" topLeftCell="A105" activePane="bottomLeft" state="frozen"/>
      <selection/>
      <selection pane="bottomLeft" activeCell="A18" sqref="$A18:$XFD18"/>
    </sheetView>
  </sheetViews>
  <sheetFormatPr defaultColWidth="15.625" defaultRowHeight="20.25"/>
  <cols>
    <col min="1" max="2" width="20.625" style="15" customWidth="1"/>
    <col min="3" max="3" width="20.625" style="16" customWidth="1"/>
    <col min="4" max="5" width="17.25" style="17" customWidth="1"/>
    <col min="6" max="6" width="18.875" style="17" customWidth="1"/>
    <col min="7" max="7" width="12.25" style="18" customWidth="1"/>
    <col min="8" max="8" width="15.625" style="18" customWidth="1"/>
    <col min="9" max="9" width="13.75" style="18" customWidth="1"/>
    <col min="10" max="10" width="20.625" style="18" customWidth="1"/>
    <col min="11" max="11" width="20.625" style="17" customWidth="1"/>
    <col min="12" max="13" width="17.25" style="17" customWidth="1"/>
    <col min="14" max="14" width="15.875" style="17" customWidth="1"/>
    <col min="15" max="15" width="13.75" style="18" customWidth="1"/>
    <col min="16" max="16" width="15.625" style="18" customWidth="1"/>
    <col min="17" max="17" width="13.75" style="18" customWidth="1"/>
    <col min="18" max="19" width="20.625" style="17" customWidth="1"/>
    <col min="20" max="21" width="15.875" style="17" customWidth="1"/>
    <col min="22" max="22" width="17.375" style="17" customWidth="1"/>
    <col min="23" max="23" width="13.75" style="18" customWidth="1"/>
    <col min="24" max="24" width="15.625" style="18" customWidth="1"/>
    <col min="25" max="25" width="13.75" style="18" customWidth="1"/>
    <col min="26" max="27" width="20.625" style="17" customWidth="1"/>
    <col min="28" max="30" width="15.875" style="17" customWidth="1"/>
    <col min="31" max="31" width="12.25" style="18" customWidth="1"/>
    <col min="32" max="32" width="15.625" style="18" customWidth="1"/>
    <col min="33" max="33" width="13.75" style="18" customWidth="1"/>
    <col min="34" max="35" width="20.625" style="17" customWidth="1"/>
    <col min="36" max="36" width="15.875" style="17" customWidth="1"/>
    <col min="37" max="37" width="17.375" style="19" customWidth="1"/>
    <col min="38" max="38" width="15.875" style="17" customWidth="1"/>
    <col min="39" max="39" width="12.25" style="18" customWidth="1"/>
    <col min="40" max="40" width="15.625" style="18" customWidth="1"/>
    <col min="41" max="41" width="13.75" style="18" customWidth="1"/>
    <col min="42" max="42" width="20.625" style="17" customWidth="1"/>
    <col min="43" max="43" width="20.625" style="20" customWidth="1"/>
    <col min="44" max="44" width="19" style="21" customWidth="1"/>
    <col min="45" max="46" width="17.375" style="17" customWidth="1"/>
    <col min="47" max="47" width="12.25" style="18" customWidth="1"/>
    <col min="48" max="48" width="15.625" style="18" customWidth="1"/>
    <col min="49" max="49" width="11.5" style="18" customWidth="1"/>
    <col min="50" max="50" width="9" style="17" customWidth="1"/>
    <col min="51" max="51" width="20.625" style="17" customWidth="1"/>
    <col min="52" max="55" width="15.625" style="17" customWidth="1"/>
    <col min="56" max="57" width="15.625" style="18" customWidth="1"/>
    <col min="58" max="58" width="13.75" style="18" customWidth="1"/>
    <col min="59" max="59" width="20.625" style="15" customWidth="1"/>
    <col min="60" max="63" width="15.625" style="5" customWidth="1"/>
    <col min="64" max="66" width="15.625" style="22" customWidth="1"/>
    <col min="67" max="68" width="15.625" style="5" customWidth="1"/>
    <col min="69" max="69" width="15.625" style="23" customWidth="1"/>
    <col min="70" max="71" width="15.625" style="5" customWidth="1"/>
    <col min="72" max="74" width="15.625" style="22" customWidth="1"/>
    <col min="75" max="79" width="15.625" style="5" customWidth="1"/>
    <col min="80" max="82" width="15.625" style="22" customWidth="1"/>
    <col min="83" max="87" width="15.625" style="5" customWidth="1"/>
    <col min="88" max="90" width="15.625" style="22" customWidth="1"/>
    <col min="91" max="95" width="15.625" style="5" customWidth="1"/>
    <col min="96" max="98" width="15.625" style="22" customWidth="1"/>
    <col min="99" max="103" width="15.625" style="5" customWidth="1"/>
    <col min="104" max="106" width="15.625" style="22" customWidth="1"/>
    <col min="107" max="107" width="15.625" style="24" customWidth="1"/>
    <col min="108" max="111" width="15.625" style="5" customWidth="1"/>
    <col min="112" max="114" width="15.625" style="22" customWidth="1"/>
    <col min="115" max="119" width="15.625" style="5" customWidth="1"/>
    <col min="120" max="122" width="15.625" style="22" customWidth="1"/>
    <col min="123" max="127" width="15.625" style="5" customWidth="1"/>
    <col min="128" max="130" width="15.625" style="22" customWidth="1"/>
    <col min="131" max="135" width="15.625" style="5" customWidth="1"/>
    <col min="136" max="138" width="15.625" style="22" customWidth="1"/>
    <col min="139" max="143" width="15.625" style="5" customWidth="1"/>
    <col min="144" max="154" width="15.625" style="22" customWidth="1"/>
    <col min="155" max="159" width="15.625" style="5" customWidth="1"/>
    <col min="160" max="163" width="15.625" style="22" customWidth="1"/>
    <col min="164" max="164" width="15.625" style="5" customWidth="1"/>
    <col min="165" max="165" width="15.625" style="23" customWidth="1"/>
    <col min="166" max="167" width="15.625" style="5" customWidth="1"/>
    <col min="168" max="170" width="15.625" style="22" customWidth="1"/>
    <col min="171" max="175" width="15.625" style="5" customWidth="1"/>
    <col min="176" max="178" width="15.625" style="22" customWidth="1"/>
    <col min="179" max="183" width="15.625" style="5" customWidth="1"/>
    <col min="184" max="186" width="15.625" style="22" customWidth="1"/>
    <col min="187" max="191" width="15.625" style="5" customWidth="1"/>
    <col min="192" max="194" width="15.625" style="22" customWidth="1"/>
    <col min="195" max="199" width="15.625" style="5" customWidth="1"/>
    <col min="200" max="202" width="15.625" style="22" customWidth="1"/>
    <col min="203" max="207" width="15.625" style="5" customWidth="1"/>
    <col min="208" max="210" width="15.625" style="22" customWidth="1"/>
    <col min="211" max="215" width="15.625" style="5" customWidth="1"/>
    <col min="216" max="218" width="15.625" style="22" customWidth="1"/>
    <col min="219" max="223" width="15.625" style="5" customWidth="1"/>
    <col min="224" max="226" width="15.625" style="22" customWidth="1"/>
    <col min="227" max="231" width="15.625" style="5" customWidth="1"/>
    <col min="232" max="234" width="15.625" style="22" customWidth="1"/>
    <col min="235" max="240" width="15.625" style="5" customWidth="1"/>
    <col min="241" max="242" width="15.625" style="22" customWidth="1"/>
    <col min="243" max="247" width="15.625" style="5" customWidth="1"/>
    <col min="248" max="250" width="15.625" style="22" customWidth="1"/>
    <col min="251" max="255" width="15.625" style="5" customWidth="1"/>
    <col min="256" max="258" width="15.625" style="22" customWidth="1"/>
    <col min="259" max="263" width="15.625" style="5" customWidth="1"/>
    <col min="264" max="266" width="15.625" style="22" customWidth="1"/>
    <col min="267" max="271" width="15.625" style="5" customWidth="1"/>
    <col min="272" max="275" width="15.625" style="22" customWidth="1"/>
    <col min="276" max="279" width="15.625" style="5" customWidth="1"/>
    <col min="280" max="283" width="15.625" style="22" customWidth="1"/>
    <col min="284" max="287" width="15.625" style="5" customWidth="1"/>
    <col min="288" max="294" width="15.625" style="22" customWidth="1"/>
    <col min="295" max="295" width="15.625" style="5" customWidth="1"/>
    <col min="296" max="300" width="15.625" style="22" customWidth="1"/>
    <col min="301" max="303" width="15.625" style="5" customWidth="1"/>
    <col min="304" max="306" width="15.625" style="22" customWidth="1"/>
    <col min="307" max="311" width="15.625" style="5" customWidth="1"/>
    <col min="312" max="314" width="15.625" style="22" customWidth="1"/>
    <col min="315" max="319" width="15.625" style="5" customWidth="1"/>
    <col min="320" max="322" width="15.625" style="22" customWidth="1"/>
    <col min="323" max="324" width="15.625" style="5" customWidth="1"/>
    <col min="325" max="325" width="15.625" style="23" customWidth="1"/>
    <col min="326" max="327" width="15.625" style="5" customWidth="1"/>
    <col min="328" max="330" width="15.625" style="22" customWidth="1"/>
    <col min="331" max="335" width="15.625" style="5" customWidth="1"/>
    <col min="336" max="338" width="15.625" style="22" customWidth="1"/>
    <col min="339" max="343" width="15.625" style="5" customWidth="1"/>
    <col min="344" max="346" width="15.625" style="22" customWidth="1"/>
    <col min="347" max="350" width="15.625" style="5" customWidth="1"/>
    <col min="351" max="351" width="19" style="25" customWidth="1"/>
    <col min="352" max="352" width="15.625" style="5" customWidth="1"/>
    <col min="353" max="357" width="15.625" style="22" customWidth="1"/>
    <col min="358" max="358" width="15.625" style="26" customWidth="1"/>
    <col min="359" max="361" width="15.625" style="5" customWidth="1"/>
    <col min="362" max="366" width="15.625" style="22" customWidth="1"/>
    <col min="367" max="370" width="15.625" style="5" customWidth="1"/>
    <col min="371" max="375" width="15.625" style="22" customWidth="1"/>
    <col min="376" max="380" width="15.625" style="5" customWidth="1"/>
    <col min="381" max="382" width="15.625" style="22" customWidth="1"/>
    <col min="383" max="388" width="15.625" style="5" customWidth="1"/>
    <col min="389" max="390" width="15.625" style="22" customWidth="1"/>
    <col min="391" max="396" width="15.625" style="5" customWidth="1"/>
    <col min="397" max="399" width="15.625" style="22" customWidth="1"/>
    <col min="400" max="404" width="15.625" style="5" customWidth="1"/>
    <col min="405" max="407" width="15.625" style="22" customWidth="1"/>
    <col min="408" max="409" width="15.625" style="5" customWidth="1"/>
    <col min="410" max="410" width="15.625" style="26" customWidth="1"/>
    <col min="411" max="413" width="15.625" style="5" customWidth="1"/>
    <col min="414" max="414" width="15.625" style="22" customWidth="1"/>
    <col min="415" max="16384" width="15.625" style="5" customWidth="1"/>
  </cols>
  <sheetData>
    <row r="1" s="1" customFormat="1" ht="100" customHeight="1" spans="1:425">
      <c r="A1" s="27" t="s">
        <v>0</v>
      </c>
      <c r="B1" s="28" t="s">
        <v>1</v>
      </c>
      <c r="C1" s="29" t="s">
        <v>2</v>
      </c>
      <c r="D1" s="30" t="s">
        <v>3</v>
      </c>
      <c r="E1" s="30" t="s">
        <v>4</v>
      </c>
      <c r="F1" s="30" t="s">
        <v>5</v>
      </c>
      <c r="G1" s="31" t="s">
        <v>6</v>
      </c>
      <c r="H1" s="31" t="s">
        <v>7</v>
      </c>
      <c r="I1" s="31" t="s">
        <v>8</v>
      </c>
      <c r="J1" s="28" t="s">
        <v>9</v>
      </c>
      <c r="K1" s="1" t="s">
        <v>10</v>
      </c>
      <c r="L1" s="30" t="s">
        <v>11</v>
      </c>
      <c r="M1" s="30" t="s">
        <v>12</v>
      </c>
      <c r="N1" s="30" t="s">
        <v>13</v>
      </c>
      <c r="O1" s="31" t="s">
        <v>14</v>
      </c>
      <c r="P1" s="31" t="s">
        <v>15</v>
      </c>
      <c r="Q1" s="31" t="s">
        <v>16</v>
      </c>
      <c r="R1" s="28" t="s">
        <v>17</v>
      </c>
      <c r="S1" s="1" t="s">
        <v>18</v>
      </c>
      <c r="T1" s="30" t="s">
        <v>19</v>
      </c>
      <c r="U1" s="30" t="s">
        <v>20</v>
      </c>
      <c r="V1" s="30" t="s">
        <v>21</v>
      </c>
      <c r="W1" s="31" t="s">
        <v>22</v>
      </c>
      <c r="X1" s="31" t="s">
        <v>23</v>
      </c>
      <c r="Y1" s="31" t="s">
        <v>24</v>
      </c>
      <c r="Z1" s="28" t="s">
        <v>25</v>
      </c>
      <c r="AA1" s="1" t="s">
        <v>26</v>
      </c>
      <c r="AB1" s="30" t="s">
        <v>27</v>
      </c>
      <c r="AC1" s="30" t="s">
        <v>28</v>
      </c>
      <c r="AD1" s="30" t="s">
        <v>29</v>
      </c>
      <c r="AE1" s="31" t="s">
        <v>30</v>
      </c>
      <c r="AF1" s="31" t="s">
        <v>31</v>
      </c>
      <c r="AG1" s="31" t="s">
        <v>32</v>
      </c>
      <c r="AH1" s="28" t="s">
        <v>33</v>
      </c>
      <c r="AI1" s="1" t="s">
        <v>34</v>
      </c>
      <c r="AJ1" s="30" t="s">
        <v>35</v>
      </c>
      <c r="AK1" s="32" t="s">
        <v>36</v>
      </c>
      <c r="AL1" s="30" t="s">
        <v>37</v>
      </c>
      <c r="AM1" s="31" t="s">
        <v>38</v>
      </c>
      <c r="AN1" s="31" t="s">
        <v>39</v>
      </c>
      <c r="AO1" s="31" t="s">
        <v>40</v>
      </c>
      <c r="AP1" s="33" t="s">
        <v>41</v>
      </c>
      <c r="AQ1" s="1" t="s">
        <v>42</v>
      </c>
      <c r="AR1" s="34" t="s">
        <v>43</v>
      </c>
      <c r="AS1" s="30" t="s">
        <v>44</v>
      </c>
      <c r="AT1" s="30" t="s">
        <v>45</v>
      </c>
      <c r="AU1" s="31" t="s">
        <v>46</v>
      </c>
      <c r="AV1" s="31" t="s">
        <v>47</v>
      </c>
      <c r="AW1" s="31" t="s">
        <v>48</v>
      </c>
      <c r="AX1" s="30" t="s">
        <v>49</v>
      </c>
      <c r="AY1" s="28" t="s">
        <v>50</v>
      </c>
      <c r="AZ1" s="1" t="s">
        <v>51</v>
      </c>
      <c r="BA1" s="30" t="s">
        <v>52</v>
      </c>
      <c r="BB1" s="30" t="s">
        <v>53</v>
      </c>
      <c r="BC1" s="30" t="s">
        <v>54</v>
      </c>
      <c r="BD1" s="31" t="s">
        <v>55</v>
      </c>
      <c r="BE1" s="31" t="s">
        <v>56</v>
      </c>
      <c r="BF1" s="31" t="s">
        <v>57</v>
      </c>
      <c r="BG1" s="35" t="s">
        <v>58</v>
      </c>
      <c r="BH1" s="1" t="s">
        <v>59</v>
      </c>
      <c r="BI1" s="1" t="s">
        <v>60</v>
      </c>
      <c r="BJ1" s="1" t="s">
        <v>61</v>
      </c>
      <c r="BK1" s="1" t="s">
        <v>62</v>
      </c>
      <c r="BL1" s="1" t="s">
        <v>63</v>
      </c>
      <c r="BM1" s="36" t="s">
        <v>64</v>
      </c>
      <c r="BN1" s="36" t="s">
        <v>65</v>
      </c>
      <c r="BO1" s="28" t="s">
        <v>66</v>
      </c>
      <c r="BP1" s="1" t="s">
        <v>67</v>
      </c>
      <c r="BQ1" s="1" t="s">
        <v>68</v>
      </c>
      <c r="BR1" s="1" t="s">
        <v>69</v>
      </c>
      <c r="BS1" s="1" t="s">
        <v>70</v>
      </c>
      <c r="BT1" s="1" t="s">
        <v>71</v>
      </c>
      <c r="BU1" s="36" t="s">
        <v>72</v>
      </c>
      <c r="BV1" s="36" t="s">
        <v>73</v>
      </c>
      <c r="BW1" s="28" t="s">
        <v>74</v>
      </c>
      <c r="BX1" s="1" t="s">
        <v>75</v>
      </c>
      <c r="BY1" s="1" t="s">
        <v>76</v>
      </c>
      <c r="BZ1" s="1" t="s">
        <v>77</v>
      </c>
      <c r="CA1" s="1" t="s">
        <v>78</v>
      </c>
      <c r="CB1" s="1" t="s">
        <v>79</v>
      </c>
      <c r="CC1" s="36" t="s">
        <v>80</v>
      </c>
      <c r="CD1" s="36" t="s">
        <v>81</v>
      </c>
      <c r="CE1" s="28" t="s">
        <v>82</v>
      </c>
      <c r="CF1" s="1" t="s">
        <v>83</v>
      </c>
      <c r="CG1" s="1" t="s">
        <v>84</v>
      </c>
      <c r="CH1" s="1" t="s">
        <v>85</v>
      </c>
      <c r="CI1" s="1" t="s">
        <v>86</v>
      </c>
      <c r="CJ1" s="1" t="s">
        <v>87</v>
      </c>
      <c r="CK1" s="36" t="s">
        <v>88</v>
      </c>
      <c r="CL1" s="36" t="s">
        <v>89</v>
      </c>
      <c r="CM1" s="28" t="s">
        <v>90</v>
      </c>
      <c r="CN1" s="1" t="s">
        <v>91</v>
      </c>
      <c r="CO1" s="1" t="s">
        <v>92</v>
      </c>
      <c r="CP1" s="1" t="s">
        <v>93</v>
      </c>
      <c r="CQ1" s="1" t="s">
        <v>94</v>
      </c>
      <c r="CR1" s="1" t="s">
        <v>95</v>
      </c>
      <c r="CS1" s="36" t="s">
        <v>96</v>
      </c>
      <c r="CT1" s="36" t="s">
        <v>97</v>
      </c>
      <c r="CU1" s="28" t="s">
        <v>98</v>
      </c>
      <c r="CV1" s="1" t="s">
        <v>99</v>
      </c>
      <c r="CW1" s="1" t="s">
        <v>100</v>
      </c>
      <c r="CX1" s="1" t="s">
        <v>101</v>
      </c>
      <c r="CY1" s="1" t="s">
        <v>102</v>
      </c>
      <c r="CZ1" s="1" t="s">
        <v>103</v>
      </c>
      <c r="DA1" s="36" t="s">
        <v>104</v>
      </c>
      <c r="DB1" s="36" t="s">
        <v>105</v>
      </c>
      <c r="DC1" s="37" t="s">
        <v>106</v>
      </c>
      <c r="DD1" s="38" t="s">
        <v>107</v>
      </c>
      <c r="DE1" s="1" t="s">
        <v>108</v>
      </c>
      <c r="DF1" s="1" t="s">
        <v>109</v>
      </c>
      <c r="DG1" s="1" t="s">
        <v>110</v>
      </c>
      <c r="DH1" s="1" t="s">
        <v>111</v>
      </c>
      <c r="DI1" s="36" t="s">
        <v>112</v>
      </c>
      <c r="DJ1" s="36" t="s">
        <v>113</v>
      </c>
      <c r="DK1" s="28" t="s">
        <v>114</v>
      </c>
      <c r="DL1" s="1" t="s">
        <v>115</v>
      </c>
      <c r="DM1" s="1" t="s">
        <v>116</v>
      </c>
      <c r="DN1" s="1" t="s">
        <v>117</v>
      </c>
      <c r="DO1" s="1" t="s">
        <v>118</v>
      </c>
      <c r="DP1" s="1" t="s">
        <v>119</v>
      </c>
      <c r="DQ1" s="36" t="s">
        <v>120</v>
      </c>
      <c r="DR1" s="36" t="s">
        <v>121</v>
      </c>
      <c r="DS1" s="28" t="s">
        <v>122</v>
      </c>
      <c r="DT1" s="1" t="s">
        <v>123</v>
      </c>
      <c r="DU1" s="1" t="s">
        <v>124</v>
      </c>
      <c r="DV1" s="1" t="s">
        <v>125</v>
      </c>
      <c r="DW1" s="1" t="s">
        <v>126</v>
      </c>
      <c r="DX1" s="1" t="s">
        <v>127</v>
      </c>
      <c r="DY1" s="36" t="s">
        <v>128</v>
      </c>
      <c r="DZ1" s="36" t="s">
        <v>129</v>
      </c>
      <c r="EA1" s="28" t="s">
        <v>130</v>
      </c>
      <c r="EB1" s="1" t="s">
        <v>131</v>
      </c>
      <c r="EC1" s="1" t="s">
        <v>132</v>
      </c>
      <c r="ED1" s="1" t="s">
        <v>133</v>
      </c>
      <c r="EE1" s="1" t="s">
        <v>134</v>
      </c>
      <c r="EF1" s="1" t="s">
        <v>135</v>
      </c>
      <c r="EG1" s="36" t="s">
        <v>136</v>
      </c>
      <c r="EH1" s="36" t="s">
        <v>137</v>
      </c>
      <c r="EI1" s="28" t="s">
        <v>138</v>
      </c>
      <c r="EJ1" s="39" t="s">
        <v>139</v>
      </c>
      <c r="EK1" s="1" t="s">
        <v>140</v>
      </c>
      <c r="EL1" s="1" t="s">
        <v>141</v>
      </c>
      <c r="EM1" s="1" t="s">
        <v>142</v>
      </c>
      <c r="EN1" s="1" t="s">
        <v>143</v>
      </c>
      <c r="EO1" s="36" t="s">
        <v>144</v>
      </c>
      <c r="EP1" s="36" t="s">
        <v>145</v>
      </c>
      <c r="EQ1" s="40" t="s">
        <v>146</v>
      </c>
      <c r="ER1" s="1" t="s">
        <v>147</v>
      </c>
      <c r="ES1" s="1" t="s">
        <v>148</v>
      </c>
      <c r="ET1" s="1" t="s">
        <v>149</v>
      </c>
      <c r="EU1" s="1" t="s">
        <v>150</v>
      </c>
      <c r="EV1" s="1" t="s">
        <v>151</v>
      </c>
      <c r="EW1" s="36" t="s">
        <v>152</v>
      </c>
      <c r="EX1" s="36" t="s">
        <v>153</v>
      </c>
      <c r="EY1" s="28" t="s">
        <v>154</v>
      </c>
      <c r="EZ1" s="39" t="s">
        <v>155</v>
      </c>
      <c r="FA1" s="1" t="s">
        <v>156</v>
      </c>
      <c r="FB1" s="1" t="s">
        <v>157</v>
      </c>
      <c r="FC1" s="1" t="s">
        <v>158</v>
      </c>
      <c r="FD1" s="1" t="s">
        <v>159</v>
      </c>
      <c r="FE1" s="36" t="s">
        <v>160</v>
      </c>
      <c r="FF1" s="36" t="s">
        <v>161</v>
      </c>
      <c r="FG1" s="28" t="s">
        <v>162</v>
      </c>
      <c r="FH1" s="39" t="s">
        <v>163</v>
      </c>
      <c r="FI1" s="1" t="s">
        <v>164</v>
      </c>
      <c r="FJ1" s="1" t="s">
        <v>165</v>
      </c>
      <c r="FK1" s="1" t="s">
        <v>166</v>
      </c>
      <c r="FL1" s="1" t="s">
        <v>167</v>
      </c>
      <c r="FM1" s="41" t="s">
        <v>168</v>
      </c>
      <c r="FN1" s="41" t="s">
        <v>169</v>
      </c>
      <c r="FO1" s="28" t="s">
        <v>170</v>
      </c>
      <c r="FP1" s="39" t="s">
        <v>171</v>
      </c>
      <c r="FQ1" s="1" t="s">
        <v>172</v>
      </c>
      <c r="FR1" s="1" t="s">
        <v>173</v>
      </c>
      <c r="FS1" s="1" t="s">
        <v>174</v>
      </c>
      <c r="FT1" s="1" t="s">
        <v>175</v>
      </c>
      <c r="FU1" s="36" t="s">
        <v>176</v>
      </c>
      <c r="FV1" s="36" t="s">
        <v>177</v>
      </c>
      <c r="FW1" s="28" t="s">
        <v>178</v>
      </c>
      <c r="FX1" s="1" t="s">
        <v>179</v>
      </c>
      <c r="FY1" s="1" t="s">
        <v>180</v>
      </c>
      <c r="FZ1" s="1" t="s">
        <v>181</v>
      </c>
      <c r="GA1" s="1" t="s">
        <v>182</v>
      </c>
      <c r="GB1" s="1" t="s">
        <v>183</v>
      </c>
      <c r="GC1" s="36" t="s">
        <v>184</v>
      </c>
      <c r="GD1" s="36" t="s">
        <v>185</v>
      </c>
      <c r="GE1" s="28" t="s">
        <v>186</v>
      </c>
      <c r="GF1" s="39" t="s">
        <v>187</v>
      </c>
      <c r="GG1" s="1" t="s">
        <v>188</v>
      </c>
      <c r="GH1" s="1" t="s">
        <v>189</v>
      </c>
      <c r="GI1" s="1" t="s">
        <v>190</v>
      </c>
      <c r="GJ1" s="1" t="s">
        <v>191</v>
      </c>
      <c r="GK1" s="36" t="s">
        <v>192</v>
      </c>
      <c r="GL1" s="36" t="s">
        <v>193</v>
      </c>
      <c r="GM1" s="28" t="s">
        <v>194</v>
      </c>
      <c r="GN1" s="1" t="s">
        <v>195</v>
      </c>
      <c r="GO1" s="1" t="s">
        <v>196</v>
      </c>
      <c r="GP1" s="1" t="s">
        <v>197</v>
      </c>
      <c r="GQ1" s="1" t="s">
        <v>198</v>
      </c>
      <c r="GR1" s="1" t="s">
        <v>199</v>
      </c>
      <c r="GS1" s="36" t="s">
        <v>200</v>
      </c>
      <c r="GT1" s="36" t="s">
        <v>201</v>
      </c>
      <c r="GU1" s="28" t="s">
        <v>202</v>
      </c>
      <c r="GV1" s="39" t="s">
        <v>203</v>
      </c>
      <c r="GW1" s="1" t="s">
        <v>204</v>
      </c>
      <c r="GX1" s="1" t="s">
        <v>205</v>
      </c>
      <c r="GY1" s="1" t="s">
        <v>206</v>
      </c>
      <c r="GZ1" s="1" t="s">
        <v>207</v>
      </c>
      <c r="HA1" s="36" t="s">
        <v>208</v>
      </c>
      <c r="HB1" s="36" t="s">
        <v>209</v>
      </c>
      <c r="HC1" s="28" t="s">
        <v>210</v>
      </c>
      <c r="HD1" s="1" t="s">
        <v>211</v>
      </c>
      <c r="HE1" s="1" t="s">
        <v>212</v>
      </c>
      <c r="HF1" s="1" t="s">
        <v>213</v>
      </c>
      <c r="HG1" s="1" t="s">
        <v>214</v>
      </c>
      <c r="HH1" s="1" t="s">
        <v>215</v>
      </c>
      <c r="HI1" s="36" t="s">
        <v>216</v>
      </c>
      <c r="HJ1" s="36" t="s">
        <v>217</v>
      </c>
      <c r="HK1" s="28" t="s">
        <v>218</v>
      </c>
      <c r="HL1" s="1" t="s">
        <v>219</v>
      </c>
      <c r="HM1" s="1" t="s">
        <v>220</v>
      </c>
      <c r="HN1" s="1" t="s">
        <v>221</v>
      </c>
      <c r="HO1" s="1" t="s">
        <v>222</v>
      </c>
      <c r="HP1" s="1" t="s">
        <v>223</v>
      </c>
      <c r="HQ1" s="36" t="s">
        <v>224</v>
      </c>
      <c r="HR1" s="36" t="s">
        <v>225</v>
      </c>
      <c r="HS1" s="28" t="s">
        <v>226</v>
      </c>
      <c r="HT1" s="39" t="s">
        <v>227</v>
      </c>
      <c r="HU1" s="1" t="s">
        <v>228</v>
      </c>
      <c r="HV1" s="1" t="s">
        <v>229</v>
      </c>
      <c r="HW1" s="1" t="s">
        <v>230</v>
      </c>
      <c r="HX1" s="1" t="s">
        <v>231</v>
      </c>
      <c r="HY1" s="36" t="s">
        <v>232</v>
      </c>
      <c r="HZ1" s="36" t="s">
        <v>233</v>
      </c>
      <c r="IA1" s="42" t="s">
        <v>234</v>
      </c>
      <c r="IB1" s="43" t="s">
        <v>235</v>
      </c>
      <c r="IC1" s="44" t="s">
        <v>236</v>
      </c>
      <c r="ID1" s="44" t="s">
        <v>237</v>
      </c>
      <c r="IE1" s="44" t="s">
        <v>238</v>
      </c>
      <c r="IF1" s="44" t="s">
        <v>239</v>
      </c>
      <c r="IG1" s="41" t="s">
        <v>240</v>
      </c>
      <c r="IH1" s="36" t="s">
        <v>241</v>
      </c>
      <c r="II1" s="28" t="s">
        <v>242</v>
      </c>
      <c r="IJ1" s="1" t="s">
        <v>243</v>
      </c>
      <c r="IK1" s="1" t="s">
        <v>244</v>
      </c>
      <c r="IL1" s="1" t="s">
        <v>245</v>
      </c>
      <c r="IM1" s="1" t="s">
        <v>246</v>
      </c>
      <c r="IN1" s="1" t="s">
        <v>247</v>
      </c>
      <c r="IO1" s="36" t="s">
        <v>248</v>
      </c>
      <c r="IP1" s="36" t="s">
        <v>249</v>
      </c>
      <c r="IQ1" s="28" t="s">
        <v>250</v>
      </c>
      <c r="IR1" s="1" t="s">
        <v>251</v>
      </c>
      <c r="IS1" s="1" t="s">
        <v>252</v>
      </c>
      <c r="IT1" s="1" t="s">
        <v>253</v>
      </c>
      <c r="IU1" s="1" t="s">
        <v>254</v>
      </c>
      <c r="IV1" s="1" t="s">
        <v>255</v>
      </c>
      <c r="IW1" s="36" t="s">
        <v>256</v>
      </c>
      <c r="IX1" s="36" t="s">
        <v>257</v>
      </c>
      <c r="IY1" s="28" t="s">
        <v>258</v>
      </c>
      <c r="IZ1" s="1" t="s">
        <v>259</v>
      </c>
      <c r="JA1" s="1" t="s">
        <v>260</v>
      </c>
      <c r="JB1" s="1" t="s">
        <v>261</v>
      </c>
      <c r="JC1" s="1" t="s">
        <v>262</v>
      </c>
      <c r="JD1" s="1" t="s">
        <v>263</v>
      </c>
      <c r="JE1" s="36" t="s">
        <v>264</v>
      </c>
      <c r="JF1" s="36" t="s">
        <v>265</v>
      </c>
      <c r="JG1" s="28" t="s">
        <v>266</v>
      </c>
      <c r="JH1" s="39" t="s">
        <v>267</v>
      </c>
      <c r="JI1" s="1" t="s">
        <v>268</v>
      </c>
      <c r="JJ1" s="1" t="s">
        <v>269</v>
      </c>
      <c r="JK1" s="1" t="s">
        <v>270</v>
      </c>
      <c r="JL1" s="1" t="s">
        <v>271</v>
      </c>
      <c r="JM1" s="36" t="s">
        <v>272</v>
      </c>
      <c r="JN1" s="36" t="s">
        <v>273</v>
      </c>
      <c r="JO1" s="28" t="s">
        <v>274</v>
      </c>
      <c r="JP1" s="1" t="s">
        <v>275</v>
      </c>
      <c r="JQ1" s="1" t="s">
        <v>276</v>
      </c>
      <c r="JR1" s="1" t="s">
        <v>277</v>
      </c>
      <c r="JS1" s="1" t="s">
        <v>278</v>
      </c>
      <c r="JT1" s="1" t="s">
        <v>279</v>
      </c>
      <c r="JU1" s="36" t="s">
        <v>280</v>
      </c>
      <c r="JV1" s="36" t="s">
        <v>281</v>
      </c>
      <c r="JW1" s="28" t="s">
        <v>282</v>
      </c>
      <c r="JX1" s="45" t="s">
        <v>283</v>
      </c>
      <c r="JY1" s="1" t="s">
        <v>284</v>
      </c>
      <c r="JZ1" s="1" t="s">
        <v>285</v>
      </c>
      <c r="KA1" s="1" t="s">
        <v>286</v>
      </c>
      <c r="KB1" s="1" t="s">
        <v>287</v>
      </c>
      <c r="KC1" s="36" t="s">
        <v>288</v>
      </c>
      <c r="KD1" s="36" t="s">
        <v>289</v>
      </c>
      <c r="KE1" s="46" t="s">
        <v>290</v>
      </c>
      <c r="KF1" s="1" t="s">
        <v>291</v>
      </c>
      <c r="KG1" s="1" t="s">
        <v>292</v>
      </c>
      <c r="KH1" s="1" t="s">
        <v>293</v>
      </c>
      <c r="KI1" s="1" t="s">
        <v>294</v>
      </c>
      <c r="KJ1" s="1" t="s">
        <v>295</v>
      </c>
      <c r="KK1" s="36" t="s">
        <v>296</v>
      </c>
      <c r="KL1" s="36" t="s">
        <v>297</v>
      </c>
      <c r="KM1" s="47" t="s">
        <v>298</v>
      </c>
      <c r="KN1" s="48" t="s">
        <v>299</v>
      </c>
      <c r="KO1" s="1" t="s">
        <v>300</v>
      </c>
      <c r="KP1" s="1" t="s">
        <v>301</v>
      </c>
      <c r="KQ1" s="1" t="s">
        <v>302</v>
      </c>
      <c r="KR1" s="1" t="s">
        <v>303</v>
      </c>
      <c r="KS1" s="36" t="s">
        <v>304</v>
      </c>
      <c r="KT1" s="36" t="s">
        <v>305</v>
      </c>
      <c r="KU1" s="28" t="s">
        <v>306</v>
      </c>
      <c r="KV1" s="1" t="s">
        <v>307</v>
      </c>
      <c r="KW1" s="1" t="s">
        <v>308</v>
      </c>
      <c r="KX1" s="1" t="s">
        <v>309</v>
      </c>
      <c r="KY1" s="1" t="s">
        <v>310</v>
      </c>
      <c r="KZ1" s="1" t="s">
        <v>311</v>
      </c>
      <c r="LA1" s="36" t="s">
        <v>312</v>
      </c>
      <c r="LB1" s="36" t="s">
        <v>313</v>
      </c>
      <c r="LC1" s="28" t="s">
        <v>314</v>
      </c>
      <c r="LD1" s="1" t="s">
        <v>315</v>
      </c>
      <c r="LE1" s="1" t="s">
        <v>316</v>
      </c>
      <c r="LF1" s="1" t="s">
        <v>317</v>
      </c>
      <c r="LG1" s="1" t="s">
        <v>318</v>
      </c>
      <c r="LH1" s="1" t="s">
        <v>319</v>
      </c>
      <c r="LI1" s="36" t="s">
        <v>320</v>
      </c>
      <c r="LJ1" s="36" t="s">
        <v>321</v>
      </c>
      <c r="LK1" s="28" t="s">
        <v>322</v>
      </c>
      <c r="LL1" s="39" t="s">
        <v>323</v>
      </c>
      <c r="LM1" s="1" t="s">
        <v>324</v>
      </c>
      <c r="LN1" s="1" t="s">
        <v>325</v>
      </c>
      <c r="LO1" s="1" t="s">
        <v>326</v>
      </c>
      <c r="LP1" s="1" t="s">
        <v>327</v>
      </c>
      <c r="LQ1" s="36" t="s">
        <v>328</v>
      </c>
      <c r="LR1" s="36" t="s">
        <v>329</v>
      </c>
      <c r="LS1" s="28" t="s">
        <v>330</v>
      </c>
      <c r="LT1" s="1" t="s">
        <v>331</v>
      </c>
      <c r="LU1" s="1" t="s">
        <v>332</v>
      </c>
      <c r="LV1" s="1" t="s">
        <v>333</v>
      </c>
      <c r="LW1" s="1" t="s">
        <v>334</v>
      </c>
      <c r="LX1" s="1" t="s">
        <v>335</v>
      </c>
      <c r="LY1" s="36" t="s">
        <v>336</v>
      </c>
      <c r="LZ1" s="36" t="s">
        <v>337</v>
      </c>
      <c r="MA1" s="28" t="s">
        <v>338</v>
      </c>
      <c r="MB1" s="1" t="s">
        <v>339</v>
      </c>
      <c r="MC1" s="1" t="s">
        <v>340</v>
      </c>
      <c r="MD1" s="1" t="s">
        <v>341</v>
      </c>
      <c r="ME1" s="1" t="s">
        <v>342</v>
      </c>
      <c r="MF1" s="1" t="s">
        <v>343</v>
      </c>
      <c r="MG1" s="36" t="s">
        <v>344</v>
      </c>
      <c r="MH1" s="41" t="s">
        <v>345</v>
      </c>
      <c r="MI1" s="1" t="s">
        <v>346</v>
      </c>
      <c r="MJ1" s="40" t="s">
        <v>347</v>
      </c>
      <c r="MK1" s="1" t="s">
        <v>348</v>
      </c>
      <c r="ML1" s="1" t="s">
        <v>349</v>
      </c>
      <c r="MM1" s="49" t="s">
        <v>350</v>
      </c>
      <c r="MN1" s="1" t="s">
        <v>351</v>
      </c>
      <c r="MO1" s="1" t="s">
        <v>352</v>
      </c>
      <c r="MP1" s="36" t="s">
        <v>353</v>
      </c>
      <c r="MQ1" s="36" t="s">
        <v>354</v>
      </c>
      <c r="MR1" s="36" t="s">
        <v>355</v>
      </c>
      <c r="MS1" s="50" t="s">
        <v>356</v>
      </c>
      <c r="MT1" s="51" t="s">
        <v>357</v>
      </c>
      <c r="MU1" s="1" t="s">
        <v>358</v>
      </c>
      <c r="MV1" s="1" t="s">
        <v>359</v>
      </c>
      <c r="MW1" s="1" t="s">
        <v>360</v>
      </c>
      <c r="MX1" s="1" t="s">
        <v>361</v>
      </c>
      <c r="MY1" s="36" t="s">
        <v>362</v>
      </c>
      <c r="MZ1" s="36" t="s">
        <v>363</v>
      </c>
      <c r="NA1" s="36" t="s">
        <v>364</v>
      </c>
      <c r="NB1" s="28" t="s">
        <v>365</v>
      </c>
      <c r="NC1" s="1" t="s">
        <v>366</v>
      </c>
      <c r="ND1" s="1" t="s">
        <v>367</v>
      </c>
      <c r="NE1" s="1" t="s">
        <v>368</v>
      </c>
      <c r="NF1" s="1" t="s">
        <v>369</v>
      </c>
      <c r="NG1" s="1" t="s">
        <v>370</v>
      </c>
      <c r="NH1" s="36" t="s">
        <v>371</v>
      </c>
      <c r="NI1" s="36" t="s">
        <v>372</v>
      </c>
      <c r="NJ1" s="36" t="s">
        <v>373</v>
      </c>
      <c r="NK1" s="36" t="s">
        <v>374</v>
      </c>
      <c r="NL1" s="52" t="s">
        <v>375</v>
      </c>
      <c r="NM1" s="1" t="s">
        <v>376</v>
      </c>
      <c r="NN1" s="1" t="s">
        <v>377</v>
      </c>
      <c r="NO1" s="1" t="s">
        <v>378</v>
      </c>
      <c r="NP1" s="1" t="s">
        <v>379</v>
      </c>
      <c r="NQ1" s="36" t="s">
        <v>380</v>
      </c>
      <c r="NR1" s="36" t="s">
        <v>381</v>
      </c>
      <c r="NS1" s="1" t="s">
        <v>382</v>
      </c>
      <c r="NT1" s="52" t="s">
        <v>383</v>
      </c>
      <c r="NU1" s="1" t="s">
        <v>384</v>
      </c>
      <c r="NV1" s="1" t="s">
        <v>385</v>
      </c>
      <c r="NW1" s="1" t="s">
        <v>386</v>
      </c>
      <c r="NX1" s="1" t="s">
        <v>387</v>
      </c>
      <c r="NY1" s="36" t="s">
        <v>388</v>
      </c>
      <c r="NZ1" s="36" t="s">
        <v>389</v>
      </c>
      <c r="OA1" s="1" t="s">
        <v>390</v>
      </c>
      <c r="OB1" s="28" t="s">
        <v>391</v>
      </c>
      <c r="OC1" s="1" t="s">
        <v>392</v>
      </c>
      <c r="OD1" s="1" t="s">
        <v>393</v>
      </c>
      <c r="OE1" s="1" t="s">
        <v>394</v>
      </c>
      <c r="OF1" s="1" t="s">
        <v>395</v>
      </c>
      <c r="OG1" s="1" t="s">
        <v>396</v>
      </c>
      <c r="OH1" s="36" t="s">
        <v>397</v>
      </c>
      <c r="OI1" s="36" t="s">
        <v>398</v>
      </c>
      <c r="OJ1" s="53" t="s">
        <v>399</v>
      </c>
      <c r="OK1" s="54" t="s">
        <v>400</v>
      </c>
      <c r="OL1" s="55" t="s">
        <v>401</v>
      </c>
      <c r="OM1" s="1" t="s">
        <v>402</v>
      </c>
      <c r="ON1" s="1" t="s">
        <v>403</v>
      </c>
      <c r="OO1" s="1" t="s">
        <v>404</v>
      </c>
      <c r="OP1" s="36" t="s">
        <v>405</v>
      </c>
      <c r="OQ1" s="36" t="s">
        <v>406</v>
      </c>
      <c r="OR1" s="1" t="s">
        <v>407</v>
      </c>
      <c r="OS1" s="56" t="s">
        <v>408</v>
      </c>
      <c r="OT1" s="57" t="s">
        <v>409</v>
      </c>
      <c r="OU1" s="1" t="s">
        <v>410</v>
      </c>
      <c r="OV1" s="1" t="s">
        <v>411</v>
      </c>
      <c r="OW1" s="58" t="s">
        <v>412</v>
      </c>
      <c r="OX1" s="36" t="s">
        <v>413</v>
      </c>
      <c r="OY1" s="1" t="s">
        <v>414</v>
      </c>
      <c r="OZ1" s="1" t="s">
        <v>415</v>
      </c>
      <c r="PA1" s="1" t="s">
        <v>416</v>
      </c>
      <c r="PB1" s="1" t="s">
        <v>417</v>
      </c>
      <c r="PC1" s="1" t="s">
        <v>418</v>
      </c>
      <c r="PD1" s="1" t="s">
        <v>419</v>
      </c>
      <c r="PE1" s="1" t="s">
        <v>420</v>
      </c>
      <c r="PF1" s="1" t="s">
        <v>421</v>
      </c>
      <c r="PG1" s="1" t="s">
        <v>422</v>
      </c>
      <c r="PH1" s="1" t="s">
        <v>423</v>
      </c>
      <c r="PI1" s="1" t="s">
        <v>424</v>
      </c>
    </row>
    <row r="2" s="2" customFormat="1" ht="51" customHeight="1" spans="1:425">
      <c r="A2" s="59"/>
      <c r="B2" s="60" t="s">
        <v>425</v>
      </c>
      <c r="C2" s="61"/>
      <c r="D2" s="62" t="s">
        <v>426</v>
      </c>
      <c r="E2" s="62" t="s">
        <v>427</v>
      </c>
      <c r="F2" s="62" t="s">
        <v>428</v>
      </c>
      <c r="G2" s="46" t="s">
        <v>429</v>
      </c>
      <c r="H2" s="46"/>
      <c r="I2" s="46"/>
      <c r="J2" s="60" t="s">
        <v>425</v>
      </c>
      <c r="K2" s="2">
        <f t="shared" ref="K2:K11" si="0">C2</f>
        <v>0</v>
      </c>
      <c r="L2" s="62" t="s">
        <v>426</v>
      </c>
      <c r="M2" s="62" t="s">
        <v>427</v>
      </c>
      <c r="N2" s="62" t="s">
        <v>428</v>
      </c>
      <c r="O2" s="46" t="s">
        <v>429</v>
      </c>
      <c r="P2" s="46"/>
      <c r="Q2" s="46"/>
      <c r="R2" s="60" t="s">
        <v>425</v>
      </c>
      <c r="S2" s="2">
        <f t="shared" ref="S2:S11" si="1">C2</f>
        <v>0</v>
      </c>
      <c r="T2" s="62" t="s">
        <v>426</v>
      </c>
      <c r="U2" s="62" t="s">
        <v>427</v>
      </c>
      <c r="V2" s="62" t="s">
        <v>428</v>
      </c>
      <c r="W2" s="46" t="s">
        <v>429</v>
      </c>
      <c r="X2" s="46"/>
      <c r="Y2" s="46"/>
      <c r="Z2" s="60" t="s">
        <v>425</v>
      </c>
      <c r="AA2" s="2">
        <f t="shared" ref="AA2:AA11" si="2">S2</f>
        <v>0</v>
      </c>
      <c r="AB2" s="62" t="s">
        <v>426</v>
      </c>
      <c r="AC2" s="62" t="s">
        <v>427</v>
      </c>
      <c r="AD2" s="62" t="s">
        <v>428</v>
      </c>
      <c r="AE2" s="46" t="s">
        <v>429</v>
      </c>
      <c r="AF2" s="46"/>
      <c r="AG2" s="46"/>
      <c r="AH2" s="60" t="s">
        <v>425</v>
      </c>
      <c r="AI2" s="2">
        <f t="shared" ref="AI2:AI11" si="3">C2</f>
        <v>0</v>
      </c>
      <c r="AJ2" s="62" t="s">
        <v>426</v>
      </c>
      <c r="AK2" s="62" t="s">
        <v>427</v>
      </c>
      <c r="AL2" s="62" t="s">
        <v>428</v>
      </c>
      <c r="AM2" s="46" t="s">
        <v>429</v>
      </c>
      <c r="AN2" s="46"/>
      <c r="AO2" s="46"/>
      <c r="AP2" s="60" t="s">
        <v>425</v>
      </c>
      <c r="AQ2" s="2">
        <f t="shared" ref="AQ2:AQ11" si="4">C2</f>
        <v>0</v>
      </c>
      <c r="AR2" s="62" t="s">
        <v>426</v>
      </c>
      <c r="AS2" s="62" t="s">
        <v>427</v>
      </c>
      <c r="AT2" s="62" t="s">
        <v>428</v>
      </c>
      <c r="AU2" s="46" t="s">
        <v>429</v>
      </c>
      <c r="AV2" s="46"/>
      <c r="AW2" s="46"/>
      <c r="AX2" s="2"/>
      <c r="AY2" s="60" t="s">
        <v>425</v>
      </c>
      <c r="AZ2" s="2">
        <f t="shared" ref="AZ2:AZ11" si="5">C2</f>
        <v>0</v>
      </c>
      <c r="BA2" s="62" t="s">
        <v>426</v>
      </c>
      <c r="BB2" s="62" t="s">
        <v>427</v>
      </c>
      <c r="BC2" s="62" t="s">
        <v>428</v>
      </c>
      <c r="BD2" s="46" t="s">
        <v>429</v>
      </c>
      <c r="BE2" s="46"/>
      <c r="BG2" s="60" t="s">
        <v>425</v>
      </c>
      <c r="BH2" s="2">
        <f>K2</f>
        <v>0</v>
      </c>
      <c r="BI2" s="62" t="s">
        <v>426</v>
      </c>
      <c r="BJ2" s="62" t="s">
        <v>427</v>
      </c>
      <c r="BK2" s="62" t="s">
        <v>428</v>
      </c>
      <c r="BL2" s="46" t="s">
        <v>429</v>
      </c>
      <c r="BM2" s="63"/>
      <c r="BN2" s="46"/>
      <c r="BO2" s="60" t="s">
        <v>425</v>
      </c>
      <c r="BP2" s="2">
        <f>S2</f>
        <v>0</v>
      </c>
      <c r="BQ2" s="62" t="s">
        <v>426</v>
      </c>
      <c r="BR2" s="62" t="s">
        <v>427</v>
      </c>
      <c r="BS2" s="62" t="s">
        <v>428</v>
      </c>
      <c r="BT2" s="46" t="s">
        <v>429</v>
      </c>
      <c r="BU2" s="46"/>
      <c r="BW2" s="60" t="s">
        <v>425</v>
      </c>
      <c r="BX2" s="2">
        <f>AA2</f>
        <v>0</v>
      </c>
      <c r="BY2" s="62" t="s">
        <v>426</v>
      </c>
      <c r="BZ2" s="62" t="s">
        <v>427</v>
      </c>
      <c r="CA2" s="62" t="s">
        <v>428</v>
      </c>
      <c r="CB2" s="46" t="s">
        <v>429</v>
      </c>
      <c r="CC2" s="46"/>
      <c r="CE2" s="60" t="s">
        <v>425</v>
      </c>
      <c r="CF2" s="2">
        <f>AI2</f>
        <v>0</v>
      </c>
      <c r="CG2" s="62" t="s">
        <v>426</v>
      </c>
      <c r="CH2" s="62" t="s">
        <v>427</v>
      </c>
      <c r="CI2" s="62" t="s">
        <v>428</v>
      </c>
      <c r="CJ2" s="46" t="s">
        <v>429</v>
      </c>
      <c r="CK2" s="46"/>
      <c r="CM2" s="60" t="s">
        <v>425</v>
      </c>
      <c r="CN2" s="2">
        <f>AQ2</f>
        <v>0</v>
      </c>
      <c r="CO2" s="62" t="s">
        <v>426</v>
      </c>
      <c r="CP2" s="62" t="s">
        <v>427</v>
      </c>
      <c r="CQ2" s="62" t="s">
        <v>428</v>
      </c>
      <c r="CR2" s="46" t="s">
        <v>429</v>
      </c>
      <c r="CS2" s="46"/>
      <c r="CU2" s="60" t="s">
        <v>425</v>
      </c>
      <c r="CV2" s="2"/>
      <c r="CW2" s="62" t="s">
        <v>426</v>
      </c>
      <c r="CX2" s="62" t="s">
        <v>427</v>
      </c>
      <c r="CY2" s="62" t="s">
        <v>428</v>
      </c>
      <c r="CZ2" s="46" t="s">
        <v>429</v>
      </c>
      <c r="DA2" s="46"/>
      <c r="DB2" s="46"/>
      <c r="DC2" s="60" t="s">
        <v>425</v>
      </c>
      <c r="DD2" s="2"/>
      <c r="DE2" s="62" t="s">
        <v>426</v>
      </c>
      <c r="DF2" s="62" t="s">
        <v>427</v>
      </c>
      <c r="DG2" s="62" t="s">
        <v>428</v>
      </c>
      <c r="DH2" s="46" t="s">
        <v>429</v>
      </c>
      <c r="DI2" s="46"/>
      <c r="DK2" s="60" t="s">
        <v>425</v>
      </c>
      <c r="DL2" s="2"/>
      <c r="DM2" s="62" t="s">
        <v>426</v>
      </c>
      <c r="DN2" s="62" t="s">
        <v>427</v>
      </c>
      <c r="DO2" s="62" t="s">
        <v>428</v>
      </c>
      <c r="DP2" s="46" t="s">
        <v>429</v>
      </c>
      <c r="DQ2" s="46"/>
      <c r="DS2" s="60" t="s">
        <v>425</v>
      </c>
      <c r="DT2" s="2"/>
      <c r="DU2" s="62" t="s">
        <v>426</v>
      </c>
      <c r="DV2" s="62" t="s">
        <v>427</v>
      </c>
      <c r="DW2" s="62" t="s">
        <v>428</v>
      </c>
      <c r="DX2" s="46" t="s">
        <v>429</v>
      </c>
      <c r="DY2" s="46"/>
      <c r="EA2" s="60" t="s">
        <v>425</v>
      </c>
      <c r="EB2" s="2"/>
      <c r="EC2" s="62" t="s">
        <v>426</v>
      </c>
      <c r="ED2" s="62" t="s">
        <v>427</v>
      </c>
      <c r="EE2" s="62" t="s">
        <v>428</v>
      </c>
      <c r="EF2" s="46" t="s">
        <v>429</v>
      </c>
      <c r="EG2" s="46"/>
      <c r="EI2" s="60" t="s">
        <v>425</v>
      </c>
      <c r="EJ2" s="2"/>
      <c r="EK2" s="62" t="s">
        <v>426</v>
      </c>
      <c r="EL2" s="62" t="s">
        <v>427</v>
      </c>
      <c r="EM2" s="62" t="s">
        <v>428</v>
      </c>
      <c r="EN2" s="46" t="s">
        <v>429</v>
      </c>
      <c r="EO2" s="46"/>
      <c r="EQ2" s="60" t="s">
        <v>425</v>
      </c>
      <c r="ER2" s="2"/>
      <c r="ES2" s="62" t="s">
        <v>426</v>
      </c>
      <c r="ET2" s="62" t="s">
        <v>427</v>
      </c>
      <c r="EU2" s="62" t="s">
        <v>428</v>
      </c>
      <c r="EV2" s="46" t="s">
        <v>429</v>
      </c>
      <c r="EW2" s="46"/>
      <c r="EY2" s="60" t="s">
        <v>425</v>
      </c>
      <c r="EZ2" s="2"/>
      <c r="FA2" s="62" t="s">
        <v>426</v>
      </c>
      <c r="FB2" s="62" t="s">
        <v>427</v>
      </c>
      <c r="FC2" s="62" t="s">
        <v>428</v>
      </c>
      <c r="FD2" s="46" t="s">
        <v>429</v>
      </c>
      <c r="FE2" s="46"/>
      <c r="FG2" s="60" t="s">
        <v>425</v>
      </c>
      <c r="FH2" s="2"/>
      <c r="FI2" s="62" t="s">
        <v>426</v>
      </c>
      <c r="FJ2" s="62" t="s">
        <v>427</v>
      </c>
      <c r="FK2" s="62" t="s">
        <v>428</v>
      </c>
      <c r="FL2" s="46" t="s">
        <v>429</v>
      </c>
      <c r="FM2" s="64"/>
      <c r="FN2" s="64"/>
      <c r="FO2" s="60" t="s">
        <v>425</v>
      </c>
      <c r="FP2" s="2"/>
      <c r="FQ2" s="62" t="s">
        <v>426</v>
      </c>
      <c r="FR2" s="62" t="s">
        <v>427</v>
      </c>
      <c r="FS2" s="62" t="s">
        <v>428</v>
      </c>
      <c r="FT2" s="46" t="s">
        <v>429</v>
      </c>
      <c r="FU2" s="46"/>
      <c r="FV2" s="46"/>
      <c r="FW2" s="60" t="s">
        <v>425</v>
      </c>
      <c r="FX2" s="2"/>
      <c r="FY2" s="62" t="s">
        <v>426</v>
      </c>
      <c r="FZ2" s="62" t="s">
        <v>427</v>
      </c>
      <c r="GA2" s="62" t="s">
        <v>428</v>
      </c>
      <c r="GB2" s="46" t="s">
        <v>429</v>
      </c>
      <c r="GC2" s="46"/>
      <c r="GD2" s="46"/>
      <c r="GE2" s="60" t="s">
        <v>425</v>
      </c>
      <c r="GF2" s="2"/>
      <c r="GG2" s="62" t="s">
        <v>426</v>
      </c>
      <c r="GH2" s="62" t="s">
        <v>427</v>
      </c>
      <c r="GI2" s="62" t="s">
        <v>428</v>
      </c>
      <c r="GJ2" s="46" t="s">
        <v>429</v>
      </c>
      <c r="GK2" s="46"/>
      <c r="GL2" s="46"/>
      <c r="GM2" s="60" t="s">
        <v>425</v>
      </c>
      <c r="GN2" s="2"/>
      <c r="GO2" s="62" t="s">
        <v>426</v>
      </c>
      <c r="GP2" s="62" t="s">
        <v>427</v>
      </c>
      <c r="GQ2" s="62" t="s">
        <v>428</v>
      </c>
      <c r="GR2" s="46" t="s">
        <v>429</v>
      </c>
      <c r="GS2" s="46"/>
      <c r="GT2" s="46"/>
      <c r="GU2" s="60" t="s">
        <v>425</v>
      </c>
      <c r="GV2" s="2"/>
      <c r="GW2" s="62" t="s">
        <v>426</v>
      </c>
      <c r="GX2" s="62" t="s">
        <v>427</v>
      </c>
      <c r="GY2" s="62" t="s">
        <v>428</v>
      </c>
      <c r="GZ2" s="46" t="s">
        <v>429</v>
      </c>
      <c r="HA2" s="46"/>
      <c r="HB2" s="46"/>
      <c r="HC2" s="60" t="s">
        <v>425</v>
      </c>
      <c r="HD2" s="2"/>
      <c r="HE2" s="62" t="s">
        <v>426</v>
      </c>
      <c r="HF2" s="62" t="s">
        <v>427</v>
      </c>
      <c r="HG2" s="62" t="s">
        <v>428</v>
      </c>
      <c r="HH2" s="46" t="s">
        <v>429</v>
      </c>
      <c r="HI2" s="46"/>
      <c r="HJ2" s="46"/>
      <c r="HK2" s="60" t="s">
        <v>425</v>
      </c>
      <c r="HL2" s="2"/>
      <c r="HM2" s="62" t="s">
        <v>426</v>
      </c>
      <c r="HN2" s="62" t="s">
        <v>427</v>
      </c>
      <c r="HO2" s="62" t="s">
        <v>428</v>
      </c>
      <c r="HP2" s="46" t="s">
        <v>429</v>
      </c>
      <c r="HQ2" s="46"/>
      <c r="HR2" s="46"/>
      <c r="HS2" s="60" t="s">
        <v>425</v>
      </c>
      <c r="HT2" s="2"/>
      <c r="HU2" s="62" t="s">
        <v>426</v>
      </c>
      <c r="HV2" s="62" t="s">
        <v>427</v>
      </c>
      <c r="HW2" s="62" t="s">
        <v>428</v>
      </c>
      <c r="HX2" s="46" t="s">
        <v>429</v>
      </c>
      <c r="HY2" s="46"/>
      <c r="HZ2" s="46"/>
      <c r="IA2" s="60" t="s">
        <v>425</v>
      </c>
      <c r="IB2" s="2"/>
      <c r="IC2" s="62" t="s">
        <v>426</v>
      </c>
      <c r="ID2" s="62" t="s">
        <v>427</v>
      </c>
      <c r="IE2" s="62" t="s">
        <v>428</v>
      </c>
      <c r="IF2" s="46" t="s">
        <v>429</v>
      </c>
      <c r="IG2" s="64"/>
      <c r="IH2" s="46"/>
      <c r="II2" s="60" t="s">
        <v>425</v>
      </c>
      <c r="IJ2" s="2"/>
      <c r="IK2" s="62" t="s">
        <v>426</v>
      </c>
      <c r="IL2" s="62" t="s">
        <v>427</v>
      </c>
      <c r="IM2" s="62" t="s">
        <v>428</v>
      </c>
      <c r="IN2" s="46" t="s">
        <v>429</v>
      </c>
      <c r="IO2" s="46"/>
      <c r="IP2" s="46"/>
      <c r="IQ2" s="60" t="s">
        <v>425</v>
      </c>
      <c r="IR2" s="2"/>
      <c r="IS2" s="62" t="s">
        <v>426</v>
      </c>
      <c r="IT2" s="62" t="s">
        <v>427</v>
      </c>
      <c r="IU2" s="62" t="s">
        <v>428</v>
      </c>
      <c r="IV2" s="46" t="s">
        <v>429</v>
      </c>
      <c r="IW2" s="46"/>
      <c r="IX2" s="46"/>
      <c r="IY2" s="60" t="s">
        <v>425</v>
      </c>
      <c r="IZ2" s="2"/>
      <c r="JA2" s="62" t="s">
        <v>426</v>
      </c>
      <c r="JB2" s="62" t="s">
        <v>427</v>
      </c>
      <c r="JC2" s="62" t="s">
        <v>428</v>
      </c>
      <c r="JD2" s="46" t="s">
        <v>429</v>
      </c>
      <c r="JE2" s="46"/>
      <c r="JF2" s="46"/>
      <c r="JG2" s="60" t="s">
        <v>425</v>
      </c>
      <c r="JH2" s="2"/>
      <c r="JI2" s="62" t="s">
        <v>426</v>
      </c>
      <c r="JJ2" s="62" t="s">
        <v>427</v>
      </c>
      <c r="JK2" s="62" t="s">
        <v>428</v>
      </c>
      <c r="JL2" s="46" t="s">
        <v>429</v>
      </c>
      <c r="JM2" s="46"/>
      <c r="JN2" s="46"/>
      <c r="JO2" s="60" t="s">
        <v>425</v>
      </c>
      <c r="JP2" s="2"/>
      <c r="JQ2" s="62" t="s">
        <v>426</v>
      </c>
      <c r="JR2" s="62" t="s">
        <v>427</v>
      </c>
      <c r="JS2" s="62" t="s">
        <v>428</v>
      </c>
      <c r="JT2" s="46" t="s">
        <v>429</v>
      </c>
      <c r="JU2" s="46"/>
      <c r="JV2" s="46"/>
      <c r="JW2" s="60" t="s">
        <v>425</v>
      </c>
      <c r="JX2" s="2"/>
      <c r="JY2" s="62" t="s">
        <v>426</v>
      </c>
      <c r="JZ2" s="62" t="s">
        <v>427</v>
      </c>
      <c r="KA2" s="62" t="s">
        <v>428</v>
      </c>
      <c r="KB2" s="46" t="s">
        <v>429</v>
      </c>
      <c r="KC2" s="46"/>
      <c r="KD2" s="46"/>
      <c r="KE2" s="60" t="s">
        <v>425</v>
      </c>
      <c r="KF2" s="2"/>
      <c r="KG2" s="62" t="s">
        <v>426</v>
      </c>
      <c r="KH2" s="62" t="s">
        <v>427</v>
      </c>
      <c r="KI2" s="62" t="s">
        <v>428</v>
      </c>
      <c r="KJ2" s="46" t="s">
        <v>429</v>
      </c>
      <c r="KK2" s="46"/>
      <c r="KL2" s="46"/>
      <c r="KM2" s="60" t="s">
        <v>425</v>
      </c>
      <c r="KN2" s="2"/>
      <c r="KO2" s="62" t="s">
        <v>426</v>
      </c>
      <c r="KP2" s="62" t="s">
        <v>427</v>
      </c>
      <c r="KQ2" s="62" t="s">
        <v>428</v>
      </c>
      <c r="KR2" s="46" t="s">
        <v>429</v>
      </c>
      <c r="KS2" s="46"/>
      <c r="KT2" s="46"/>
      <c r="KU2" s="60" t="s">
        <v>425</v>
      </c>
      <c r="KV2" s="2"/>
      <c r="KW2" s="62" t="s">
        <v>426</v>
      </c>
      <c r="KX2" s="62" t="s">
        <v>427</v>
      </c>
      <c r="KY2" s="62" t="s">
        <v>428</v>
      </c>
      <c r="KZ2" s="46" t="s">
        <v>429</v>
      </c>
      <c r="LA2" s="46"/>
      <c r="LB2" s="46"/>
      <c r="LC2" s="60" t="s">
        <v>425</v>
      </c>
      <c r="LD2" s="2"/>
      <c r="LE2" s="62" t="s">
        <v>426</v>
      </c>
      <c r="LF2" s="62" t="s">
        <v>427</v>
      </c>
      <c r="LG2" s="62" t="s">
        <v>428</v>
      </c>
      <c r="LH2" s="46" t="s">
        <v>429</v>
      </c>
      <c r="LI2" s="46"/>
      <c r="LJ2" s="46"/>
      <c r="LK2" s="60" t="s">
        <v>425</v>
      </c>
      <c r="LL2" s="2"/>
      <c r="LM2" s="62" t="s">
        <v>426</v>
      </c>
      <c r="LN2" s="62" t="s">
        <v>427</v>
      </c>
      <c r="LO2" s="62" t="s">
        <v>428</v>
      </c>
      <c r="LP2" s="46" t="s">
        <v>429</v>
      </c>
      <c r="LQ2" s="46"/>
      <c r="LR2" s="46"/>
      <c r="LS2" s="60" t="s">
        <v>425</v>
      </c>
      <c r="LT2" s="2"/>
      <c r="LU2" s="62" t="s">
        <v>426</v>
      </c>
      <c r="LV2" s="62" t="s">
        <v>427</v>
      </c>
      <c r="LW2" s="62" t="s">
        <v>428</v>
      </c>
      <c r="LX2" s="46" t="s">
        <v>429</v>
      </c>
      <c r="LY2" s="46"/>
      <c r="LZ2" s="46"/>
      <c r="MA2" s="60" t="s">
        <v>425</v>
      </c>
      <c r="MB2" s="2"/>
      <c r="MC2" s="62" t="s">
        <v>426</v>
      </c>
      <c r="MD2" s="62" t="s">
        <v>427</v>
      </c>
      <c r="ME2" s="62" t="s">
        <v>428</v>
      </c>
      <c r="MF2" s="46" t="s">
        <v>429</v>
      </c>
      <c r="MG2" s="46"/>
      <c r="MH2" s="64"/>
      <c r="MI2" s="65"/>
      <c r="MJ2" s="60" t="s">
        <v>425</v>
      </c>
      <c r="MK2" s="2"/>
      <c r="ML2" s="62" t="s">
        <v>426</v>
      </c>
      <c r="MM2" s="62" t="s">
        <v>427</v>
      </c>
      <c r="MN2" s="62" t="s">
        <v>428</v>
      </c>
      <c r="MO2" s="46" t="s">
        <v>429</v>
      </c>
      <c r="MP2" s="46"/>
      <c r="MQ2" s="46"/>
      <c r="MR2" s="46"/>
      <c r="MS2" s="60" t="s">
        <v>425</v>
      </c>
      <c r="MT2" s="2"/>
      <c r="MU2" s="62" t="s">
        <v>426</v>
      </c>
      <c r="MV2" s="62" t="s">
        <v>427</v>
      </c>
      <c r="MW2" s="62" t="s">
        <v>428</v>
      </c>
      <c r="MX2" s="46" t="s">
        <v>429</v>
      </c>
      <c r="MY2" s="46"/>
      <c r="MZ2" s="46"/>
      <c r="NA2" s="46"/>
      <c r="NB2" s="60" t="s">
        <v>425</v>
      </c>
      <c r="NC2" s="2"/>
      <c r="ND2" s="62" t="s">
        <v>426</v>
      </c>
      <c r="NE2" s="62" t="s">
        <v>427</v>
      </c>
      <c r="NF2" s="62" t="s">
        <v>428</v>
      </c>
      <c r="NG2" s="46" t="s">
        <v>429</v>
      </c>
      <c r="NH2" s="46"/>
      <c r="NI2" s="46"/>
      <c r="NJ2" s="46"/>
      <c r="NK2" s="46"/>
      <c r="NL2" s="60" t="s">
        <v>425</v>
      </c>
      <c r="NM2" s="2"/>
      <c r="NN2" s="62" t="s">
        <v>426</v>
      </c>
      <c r="NO2" s="62" t="s">
        <v>427</v>
      </c>
      <c r="NP2" s="62" t="s">
        <v>428</v>
      </c>
      <c r="NQ2" s="46" t="s">
        <v>429</v>
      </c>
      <c r="NR2" s="46"/>
      <c r="NS2" s="2"/>
      <c r="NT2" s="60" t="s">
        <v>425</v>
      </c>
      <c r="NU2" s="2"/>
      <c r="NV2" s="62" t="s">
        <v>426</v>
      </c>
      <c r="NW2" s="62" t="s">
        <v>427</v>
      </c>
      <c r="NX2" s="62" t="s">
        <v>428</v>
      </c>
      <c r="NY2" s="46" t="s">
        <v>429</v>
      </c>
      <c r="NZ2" s="46"/>
      <c r="OA2" s="2"/>
      <c r="OB2" s="60" t="s">
        <v>425</v>
      </c>
      <c r="OC2" s="2"/>
      <c r="OD2" s="62" t="s">
        <v>426</v>
      </c>
      <c r="OE2" s="62" t="s">
        <v>427</v>
      </c>
      <c r="OF2" s="62" t="s">
        <v>428</v>
      </c>
      <c r="OG2" s="46" t="s">
        <v>429</v>
      </c>
      <c r="OH2" s="46"/>
      <c r="OI2" s="46"/>
      <c r="OJ2" s="60" t="s">
        <v>425</v>
      </c>
      <c r="OK2" s="2"/>
      <c r="OL2" s="62" t="s">
        <v>426</v>
      </c>
      <c r="OM2" s="62" t="s">
        <v>427</v>
      </c>
      <c r="ON2" s="62" t="s">
        <v>428</v>
      </c>
      <c r="OO2" s="46" t="s">
        <v>429</v>
      </c>
      <c r="OP2" s="46"/>
      <c r="OQ2" s="46"/>
      <c r="OT2" s="66">
        <f t="shared" ref="OT2:OT12" si="6">OK2</f>
        <v>0</v>
      </c>
      <c r="OW2" s="67"/>
      <c r="OX2" s="46"/>
    </row>
    <row r="3" s="3" customFormat="1" ht="22.5" customHeight="1" spans="1:425">
      <c r="A3" s="68">
        <v>46022</v>
      </c>
      <c r="B3" s="69">
        <f>42315240.2/10000</f>
        <v>4231.52402</v>
      </c>
      <c r="C3" s="16"/>
      <c r="D3" s="69"/>
      <c r="E3" s="69"/>
      <c r="F3" s="70"/>
      <c r="G3" s="70"/>
      <c r="H3" s="70"/>
      <c r="I3" s="70"/>
      <c r="J3" s="69">
        <f>30057376.39/10000</f>
        <v>3005.737639</v>
      </c>
      <c r="K3" s="17">
        <f t="shared" si="0"/>
        <v>0</v>
      </c>
      <c r="L3" s="69"/>
      <c r="M3" s="69"/>
      <c r="N3" s="70"/>
      <c r="O3" s="70"/>
      <c r="P3" s="70"/>
      <c r="Q3" s="70"/>
      <c r="R3" s="69">
        <f>17776580.43/10000</f>
        <v>1777.658043</v>
      </c>
      <c r="S3" s="17">
        <f t="shared" si="1"/>
        <v>0</v>
      </c>
      <c r="T3" s="69"/>
      <c r="U3" s="69"/>
      <c r="V3" s="70"/>
      <c r="W3" s="70"/>
      <c r="X3" s="70"/>
      <c r="Y3" s="70"/>
      <c r="Z3" s="69">
        <f>14492904.43/10000</f>
        <v>1449.290443</v>
      </c>
      <c r="AA3" s="17">
        <f t="shared" si="2"/>
        <v>0</v>
      </c>
      <c r="AB3" s="69"/>
      <c r="AC3" s="69"/>
      <c r="AD3" s="70"/>
      <c r="AE3" s="70"/>
      <c r="AF3" s="70"/>
      <c r="AG3" s="70"/>
      <c r="AH3" s="69">
        <f>7954663.51/10000</f>
        <v>795.466351</v>
      </c>
      <c r="AI3" s="17">
        <f t="shared" si="3"/>
        <v>0</v>
      </c>
      <c r="AJ3" s="69"/>
      <c r="AK3" s="71"/>
      <c r="AL3" s="70"/>
      <c r="AM3" s="70"/>
      <c r="AN3" s="70"/>
      <c r="AO3" s="70"/>
      <c r="AP3" s="72">
        <f>AR118*3.188/10000</f>
        <v>1004.298106</v>
      </c>
      <c r="AQ3" s="17">
        <f t="shared" si="4"/>
        <v>0</v>
      </c>
      <c r="AR3" s="73"/>
      <c r="AS3" s="69"/>
      <c r="AT3" s="70"/>
      <c r="AU3" s="70"/>
      <c r="AV3" s="70"/>
      <c r="AW3" s="70"/>
      <c r="AX3" s="69"/>
      <c r="AY3" s="17">
        <f>BA118*AY118/10000</f>
        <v>1971.22245544</v>
      </c>
      <c r="AZ3" s="17">
        <f t="shared" si="5"/>
        <v>0</v>
      </c>
      <c r="BA3" s="17"/>
      <c r="BB3" s="17"/>
      <c r="BC3" s="18"/>
      <c r="BD3" s="18"/>
      <c r="BE3" s="18"/>
      <c r="BF3" s="74">
        <v>46022</v>
      </c>
      <c r="BG3" s="75">
        <f>(1.4821*BI118)/10000</f>
        <v>38.87948467</v>
      </c>
      <c r="BH3" s="3">
        <f>C4</f>
        <v>0</v>
      </c>
      <c r="BJ3" s="75"/>
      <c r="BK3" s="76"/>
      <c r="BL3" s="76"/>
      <c r="BM3" s="76"/>
      <c r="BN3" s="77"/>
      <c r="BO3" s="3">
        <f>0.8636*BQ118/10000</f>
        <v>60.25009032</v>
      </c>
      <c r="BP3" s="3">
        <f>C4</f>
        <v>0</v>
      </c>
      <c r="BS3" s="77"/>
      <c r="BT3" s="77"/>
      <c r="BU3" s="77"/>
      <c r="BW3" s="3">
        <f>0.8232*BY118/10000</f>
        <v>169.57598952</v>
      </c>
      <c r="BX3" s="3">
        <f>C4</f>
        <v>0</v>
      </c>
      <c r="CA3" s="77"/>
      <c r="CB3" s="77"/>
      <c r="CC3" s="77"/>
      <c r="CE3" s="3">
        <f>2069605.52/10000</f>
        <v>206.960552</v>
      </c>
      <c r="CF3" s="3">
        <f>C4</f>
        <v>0</v>
      </c>
      <c r="CI3" s="77"/>
      <c r="CJ3" s="77"/>
      <c r="CK3" s="77"/>
      <c r="CM3" s="3">
        <f>626670.98/10000</f>
        <v>62.667098</v>
      </c>
      <c r="CN3" s="3">
        <f>C4</f>
        <v>0</v>
      </c>
      <c r="CQ3" s="77"/>
      <c r="CR3" s="77"/>
      <c r="CS3" s="77"/>
      <c r="CU3" s="3">
        <f>1248154.42/10000</f>
        <v>124.815442</v>
      </c>
      <c r="CV3" s="3">
        <f>C4</f>
        <v>0</v>
      </c>
      <c r="CY3" s="77"/>
      <c r="CZ3" s="77"/>
      <c r="DA3" s="77"/>
      <c r="DB3" s="77"/>
      <c r="DC3" s="78">
        <f>1.5397*DE118/10000</f>
        <v>180.22465646</v>
      </c>
      <c r="DD3" s="3">
        <f>C4</f>
        <v>0</v>
      </c>
      <c r="DG3" s="77"/>
      <c r="DH3" s="77"/>
      <c r="DI3" s="77"/>
      <c r="DK3" s="3">
        <f>2010218.93/10000</f>
        <v>201.021893</v>
      </c>
      <c r="DL3" s="3">
        <f>C4</f>
        <v>0</v>
      </c>
      <c r="DO3" s="77"/>
      <c r="DP3" s="77"/>
      <c r="DQ3" s="77"/>
      <c r="DS3" s="3">
        <f>3911583.76/10000</f>
        <v>391.158376</v>
      </c>
      <c r="DT3" s="3">
        <f>C4</f>
        <v>0</v>
      </c>
      <c r="DW3" s="77"/>
      <c r="DX3" s="77"/>
      <c r="DY3" s="77"/>
      <c r="EA3" s="3">
        <f>7522735.13/10000</f>
        <v>752.273513</v>
      </c>
      <c r="EB3" s="3">
        <f>C4</f>
        <v>0</v>
      </c>
      <c r="EE3" s="77"/>
      <c r="EF3" s="77"/>
      <c r="EG3" s="77"/>
      <c r="EI3" s="3">
        <f>1.5311*EK118/10000</f>
        <v>217.95560653</v>
      </c>
      <c r="EJ3" s="3">
        <f>C4</f>
        <v>0</v>
      </c>
      <c r="EM3" s="77"/>
      <c r="EN3" s="77"/>
      <c r="EO3" s="77"/>
      <c r="EQ3" s="79">
        <f>891554.1/10000</f>
        <v>89.15541</v>
      </c>
      <c r="ER3" s="3">
        <f>C4</f>
        <v>0</v>
      </c>
      <c r="ES3" s="79"/>
      <c r="ET3" s="79"/>
      <c r="EU3" s="77"/>
      <c r="EV3" s="77"/>
      <c r="EW3" s="77"/>
      <c r="EY3" s="3">
        <f>1094978.48/10000</f>
        <v>109.497848</v>
      </c>
      <c r="EZ3" s="3">
        <f>C4</f>
        <v>0</v>
      </c>
      <c r="FC3" s="77"/>
      <c r="FD3" s="77"/>
      <c r="FE3" s="77"/>
      <c r="FG3" s="3">
        <f>1.6779*FI118/10000</f>
        <v>66.59501205</v>
      </c>
      <c r="FH3" s="3">
        <f>C4</f>
        <v>0</v>
      </c>
      <c r="FI3" s="79"/>
      <c r="FJ3" s="3"/>
      <c r="FK3" s="77"/>
      <c r="FL3" s="77"/>
      <c r="FM3" s="80"/>
      <c r="FN3" s="80"/>
      <c r="FO3" s="3">
        <f>2625931.13/10000</f>
        <v>262.593113</v>
      </c>
      <c r="FP3" s="3">
        <f>C4</f>
        <v>0</v>
      </c>
      <c r="FS3" s="77"/>
      <c r="FT3" s="77"/>
      <c r="FU3" s="77"/>
      <c r="FV3" s="77"/>
      <c r="FW3" s="3">
        <f>2523371.9/10000</f>
        <v>252.33719</v>
      </c>
      <c r="FX3" s="3">
        <f>C4</f>
        <v>0</v>
      </c>
      <c r="GA3" s="77"/>
      <c r="GB3" s="77"/>
      <c r="GC3" s="77"/>
      <c r="GD3" s="77"/>
      <c r="GE3" s="3">
        <f>1686548.87/10000</f>
        <v>168.654887</v>
      </c>
      <c r="GF3" s="3">
        <f>C4</f>
        <v>0</v>
      </c>
      <c r="GI3" s="77"/>
      <c r="GJ3" s="77"/>
      <c r="GK3" s="77"/>
      <c r="GL3" s="77"/>
      <c r="GM3" s="3">
        <f>0.8323*GO118/10000</f>
        <v>124.21062094</v>
      </c>
      <c r="GN3" s="3">
        <f>C4</f>
        <v>0</v>
      </c>
      <c r="GQ3" s="77"/>
      <c r="GR3" s="77"/>
      <c r="GS3" s="77"/>
      <c r="GT3" s="77"/>
      <c r="GU3" s="3">
        <f>1131648.12/10000</f>
        <v>113.164812</v>
      </c>
      <c r="GV3" s="3">
        <f>C4</f>
        <v>0</v>
      </c>
      <c r="GY3" s="77"/>
      <c r="GZ3" s="77"/>
      <c r="HA3" s="77"/>
      <c r="HB3" s="77"/>
      <c r="HC3" s="3">
        <f>1.0692*HE118/10000</f>
        <v>140.8633578</v>
      </c>
      <c r="HD3" s="3">
        <f>C4</f>
        <v>0</v>
      </c>
      <c r="HG3" s="77"/>
      <c r="HH3" s="77"/>
      <c r="HI3" s="77"/>
      <c r="HJ3" s="77"/>
      <c r="HK3" s="3">
        <f>197474.04/10000</f>
        <v>19.747404</v>
      </c>
      <c r="HL3" s="3">
        <f>C4</f>
        <v>0</v>
      </c>
      <c r="HO3" s="77"/>
      <c r="HP3" s="77"/>
      <c r="HQ3" s="77"/>
      <c r="HR3" s="77"/>
      <c r="HS3" s="3">
        <f>0.6503*HU118/10000</f>
        <v>6.10430107</v>
      </c>
      <c r="HT3" s="3">
        <f>C4</f>
        <v>0</v>
      </c>
      <c r="HW3" s="77"/>
      <c r="HX3" s="77"/>
      <c r="HY3" s="77"/>
      <c r="HZ3" s="77"/>
      <c r="IA3" s="81">
        <f>476884.05/10000</f>
        <v>47.688405</v>
      </c>
      <c r="IB3" s="3">
        <f>C4</f>
        <v>0</v>
      </c>
      <c r="IC3" s="81"/>
      <c r="ID3" s="81"/>
      <c r="IE3" s="80"/>
      <c r="IF3" s="80"/>
      <c r="IG3" s="80"/>
      <c r="IH3" s="77"/>
      <c r="II3" s="3">
        <f>1.0001*IK118/10000</f>
        <v>36.89928956</v>
      </c>
      <c r="IJ3" s="3">
        <f>C4</f>
        <v>0</v>
      </c>
      <c r="IM3" s="77"/>
      <c r="IN3" s="77"/>
      <c r="IO3" s="77"/>
      <c r="IP3" s="77"/>
      <c r="IQ3" s="3">
        <f>174661.7/10000</f>
        <v>17.46617</v>
      </c>
      <c r="IR3" s="3">
        <f>C4</f>
        <v>0</v>
      </c>
      <c r="IU3" s="77"/>
      <c r="IV3" s="77"/>
      <c r="IW3" s="77"/>
      <c r="IX3" s="77"/>
      <c r="IY3" s="3">
        <f>5713170/10000</f>
        <v>571.317</v>
      </c>
      <c r="IZ3" s="3">
        <f>C4</f>
        <v>0</v>
      </c>
      <c r="JC3" s="77"/>
      <c r="JD3" s="77"/>
      <c r="JE3" s="77"/>
      <c r="JF3" s="77"/>
      <c r="JG3" s="3">
        <f>1283310.48/10000</f>
        <v>128.331048</v>
      </c>
      <c r="JH3" s="3">
        <f>C4</f>
        <v>0</v>
      </c>
      <c r="JK3" s="77"/>
      <c r="JL3" s="77"/>
      <c r="JM3" s="77"/>
      <c r="JN3" s="77"/>
      <c r="JO3" s="3">
        <f>0.8461*JQ118/10000</f>
        <v>100.8458129</v>
      </c>
      <c r="JP3" s="3">
        <f>C4</f>
        <v>0</v>
      </c>
      <c r="JS3" s="77"/>
      <c r="JT3" s="77"/>
      <c r="JU3" s="77"/>
      <c r="JV3" s="77"/>
      <c r="JW3" s="3">
        <f>3008153.06/10000</f>
        <v>300.815306</v>
      </c>
      <c r="JX3" s="3">
        <f>C4</f>
        <v>0</v>
      </c>
      <c r="KA3" s="77"/>
      <c r="KB3" s="77"/>
      <c r="KC3" s="77"/>
      <c r="KD3" s="77"/>
      <c r="KE3" s="79">
        <f>1.568*KG118/10000</f>
        <v>137.8830208</v>
      </c>
      <c r="KF3" s="3">
        <f>C4</f>
        <v>0</v>
      </c>
      <c r="KG3" s="79"/>
      <c r="KH3" s="79"/>
      <c r="KI3" s="77"/>
      <c r="KJ3" s="77"/>
      <c r="KK3" s="77"/>
      <c r="KL3" s="77"/>
      <c r="KM3" s="3">
        <f>4875688/10000</f>
        <v>487.5688</v>
      </c>
      <c r="KN3" s="3">
        <f>C4</f>
        <v>0</v>
      </c>
      <c r="KO3" s="79"/>
      <c r="KP3" s="79"/>
      <c r="KQ3" s="79"/>
      <c r="KR3" s="77"/>
      <c r="KS3" s="77"/>
      <c r="KT3" s="77"/>
      <c r="KU3" s="3">
        <f>0.7526*KW118/10000</f>
        <v>78.96075998</v>
      </c>
      <c r="KV3" s="3">
        <f>C4</f>
        <v>0</v>
      </c>
      <c r="KY3" s="77"/>
      <c r="KZ3" s="77"/>
      <c r="LA3" s="77"/>
      <c r="LB3" s="77"/>
      <c r="LC3" s="3">
        <f>784855.3/10000</f>
        <v>78.48553</v>
      </c>
      <c r="LD3" s="3">
        <f>C4</f>
        <v>0</v>
      </c>
      <c r="LG3" s="77"/>
      <c r="LH3" s="77"/>
      <c r="LI3" s="77"/>
      <c r="LJ3" s="77"/>
      <c r="LK3" s="3">
        <f>1883930.13/10000</f>
        <v>188.393013</v>
      </c>
      <c r="LL3" s="3">
        <f>C4</f>
        <v>0</v>
      </c>
      <c r="LM3" s="79"/>
      <c r="LO3" s="77"/>
      <c r="LP3" s="77"/>
      <c r="LQ3" s="77"/>
      <c r="LR3" s="77"/>
      <c r="LS3" s="3">
        <f>0.7922*LU118/10000</f>
        <v>208.92397486</v>
      </c>
      <c r="LT3" s="3">
        <f>C4</f>
        <v>0</v>
      </c>
      <c r="LW3" s="77"/>
      <c r="LX3" s="77"/>
      <c r="LY3" s="77"/>
      <c r="LZ3" s="77"/>
      <c r="MA3" s="3">
        <f>863589.59/10000</f>
        <v>86.358959</v>
      </c>
      <c r="MB3" s="3">
        <f>C4</f>
        <v>0</v>
      </c>
      <c r="ME3" s="77"/>
      <c r="MF3" s="77"/>
      <c r="MG3" s="77"/>
      <c r="MH3" s="80"/>
      <c r="MJ3" s="3">
        <f>0.9983*ML118/10000</f>
        <v>23.61039398</v>
      </c>
      <c r="MK3" s="3">
        <f>C4</f>
        <v>0</v>
      </c>
      <c r="MN3" s="77"/>
      <c r="MO3" s="77"/>
      <c r="MP3" s="77"/>
      <c r="MQ3" s="77"/>
      <c r="MR3" s="77"/>
      <c r="MS3" s="82">
        <f>MU118*MS118/10000</f>
        <v>2.55188085</v>
      </c>
      <c r="MT3" s="3">
        <f>C4</f>
        <v>0</v>
      </c>
      <c r="MW3" s="77"/>
      <c r="MX3" s="77"/>
      <c r="MY3" s="77"/>
      <c r="MZ3" s="77"/>
      <c r="NA3" s="77"/>
      <c r="NB3" s="5">
        <f>ND118*NB118/10000</f>
        <v>3.2234295</v>
      </c>
      <c r="NC3" s="3">
        <f>C4</f>
        <v>0</v>
      </c>
      <c r="ND3" s="5"/>
      <c r="NE3" s="5"/>
      <c r="NF3" s="22"/>
      <c r="NG3" s="22"/>
      <c r="NH3" s="22"/>
      <c r="NI3" s="77"/>
      <c r="NJ3" s="77"/>
      <c r="NK3" s="77"/>
      <c r="NL3" s="5">
        <f>2660360.23/10000</f>
        <v>266.036023</v>
      </c>
      <c r="NM3" s="3">
        <f>C4</f>
        <v>0</v>
      </c>
      <c r="NN3" s="5"/>
      <c r="NO3" s="5"/>
      <c r="NP3" s="22"/>
      <c r="NQ3" s="22"/>
      <c r="NR3" s="22"/>
      <c r="NS3" s="5"/>
      <c r="NT3" s="5">
        <f>244687.12/10000</f>
        <v>24.468712</v>
      </c>
      <c r="NU3" s="3">
        <f>C4</f>
        <v>0</v>
      </c>
      <c r="NV3" s="5"/>
      <c r="NW3" s="5"/>
      <c r="NX3" s="22"/>
      <c r="NY3" s="22"/>
      <c r="NZ3" s="77"/>
      <c r="OB3" s="3">
        <f>1420776.15/10000</f>
        <v>142.077615</v>
      </c>
      <c r="OC3" s="3">
        <f>C4</f>
        <v>0</v>
      </c>
      <c r="OF3" s="77"/>
      <c r="OG3" s="77"/>
      <c r="OH3" s="77"/>
      <c r="OI3" s="77"/>
      <c r="OJ3" s="83">
        <f>1633189.72/10000</f>
        <v>163.318972</v>
      </c>
      <c r="OK3" s="3">
        <f>C4</f>
        <v>0</v>
      </c>
      <c r="OL3" s="83"/>
      <c r="OM3" s="3"/>
      <c r="ON3" s="77"/>
      <c r="OO3" s="77"/>
      <c r="OP3" s="77"/>
      <c r="OQ3" s="77"/>
      <c r="OT3" s="82">
        <f t="shared" si="6"/>
        <v>0</v>
      </c>
      <c r="OW3" s="79"/>
      <c r="OX3" s="77"/>
    </row>
    <row r="4" s="4" customFormat="1" ht="22.5" customHeight="1" spans="1:425">
      <c r="A4" s="84">
        <v>46052</v>
      </c>
      <c r="B4" s="85">
        <f>23206474.42/10000</f>
        <v>2320.647442</v>
      </c>
      <c r="C4" s="86"/>
      <c r="D4" s="85">
        <f>B4-B3</f>
        <v>-1910.876578</v>
      </c>
      <c r="E4" s="85"/>
      <c r="F4" s="87"/>
      <c r="G4" s="87">
        <f>D4/B3</f>
        <v>-0.451581172402278</v>
      </c>
      <c r="H4" s="87"/>
      <c r="I4" s="87"/>
      <c r="J4" s="85">
        <f>15028629.91/10000</f>
        <v>1502.862991</v>
      </c>
      <c r="K4" s="3">
        <f t="shared" si="0"/>
        <v>0</v>
      </c>
      <c r="L4" s="85">
        <f>J4-J3</f>
        <v>-1502.874648</v>
      </c>
      <c r="M4" s="85"/>
      <c r="N4" s="87"/>
      <c r="O4" s="87">
        <f>L4/J3</f>
        <v>-0.500001939124668</v>
      </c>
      <c r="P4" s="87"/>
      <c r="Q4" s="87"/>
      <c r="R4" s="85">
        <f>8159216.44/10000</f>
        <v>815.921644</v>
      </c>
      <c r="S4" s="3">
        <f t="shared" si="1"/>
        <v>0</v>
      </c>
      <c r="T4" s="85">
        <f>R4-R3</f>
        <v>-961.736399</v>
      </c>
      <c r="U4" s="85"/>
      <c r="V4" s="87"/>
      <c r="W4" s="87">
        <f>T4/R3</f>
        <v>-0.541013162113542</v>
      </c>
      <c r="X4" s="87"/>
      <c r="Y4" s="87"/>
      <c r="Z4" s="85">
        <f>11276319.91/10000</f>
        <v>1127.631991</v>
      </c>
      <c r="AA4" s="3">
        <f t="shared" si="2"/>
        <v>0</v>
      </c>
      <c r="AB4" s="85">
        <f>Z4-Z3</f>
        <v>-321.658452</v>
      </c>
      <c r="AC4" s="85"/>
      <c r="AD4" s="87"/>
      <c r="AE4" s="87">
        <f>AB4/Z3</f>
        <v>-0.221942022424556</v>
      </c>
      <c r="AF4" s="87"/>
      <c r="AG4" s="87"/>
      <c r="AH4" s="85">
        <f>3526618.16/10000</f>
        <v>352.661816</v>
      </c>
      <c r="AI4" s="3">
        <f t="shared" si="3"/>
        <v>0</v>
      </c>
      <c r="AJ4" s="85">
        <f>AH4-AH3</f>
        <v>-442.804535</v>
      </c>
      <c r="AK4" s="88"/>
      <c r="AL4" s="87"/>
      <c r="AM4" s="87">
        <f>AJ4/AH3</f>
        <v>-0.556660296747109</v>
      </c>
      <c r="AN4" s="87"/>
      <c r="AO4" s="87"/>
      <c r="AP4" s="89">
        <f>3.3334*AR98/10000</f>
        <v>630.8277796366</v>
      </c>
      <c r="AQ4" s="3">
        <f t="shared" si="4"/>
        <v>0</v>
      </c>
      <c r="AR4" s="90">
        <f>AP4-AP3</f>
        <v>-373.4703263634</v>
      </c>
      <c r="AS4" s="85"/>
      <c r="AT4" s="87"/>
      <c r="AU4" s="87">
        <f>AR4/AP3</f>
        <v>-0.371871981169902</v>
      </c>
      <c r="AV4" s="87"/>
      <c r="AW4" s="87"/>
      <c r="AX4" s="85"/>
      <c r="AY4" s="17">
        <f>BA98*AY98/10000</f>
        <v>1020.77034368</v>
      </c>
      <c r="AZ4" s="3">
        <f t="shared" si="5"/>
        <v>0</v>
      </c>
      <c r="BA4" s="17">
        <f>AY4-AY3</f>
        <v>-950.45211176</v>
      </c>
      <c r="BB4" s="17"/>
      <c r="BC4" s="18"/>
      <c r="BD4" s="18">
        <f>BA4/AY3</f>
        <v>-0.482163801014456</v>
      </c>
      <c r="BE4" s="18"/>
      <c r="BF4" s="84">
        <v>46052</v>
      </c>
      <c r="BG4" s="91">
        <f>1.7216*BI98/10000</f>
        <v>168.084378848</v>
      </c>
      <c r="BH4" s="4" t="e">
        <f>#REF!</f>
        <v>#REF!</v>
      </c>
      <c r="BI4" s="91">
        <f>BG4-BG3</f>
        <v>129.204894178</v>
      </c>
      <c r="BJ4" s="91"/>
      <c r="BK4" s="92"/>
      <c r="BL4" s="92">
        <f>BI4/BG3</f>
        <v>3.32321519368533</v>
      </c>
      <c r="BM4" s="92"/>
      <c r="BN4" s="93"/>
      <c r="BO4" s="4">
        <f>0.9474*BQ98/10000</f>
        <v>152.8025828286</v>
      </c>
      <c r="BP4" s="4" t="e">
        <f>#REF!</f>
        <v>#REF!</v>
      </c>
      <c r="BQ4" s="94">
        <f>BO4-BO3</f>
        <v>92.5524925086</v>
      </c>
      <c r="BS4" s="93"/>
      <c r="BT4" s="93">
        <f>BQ4/BO3</f>
        <v>1.53613865169389</v>
      </c>
      <c r="BU4" s="93"/>
      <c r="BW4" s="4">
        <f>0.9166*BY98/10000</f>
        <v>335.164936762</v>
      </c>
      <c r="BX4" s="4" t="e">
        <f>#REF!</f>
        <v>#REF!</v>
      </c>
      <c r="BY4" s="4">
        <f>BW4-BW3</f>
        <v>165.588947242</v>
      </c>
      <c r="CA4" s="93"/>
      <c r="CB4" s="93">
        <f>BY4/BW3</f>
        <v>0.976488167403383</v>
      </c>
      <c r="CC4" s="93"/>
      <c r="CE4" s="4">
        <f>4317920.07/10000</f>
        <v>431.792007</v>
      </c>
      <c r="CF4" s="4" t="e">
        <f>#REF!</f>
        <v>#REF!</v>
      </c>
      <c r="CG4" s="4">
        <f>CE4-CE3</f>
        <v>224.831455</v>
      </c>
      <c r="CI4" s="93"/>
      <c r="CJ4" s="93">
        <f>CG4/CE3</f>
        <v>1.08634932032845</v>
      </c>
      <c r="CK4" s="93"/>
      <c r="CM4" s="4">
        <f>2218453.67/10000</f>
        <v>221.845367</v>
      </c>
      <c r="CN4" s="4" t="e">
        <f>#REF!</f>
        <v>#REF!</v>
      </c>
      <c r="CO4" s="4">
        <f>CM4-CM3</f>
        <v>159.178269</v>
      </c>
      <c r="CQ4" s="93"/>
      <c r="CR4" s="93">
        <f>CO4/CM3</f>
        <v>2.54006127745057</v>
      </c>
      <c r="CS4" s="93"/>
      <c r="CU4" s="4">
        <f>2054319.19/10000</f>
        <v>205.431919</v>
      </c>
      <c r="CV4" s="4" t="e">
        <f>#REF!</f>
        <v>#REF!</v>
      </c>
      <c r="CW4" s="4">
        <f>CU4-CU3</f>
        <v>80.616477</v>
      </c>
      <c r="CY4" s="93"/>
      <c r="CZ4" s="93">
        <f>CW4/CU3</f>
        <v>0.645885442604129</v>
      </c>
      <c r="DA4" s="93"/>
      <c r="DB4" s="93"/>
      <c r="DC4" s="95">
        <f>1.8398*DE98/10000</f>
        <v>415.1173819604</v>
      </c>
      <c r="DD4" s="4" t="e">
        <f>#REF!</f>
        <v>#REF!</v>
      </c>
      <c r="DE4" s="4">
        <f>DC4-DC3</f>
        <v>234.8927255004</v>
      </c>
      <c r="DG4" s="93"/>
      <c r="DH4" s="93">
        <f>DE4/DC3</f>
        <v>1.30333290746227</v>
      </c>
      <c r="DI4" s="93"/>
      <c r="DK4" s="4">
        <f>2270668.72/10000</f>
        <v>227.066872</v>
      </c>
      <c r="DL4" s="4" t="e">
        <f>#REF!</f>
        <v>#REF!</v>
      </c>
      <c r="DM4" s="4">
        <f>DK4-DK3</f>
        <v>26.044979</v>
      </c>
      <c r="DO4" s="93"/>
      <c r="DP4" s="93">
        <f>DM4/DK3</f>
        <v>0.129562897907841</v>
      </c>
      <c r="DQ4" s="93"/>
      <c r="DS4" s="4">
        <f>5091718.41/10000</f>
        <v>509.171841</v>
      </c>
      <c r="DT4" s="4" t="e">
        <f>#REF!</f>
        <v>#REF!</v>
      </c>
      <c r="DU4" s="4">
        <f>DS4-DS3</f>
        <v>118.013465</v>
      </c>
      <c r="DW4" s="93"/>
      <c r="DX4" s="93">
        <f>DU4/DS3</f>
        <v>0.301702512948361</v>
      </c>
      <c r="DY4" s="93"/>
      <c r="EA4" s="4">
        <f>8051821.91/10000</f>
        <v>805.182191</v>
      </c>
      <c r="EB4" s="4" t="e">
        <f>#REF!</f>
        <v>#REF!</v>
      </c>
      <c r="EC4" s="4">
        <f>EA4-EA3</f>
        <v>52.908678</v>
      </c>
      <c r="EE4" s="93"/>
      <c r="EF4" s="93">
        <f>EC4/EA3</f>
        <v>0.0703317039423665</v>
      </c>
      <c r="EG4" s="93"/>
      <c r="EI4" s="4">
        <f>1.6681*EK98/10000</f>
        <v>260.7111789576</v>
      </c>
      <c r="EJ4" s="4" t="e">
        <f>#REF!</f>
        <v>#REF!</v>
      </c>
      <c r="EK4" s="4">
        <f>EI4-EI3</f>
        <v>42.7555724276</v>
      </c>
      <c r="EM4" s="93"/>
      <c r="EN4" s="93">
        <f>EK4/EI3</f>
        <v>0.19616642631175</v>
      </c>
      <c r="EO4" s="93"/>
      <c r="EQ4" s="94">
        <f>1111414.19/10000</f>
        <v>111.141419</v>
      </c>
      <c r="ER4" s="4" t="e">
        <f>#REF!</f>
        <v>#REF!</v>
      </c>
      <c r="ES4" s="94">
        <f>EQ4-EQ3</f>
        <v>21.986009</v>
      </c>
      <c r="ET4" s="94"/>
      <c r="EU4" s="93"/>
      <c r="EV4" s="93">
        <f>ES4/EQ3</f>
        <v>0.246603195476304</v>
      </c>
      <c r="EW4" s="93"/>
      <c r="EY4" s="4">
        <f>982857.77/10000</f>
        <v>98.285777</v>
      </c>
      <c r="EZ4" s="4" t="e">
        <f>#REF!</f>
        <v>#REF!</v>
      </c>
      <c r="FA4" s="4">
        <f>EY4-EY3</f>
        <v>-11.212071</v>
      </c>
      <c r="FC4" s="93"/>
      <c r="FD4" s="93">
        <f>FA4/EY3</f>
        <v>-0.102395354838389</v>
      </c>
      <c r="FE4" s="93"/>
      <c r="FG4" s="4">
        <f>1.8927*FI98/10000</f>
        <v>173.18110365</v>
      </c>
      <c r="FH4" s="4" t="e">
        <f>#REF!</f>
        <v>#REF!</v>
      </c>
      <c r="FI4" s="94">
        <f>FG4-FG3</f>
        <v>106.5860916</v>
      </c>
      <c r="FK4" s="93"/>
      <c r="FL4" s="93">
        <f>FI4/FG3</f>
        <v>1.60051163471484</v>
      </c>
      <c r="FM4" s="96"/>
      <c r="FN4" s="96"/>
      <c r="FO4" s="4">
        <f>2464190.72/10000</f>
        <v>246.419072</v>
      </c>
      <c r="FP4" s="4" t="e">
        <f>#REF!</f>
        <v>#REF!</v>
      </c>
      <c r="FQ4" s="4">
        <f>FO4-FO3</f>
        <v>-16.174041</v>
      </c>
      <c r="FS4" s="93"/>
      <c r="FT4" s="93">
        <f>FQ4/FO3</f>
        <v>-0.0615935460576988</v>
      </c>
      <c r="FU4" s="93"/>
      <c r="FV4" s="93"/>
      <c r="FW4" s="4">
        <f>2677540.81/10000</f>
        <v>267.754081</v>
      </c>
      <c r="FX4" s="4" t="e">
        <f>#REF!</f>
        <v>#REF!</v>
      </c>
      <c r="FY4" s="4">
        <f>FW4-FW3</f>
        <v>15.416891</v>
      </c>
      <c r="GA4" s="93"/>
      <c r="GB4" s="93">
        <f>FY4/FW3</f>
        <v>0.0610963885267962</v>
      </c>
      <c r="GC4" s="93"/>
      <c r="GD4" s="93"/>
      <c r="GE4" s="4">
        <f>1798072.41/10000</f>
        <v>179.807241</v>
      </c>
      <c r="GF4" s="4" t="e">
        <f>#REF!</f>
        <v>#REF!</v>
      </c>
      <c r="GG4" s="4">
        <f>GE4-GE3</f>
        <v>11.152354</v>
      </c>
      <c r="GI4" s="93"/>
      <c r="GJ4" s="93">
        <f>GG4/GE3</f>
        <v>0.0661252940746389</v>
      </c>
      <c r="GK4" s="93"/>
      <c r="GL4" s="93"/>
      <c r="GM4" s="4">
        <f>0.8364*GO98/10000</f>
        <v>154.2152747568</v>
      </c>
      <c r="GN4" s="4" t="e">
        <f>#REF!</f>
        <v>#REF!</v>
      </c>
      <c r="GO4" s="4">
        <f>GM4-GM3</f>
        <v>30.0046538168</v>
      </c>
      <c r="GQ4" s="93"/>
      <c r="GR4" s="93">
        <f>GO4/GM3</f>
        <v>0.241562706874268</v>
      </c>
      <c r="GS4" s="93"/>
      <c r="GT4" s="93"/>
      <c r="GU4" s="4">
        <f>1056625.16/10000</f>
        <v>105.662516</v>
      </c>
      <c r="GV4" s="4" t="e">
        <f>#REF!</f>
        <v>#REF!</v>
      </c>
      <c r="GW4" s="4">
        <f>GU4-GU3</f>
        <v>-7.502296</v>
      </c>
      <c r="GY4" s="93"/>
      <c r="GZ4" s="93">
        <f>GW4/GU3</f>
        <v>-0.0662953074141103</v>
      </c>
      <c r="HA4" s="93"/>
      <c r="HB4" s="93"/>
      <c r="HC4" s="4">
        <f>1.0571*HE98/10000</f>
        <v>132.2394752657</v>
      </c>
      <c r="HD4" s="4" t="e">
        <f>#REF!</f>
        <v>#REF!</v>
      </c>
      <c r="HE4" s="4">
        <f>HC4-HC3</f>
        <v>-8.62388253430001</v>
      </c>
      <c r="HG4" s="93"/>
      <c r="HH4" s="93">
        <f>HE4/HC3</f>
        <v>-0.0612216169555203</v>
      </c>
      <c r="HI4" s="93"/>
      <c r="HJ4" s="93"/>
      <c r="HK4" s="4">
        <f>182316.83/10000</f>
        <v>18.231683</v>
      </c>
      <c r="HL4" s="4" t="e">
        <f>#REF!</f>
        <v>#REF!</v>
      </c>
      <c r="HM4" s="4">
        <f>HK4-HK3</f>
        <v>-1.515721</v>
      </c>
      <c r="HO4" s="93"/>
      <c r="HP4" s="93">
        <f>HM4/HK3</f>
        <v>-0.0767554560589331</v>
      </c>
      <c r="HQ4" s="93"/>
      <c r="HR4" s="93"/>
      <c r="HS4" s="4">
        <f>0.7244*HU98/10000</f>
        <v>17.0501173208</v>
      </c>
      <c r="HT4" s="4" t="e">
        <f>#REF!</f>
        <v>#REF!</v>
      </c>
      <c r="HU4" s="4">
        <f>HS4-HS3</f>
        <v>10.9458162508</v>
      </c>
      <c r="HW4" s="93"/>
      <c r="HX4" s="93">
        <f>HU4/HS3</f>
        <v>1.79313178122782</v>
      </c>
      <c r="HY4" s="93"/>
      <c r="HZ4" s="93"/>
      <c r="IA4" s="97">
        <f>642339.49/10000</f>
        <v>64.233949</v>
      </c>
      <c r="IB4" s="4" t="e">
        <f>#REF!</f>
        <v>#REF!</v>
      </c>
      <c r="IC4" s="97">
        <f>IA4-IA3</f>
        <v>16.545544</v>
      </c>
      <c r="ID4" s="97"/>
      <c r="IE4" s="96"/>
      <c r="IF4" s="96">
        <f>IC4/IA3</f>
        <v>0.346951088005564</v>
      </c>
      <c r="IG4" s="96"/>
      <c r="IH4" s="93"/>
      <c r="II4" s="4">
        <f>1.0277*IK98/10000</f>
        <v>41.1980563233</v>
      </c>
      <c r="IJ4" s="4" t="e">
        <f>#REF!</f>
        <v>#REF!</v>
      </c>
      <c r="IK4" s="4">
        <f>II4-II3</f>
        <v>4.2987667633</v>
      </c>
      <c r="IM4" s="93"/>
      <c r="IN4" s="93">
        <f>IK4/II3</f>
        <v>0.116499987250703</v>
      </c>
      <c r="IO4" s="93"/>
      <c r="IP4" s="93"/>
      <c r="IQ4" s="4">
        <f>297139.1/10000</f>
        <v>29.71391</v>
      </c>
      <c r="IR4" s="4" t="e">
        <f>#REF!</f>
        <v>#REF!</v>
      </c>
      <c r="IS4" s="4">
        <f>IQ4-IQ3</f>
        <v>12.24774</v>
      </c>
      <c r="IU4" s="93"/>
      <c r="IV4" s="93">
        <f>IS4/IQ3</f>
        <v>0.701226428003391</v>
      </c>
      <c r="IW4" s="93"/>
      <c r="IX4" s="93"/>
      <c r="IY4" s="4">
        <f>5547239.4/10000</f>
        <v>554.72394</v>
      </c>
      <c r="IZ4" s="4" t="e">
        <f>#REF!</f>
        <v>#REF!</v>
      </c>
      <c r="JA4" s="4">
        <f>IY4-IY3</f>
        <v>-16.59306</v>
      </c>
      <c r="JC4" s="93"/>
      <c r="JD4" s="93">
        <f>JA4/IY3</f>
        <v>-0.0290435257484024</v>
      </c>
      <c r="JE4" s="93"/>
      <c r="JF4" s="93"/>
      <c r="JG4" s="4">
        <f>1188840.69/10000</f>
        <v>118.884069</v>
      </c>
      <c r="JH4" s="4" t="e">
        <f>#REF!</f>
        <v>#REF!</v>
      </c>
      <c r="JI4" s="4">
        <f>JG4-JG3</f>
        <v>-9.44697900000001</v>
      </c>
      <c r="JK4" s="93"/>
      <c r="JL4" s="93">
        <f>JI4/JG3</f>
        <v>-0.0736141342818303</v>
      </c>
      <c r="JM4" s="93"/>
      <c r="JN4" s="93"/>
      <c r="JO4" s="4">
        <f>0.8461*JQ98/10000</f>
        <v>106.9800725901</v>
      </c>
      <c r="JP4" s="4" t="e">
        <f>#REF!</f>
        <v>#REF!</v>
      </c>
      <c r="JQ4" s="4">
        <f>JO4-JO3</f>
        <v>6.1342596901</v>
      </c>
      <c r="JS4" s="93"/>
      <c r="JT4" s="93">
        <f>JQ4/JO3</f>
        <v>0.0608281049425702</v>
      </c>
      <c r="JU4" s="93"/>
      <c r="JV4" s="93"/>
      <c r="JW4" s="4">
        <f>2759031.69/10000</f>
        <v>275.903169</v>
      </c>
      <c r="JX4" s="4" t="e">
        <f>#REF!</f>
        <v>#REF!</v>
      </c>
      <c r="JY4" s="4">
        <f>JW4-JW3</f>
        <v>-24.912137</v>
      </c>
      <c r="KA4" s="93"/>
      <c r="KB4" s="93">
        <f>JY4/JW3</f>
        <v>-0.0828153903844242</v>
      </c>
      <c r="KC4" s="93"/>
      <c r="KD4" s="93"/>
      <c r="KE4" s="94">
        <f>1.6561*KG98/10000</f>
        <v>134.9317279112</v>
      </c>
      <c r="KF4" s="4" t="e">
        <f>#REF!</f>
        <v>#REF!</v>
      </c>
      <c r="KG4" s="94">
        <f>KE4-KE3</f>
        <v>-2.9512928888</v>
      </c>
      <c r="KH4" s="94"/>
      <c r="KI4" s="93"/>
      <c r="KJ4" s="93">
        <f>KG4/KE3</f>
        <v>-0.0214043242719556</v>
      </c>
      <c r="KK4" s="93"/>
      <c r="KL4" s="93"/>
      <c r="KM4" s="4">
        <f>5247813.91/10000</f>
        <v>524.781391</v>
      </c>
      <c r="KN4" s="4" t="e">
        <f>#REF!</f>
        <v>#REF!</v>
      </c>
      <c r="KO4" s="94">
        <f>KM4-KM3</f>
        <v>37.212591</v>
      </c>
      <c r="KP4" s="94"/>
      <c r="KQ4" s="93"/>
      <c r="KR4" s="93">
        <f>KO4/KM3</f>
        <v>0.0763227487074644</v>
      </c>
      <c r="KS4" s="93"/>
      <c r="KT4" s="93"/>
      <c r="KU4" s="4">
        <f>0.7825*KW98/10000</f>
        <v>80.2980349025</v>
      </c>
      <c r="KV4" s="4" t="e">
        <f>#REF!</f>
        <v>#REF!</v>
      </c>
      <c r="KW4" s="4">
        <f>KU4-KU3</f>
        <v>1.3372749225</v>
      </c>
      <c r="KY4" s="93"/>
      <c r="KZ4" s="93">
        <f>KW4/KU3</f>
        <v>0.0169359429017492</v>
      </c>
      <c r="LA4" s="93"/>
      <c r="LB4" s="93"/>
      <c r="LC4" s="4">
        <f>935275.55/10000</f>
        <v>93.527555</v>
      </c>
      <c r="LD4" s="4" t="e">
        <f>#REF!</f>
        <v>#REF!</v>
      </c>
      <c r="LE4" s="4">
        <f>LC4-LC3</f>
        <v>15.042025</v>
      </c>
      <c r="LG4" s="93"/>
      <c r="LH4" s="93">
        <f>LE4/LC3</f>
        <v>0.191653480584256</v>
      </c>
      <c r="LI4" s="93"/>
      <c r="LJ4" s="93"/>
      <c r="LK4" s="4">
        <f>1906080.96/10000</f>
        <v>190.608096</v>
      </c>
      <c r="LL4" s="4" t="e">
        <f>#REF!</f>
        <v>#REF!</v>
      </c>
      <c r="LM4" s="94">
        <f>LK4-LK3</f>
        <v>2.21508299999999</v>
      </c>
      <c r="LO4" s="93"/>
      <c r="LP4" s="93">
        <f>LM4/LK3</f>
        <v>0.0117577768130923</v>
      </c>
      <c r="LQ4" s="93"/>
      <c r="LR4" s="93"/>
      <c r="LS4" s="4">
        <f>0.7777*LU98/10000</f>
        <v>227.793221733</v>
      </c>
      <c r="LT4" s="4" t="e">
        <f>#REF!</f>
        <v>#REF!</v>
      </c>
      <c r="LU4" s="4">
        <f>LS4-LS3</f>
        <v>18.869246873</v>
      </c>
      <c r="LW4" s="93"/>
      <c r="LX4" s="93">
        <f>LU4/LS3</f>
        <v>0.0903163310273235</v>
      </c>
      <c r="LY4" s="93"/>
      <c r="LZ4" s="93"/>
      <c r="MA4" s="4">
        <f>921308.99/10000</f>
        <v>92.130899</v>
      </c>
      <c r="MB4" s="4" t="e">
        <f>#REF!</f>
        <v>#REF!</v>
      </c>
      <c r="MC4" s="4">
        <f>MA4-MA3</f>
        <v>5.77194</v>
      </c>
      <c r="ME4" s="93"/>
      <c r="MF4" s="93">
        <f>MC4/MA3</f>
        <v>0.0668366092740882</v>
      </c>
      <c r="MG4" s="93"/>
      <c r="MH4" s="96"/>
      <c r="MJ4" s="4">
        <f>1.1051*ML98/10000</f>
        <v>29.71680206</v>
      </c>
      <c r="MK4" s="4" t="e">
        <f>#REF!</f>
        <v>#REF!</v>
      </c>
      <c r="ML4" s="4">
        <f>MJ4-MJ3</f>
        <v>6.10640808</v>
      </c>
      <c r="MN4" s="93"/>
      <c r="MO4" s="93">
        <f>ML4/MJ3</f>
        <v>0.258632197547091</v>
      </c>
      <c r="MP4" s="93"/>
      <c r="MQ4" s="93"/>
      <c r="MR4" s="93"/>
      <c r="MS4" s="98">
        <f>MU98*MS98/10000</f>
        <v>24.19138305</v>
      </c>
      <c r="MT4" s="4" t="e">
        <f>#REF!</f>
        <v>#REF!</v>
      </c>
      <c r="MU4" s="4">
        <f>MS4-MS3</f>
        <v>21.6395022</v>
      </c>
      <c r="MW4" s="93"/>
      <c r="MX4" s="93">
        <f>MU4/MS3</f>
        <v>8.47982467519986</v>
      </c>
      <c r="MY4" s="93"/>
      <c r="MZ4" s="93"/>
      <c r="NA4" s="93"/>
      <c r="NB4" s="4">
        <f>ND98*NB98/10000</f>
        <v>6.7650737</v>
      </c>
      <c r="NC4" s="4" t="e">
        <f>#REF!</f>
        <v>#REF!</v>
      </c>
      <c r="ND4" s="4">
        <f>NB4-NB3</f>
        <v>3.5416442</v>
      </c>
      <c r="NF4" s="93"/>
      <c r="NG4" s="93">
        <f>ND4/NB3</f>
        <v>1.09871929880892</v>
      </c>
      <c r="NH4" s="93"/>
      <c r="NI4" s="93"/>
      <c r="NJ4" s="93"/>
      <c r="NK4" s="93"/>
      <c r="NL4" s="4">
        <f>2873526.54/10000</f>
        <v>287.352654</v>
      </c>
      <c r="NM4" s="4" t="e">
        <f>#REF!</f>
        <v>#REF!</v>
      </c>
      <c r="NN4" s="4">
        <f>NL4-NL3</f>
        <v>21.316631</v>
      </c>
      <c r="NP4" s="93"/>
      <c r="NQ4" s="93">
        <f>NN4/NL3</f>
        <v>0.0801268593614481</v>
      </c>
      <c r="NR4" s="93"/>
      <c r="NS4" s="4"/>
      <c r="NT4" s="4">
        <f>250715.33/10000</f>
        <v>25.071533</v>
      </c>
      <c r="NU4" s="4" t="e">
        <f>#REF!</f>
        <v>#REF!</v>
      </c>
      <c r="NV4" s="4">
        <f>NT4-NT3</f>
        <v>0.602820999999999</v>
      </c>
      <c r="NX4" s="93"/>
      <c r="NY4" s="93">
        <f>NV4/NT3</f>
        <v>0.0246364009678972</v>
      </c>
      <c r="NZ4" s="93"/>
      <c r="OB4" s="4">
        <f>1252109.44/10000</f>
        <v>125.210944</v>
      </c>
      <c r="OC4" s="4" t="e">
        <f>#REF!</f>
        <v>#REF!</v>
      </c>
      <c r="OD4" s="4">
        <f>OB4-OB3</f>
        <v>-16.866671</v>
      </c>
      <c r="OF4" s="93"/>
      <c r="OG4" s="93">
        <f>OD4/OB3</f>
        <v>-0.118714485740769</v>
      </c>
      <c r="OH4" s="93"/>
      <c r="OI4" s="93"/>
      <c r="OJ4" s="99">
        <f>1454908.11/10000</f>
        <v>145.490811</v>
      </c>
      <c r="OK4" s="4" t="e">
        <f>#REF!</f>
        <v>#REF!</v>
      </c>
      <c r="OL4" s="99">
        <f>OJ4-OJ3</f>
        <v>-17.828161</v>
      </c>
      <c r="ON4" s="93"/>
      <c r="OO4" s="93">
        <f>OL4/OJ3</f>
        <v>-0.109161604323593</v>
      </c>
      <c r="OP4" s="93"/>
      <c r="OQ4" s="93"/>
      <c r="OT4" s="98" t="e">
        <f t="shared" si="6"/>
        <v>#REF!</v>
      </c>
      <c r="OW4" s="94"/>
      <c r="OX4" s="93"/>
    </row>
    <row r="5" s="4" customFormat="1" ht="22.5" customHeight="1" spans="1:425">
      <c r="A5" s="100" t="s">
        <v>430</v>
      </c>
      <c r="B5" s="85">
        <f>21544245.93/10000</f>
        <v>2154.424593</v>
      </c>
      <c r="C5" s="101"/>
      <c r="D5" s="85">
        <f>B5-B4</f>
        <v>-166.222849</v>
      </c>
      <c r="E5" s="85" t="e">
        <f>B5-#REF!</f>
        <v>#REF!</v>
      </c>
      <c r="F5" s="87" t="e">
        <f>E5/#REF!</f>
        <v>#REF!</v>
      </c>
      <c r="G5" s="87">
        <f>D5/B4</f>
        <v>-0.0716277905862099</v>
      </c>
      <c r="H5" s="87"/>
      <c r="I5" s="87"/>
      <c r="J5" s="85">
        <f>14625208.88/10000</f>
        <v>1462.520888</v>
      </c>
      <c r="K5" s="102">
        <f t="shared" si="0"/>
        <v>0</v>
      </c>
      <c r="L5" s="85">
        <f>J5-J4</f>
        <v>-40.342103</v>
      </c>
      <c r="M5" s="85" t="e">
        <f>J5-#REF!</f>
        <v>#REF!</v>
      </c>
      <c r="N5" s="87" t="e">
        <f>M5/#REF!</f>
        <v>#REF!</v>
      </c>
      <c r="O5" s="87">
        <f>L5/J4</f>
        <v>-0.0268435002003452</v>
      </c>
      <c r="P5" s="87"/>
      <c r="Q5" s="87"/>
      <c r="R5" s="85">
        <f>7412024.13/10000</f>
        <v>741.202413</v>
      </c>
      <c r="S5" s="102">
        <f t="shared" si="1"/>
        <v>0</v>
      </c>
      <c r="T5" s="85">
        <f>R5-R4</f>
        <v>-74.719231</v>
      </c>
      <c r="U5" s="85" t="e">
        <f>R5-#REF!</f>
        <v>#REF!</v>
      </c>
      <c r="V5" s="87" t="e">
        <f>U5/#REF!</f>
        <v>#REF!</v>
      </c>
      <c r="W5" s="87">
        <f>T5/R4</f>
        <v>-0.0915764786354902</v>
      </c>
      <c r="X5" s="87"/>
      <c r="Y5" s="87"/>
      <c r="Z5" s="85">
        <f>9110042.48/10000</f>
        <v>911.004248</v>
      </c>
      <c r="AA5" s="102">
        <f t="shared" si="2"/>
        <v>0</v>
      </c>
      <c r="AB5" s="85">
        <f>Z5-Z4</f>
        <v>-216.627743</v>
      </c>
      <c r="AC5" s="85" t="e">
        <f>Z5-#REF!</f>
        <v>#REF!</v>
      </c>
      <c r="AD5" s="87" t="e">
        <f>AC5/#REF!</f>
        <v>#REF!</v>
      </c>
      <c r="AE5" s="87">
        <f>AB5/Z4</f>
        <v>-0.192108546696952</v>
      </c>
      <c r="AF5" s="87"/>
      <c r="AG5" s="87"/>
      <c r="AH5" s="85">
        <f>3127431.17/10000</f>
        <v>312.743117</v>
      </c>
      <c r="AI5" s="102">
        <f t="shared" si="3"/>
        <v>0</v>
      </c>
      <c r="AJ5" s="85">
        <f>AH5-AH4</f>
        <v>-39.918699</v>
      </c>
      <c r="AK5" s="88" t="e">
        <f>AH5-#REF!</f>
        <v>#REF!</v>
      </c>
      <c r="AL5" s="87" t="e">
        <f>AK5/#REF!</f>
        <v>#REF!</v>
      </c>
      <c r="AM5" s="87">
        <f>AJ5/AH4</f>
        <v>-0.113192574837759</v>
      </c>
      <c r="AN5" s="87"/>
      <c r="AO5" s="87"/>
      <c r="AP5" s="89">
        <f>3.3006*AR84/10000</f>
        <v>605.6751144294</v>
      </c>
      <c r="AQ5" s="102">
        <f t="shared" si="4"/>
        <v>0</v>
      </c>
      <c r="AR5" s="90">
        <f>AP5-AP4</f>
        <v>-25.1526652072001</v>
      </c>
      <c r="AS5" s="85" t="e">
        <f>AP5-#REF!</f>
        <v>#REF!</v>
      </c>
      <c r="AT5" s="87" t="e">
        <f>AS5/#REF!</f>
        <v>#REF!</v>
      </c>
      <c r="AU5" s="87">
        <f>AR5/AP4</f>
        <v>-0.039872475529993</v>
      </c>
      <c r="AV5" s="87"/>
      <c r="AW5" s="87"/>
      <c r="AX5" s="85"/>
      <c r="AY5" s="17">
        <f>BA84*AY84/10000</f>
        <v>988.62577344</v>
      </c>
      <c r="AZ5" s="102">
        <f t="shared" si="5"/>
        <v>0</v>
      </c>
      <c r="BA5" s="17">
        <f>AY5-AY4</f>
        <v>-32.1445702399999</v>
      </c>
      <c r="BB5" s="17"/>
      <c r="BC5" s="18"/>
      <c r="BD5" s="18">
        <f>BA5/AY4</f>
        <v>-0.0314905016970956</v>
      </c>
      <c r="BE5" s="103"/>
      <c r="BF5" s="100" t="s">
        <v>430</v>
      </c>
      <c r="BG5" s="104">
        <f>1.9752*BI84/10000</f>
        <v>236.930484156</v>
      </c>
      <c r="BH5" s="4" t="e">
        <f>#REF!</f>
        <v>#REF!</v>
      </c>
      <c r="BI5" s="104">
        <f>BG5-BG4</f>
        <v>68.846105308</v>
      </c>
      <c r="BJ5" s="91" t="e">
        <f>BG5-#REF!</f>
        <v>#REF!</v>
      </c>
      <c r="BK5" s="92" t="e">
        <f>BJ5/#REF!</f>
        <v>#REF!</v>
      </c>
      <c r="BL5" s="105">
        <f>BI5/BG4</f>
        <v>0.409592525967318</v>
      </c>
      <c r="BM5" s="105"/>
      <c r="BN5" s="93"/>
      <c r="BO5" s="4">
        <f>0.9033*BQ84/10000</f>
        <v>123.3422176887</v>
      </c>
      <c r="BP5" s="4" t="e">
        <f>#REF!</f>
        <v>#REF!</v>
      </c>
      <c r="BQ5" s="94">
        <f>BO5-BO4</f>
        <v>-29.4603651399</v>
      </c>
      <c r="BR5" s="4" t="e">
        <f>BO5-#REF!</f>
        <v>#REF!</v>
      </c>
      <c r="BS5" s="93" t="e">
        <f>BR5/#REF!</f>
        <v>#REF!</v>
      </c>
      <c r="BT5" s="93">
        <f>BQ5/BO4</f>
        <v>-0.192800177814703</v>
      </c>
      <c r="BU5" s="93"/>
      <c r="BW5" s="4">
        <f>0.9566*BY84/10000</f>
        <v>360.993165562</v>
      </c>
      <c r="BX5" s="4" t="e">
        <f>#REF!</f>
        <v>#REF!</v>
      </c>
      <c r="BY5" s="4">
        <f>BW5-BW4</f>
        <v>25.8282288</v>
      </c>
      <c r="BZ5" s="4" t="e">
        <f>BW5-#REF!</f>
        <v>#REF!</v>
      </c>
      <c r="CA5" s="93" t="e">
        <f>BZ5/#REF!</f>
        <v>#REF!</v>
      </c>
      <c r="CB5" s="93">
        <f>BY5/BW4</f>
        <v>0.0770612494538491</v>
      </c>
      <c r="CC5" s="93"/>
      <c r="CE5" s="4">
        <f>4042663.9/10000</f>
        <v>404.26639</v>
      </c>
      <c r="CF5" s="4" t="e">
        <f>#REF!</f>
        <v>#REF!</v>
      </c>
      <c r="CG5" s="4">
        <f>CE5-CE4</f>
        <v>-27.525617</v>
      </c>
      <c r="CH5" s="4" t="e">
        <f>CE5-#REF!</f>
        <v>#REF!</v>
      </c>
      <c r="CI5" s="93" t="e">
        <f>CH5/#REF!</f>
        <v>#REF!</v>
      </c>
      <c r="CJ5" s="93">
        <f>CG5/CE4</f>
        <v>-0.0637473981772896</v>
      </c>
      <c r="CK5" s="93"/>
      <c r="CM5" s="4">
        <f>1729034.67/10000</f>
        <v>172.903467</v>
      </c>
      <c r="CN5" s="4" t="e">
        <f>#REF!</f>
        <v>#REF!</v>
      </c>
      <c r="CO5" s="4">
        <f>CM5-CM4</f>
        <v>-48.9419</v>
      </c>
      <c r="CP5" s="4" t="e">
        <f>CM5-#REF!</f>
        <v>#REF!</v>
      </c>
      <c r="CQ5" s="93" t="e">
        <f>CP5/#REF!</f>
        <v>#REF!</v>
      </c>
      <c r="CR5" s="93">
        <f>CO5/CM4</f>
        <v>-0.220612675675125</v>
      </c>
      <c r="CS5" s="93"/>
      <c r="CU5" s="4">
        <f>1590712.92/10000</f>
        <v>159.071292</v>
      </c>
      <c r="CV5" s="4" t="e">
        <f>#REF!</f>
        <v>#REF!</v>
      </c>
      <c r="CW5" s="4">
        <f>CU5-CU4</f>
        <v>-46.360627</v>
      </c>
      <c r="CX5" s="4" t="e">
        <f>CU5-#REF!</f>
        <v>#REF!</v>
      </c>
      <c r="CY5" s="93" t="e">
        <f>CX5/#REF!</f>
        <v>#REF!</v>
      </c>
      <c r="CZ5" s="93">
        <f>CW5/CU4</f>
        <v>-0.225673922658533</v>
      </c>
      <c r="DA5" s="93"/>
      <c r="DB5" s="93"/>
      <c r="DC5" s="4">
        <f>1.9485*DE84/10000</f>
        <v>464.233628403</v>
      </c>
      <c r="DD5" s="4" t="e">
        <f>#REF!</f>
        <v>#REF!</v>
      </c>
      <c r="DE5" s="4">
        <f>DC5-DC4</f>
        <v>49.1162464426</v>
      </c>
      <c r="DF5" s="4" t="e">
        <f>DC5-#REF!</f>
        <v>#REF!</v>
      </c>
      <c r="DG5" s="93" t="e">
        <f>DF5/#REF!</f>
        <v>#REF!</v>
      </c>
      <c r="DH5" s="93">
        <f>DE5/DC4</f>
        <v>0.118318934780923</v>
      </c>
      <c r="DI5" s="93"/>
      <c r="DK5" s="4">
        <f>2260765.11/10000</f>
        <v>226.076511</v>
      </c>
      <c r="DL5" s="4" t="e">
        <f>#REF!</f>
        <v>#REF!</v>
      </c>
      <c r="DM5" s="4">
        <f>DK5-DK4</f>
        <v>-0.990360999999979</v>
      </c>
      <c r="DN5" s="4" t="e">
        <f>DK5-#REF!</f>
        <v>#REF!</v>
      </c>
      <c r="DO5" s="93" t="e">
        <f>DN5/#REF!</f>
        <v>#REF!</v>
      </c>
      <c r="DP5" s="93">
        <f>DM5/DK4</f>
        <v>-0.00436153892145032</v>
      </c>
      <c r="DQ5" s="93"/>
      <c r="DS5" s="4">
        <f>4867024.07/10000</f>
        <v>486.702407</v>
      </c>
      <c r="DT5" s="4" t="e">
        <f>#REF!</f>
        <v>#REF!</v>
      </c>
      <c r="DU5" s="4">
        <f>DS5-DS4</f>
        <v>-22.469434</v>
      </c>
      <c r="DV5" s="4" t="e">
        <f>DS5-#REF!</f>
        <v>#REF!</v>
      </c>
      <c r="DW5" s="93" t="e">
        <f>DV5/#REF!</f>
        <v>#REF!</v>
      </c>
      <c r="DX5" s="93">
        <f>DU5/DS4</f>
        <v>-0.0441293728181641</v>
      </c>
      <c r="DY5" s="93"/>
      <c r="EA5" s="4">
        <f>7740137.94/10000</f>
        <v>774.013794</v>
      </c>
      <c r="EB5" s="4" t="e">
        <f>#REF!</f>
        <v>#REF!</v>
      </c>
      <c r="EC5" s="4">
        <f>EA5-EA4</f>
        <v>-31.168397</v>
      </c>
      <c r="ED5" s="4" t="e">
        <f>EA5-#REF!</f>
        <v>#REF!</v>
      </c>
      <c r="EE5" s="93" t="e">
        <f>ED5/#REF!</f>
        <v>#REF!</v>
      </c>
      <c r="EF5" s="93">
        <f>EC5/EA4</f>
        <v>-0.0387097446371613</v>
      </c>
      <c r="EG5" s="93"/>
      <c r="EI5" s="4">
        <f>1.6196*EK84/10000</f>
        <v>265.2132186016</v>
      </c>
      <c r="EJ5" s="4" t="e">
        <f>#REF!</f>
        <v>#REF!</v>
      </c>
      <c r="EK5" s="4">
        <f>EI5-EI4</f>
        <v>4.50203964400004</v>
      </c>
      <c r="EL5" s="4" t="e">
        <f>EI5-#REF!</f>
        <v>#REF!</v>
      </c>
      <c r="EM5" s="93" t="e">
        <f>EL5/#REF!</f>
        <v>#REF!</v>
      </c>
      <c r="EN5" s="93">
        <f>EK5/EI4</f>
        <v>0.0172683030394037</v>
      </c>
      <c r="EO5" s="93"/>
      <c r="EQ5" s="94">
        <f>1129119.1/10000</f>
        <v>112.91191</v>
      </c>
      <c r="ER5" s="4" t="e">
        <f>#REF!</f>
        <v>#REF!</v>
      </c>
      <c r="ES5" s="94">
        <f>EQ5-EQ4</f>
        <v>1.77049100000001</v>
      </c>
      <c r="ET5" s="94" t="e">
        <f>EQ5-#REF!</f>
        <v>#REF!</v>
      </c>
      <c r="EU5" s="93" t="e">
        <f>ET5/#REF!</f>
        <v>#REF!</v>
      </c>
      <c r="EV5" s="93">
        <f>ES5/EQ4</f>
        <v>0.0159300737378565</v>
      </c>
      <c r="EW5" s="93"/>
      <c r="EY5" s="4">
        <f>1104542.4/10000</f>
        <v>110.45424</v>
      </c>
      <c r="EZ5" s="4" t="e">
        <f>#REF!</f>
        <v>#REF!</v>
      </c>
      <c r="FA5" s="4">
        <f>EY5-EY4</f>
        <v>12.168463</v>
      </c>
      <c r="FB5" s="4" t="e">
        <f>EY5-#REF!</f>
        <v>#REF!</v>
      </c>
      <c r="FC5" s="93" t="e">
        <f>FB5/#REF!</f>
        <v>#REF!</v>
      </c>
      <c r="FD5" s="93">
        <f>FA5/EY4</f>
        <v>0.123806957338293</v>
      </c>
      <c r="FE5" s="93"/>
      <c r="FG5" s="4">
        <f>1.8594*FI84/10000</f>
        <v>202.2460696602</v>
      </c>
      <c r="FH5" s="4" t="e">
        <f>#REF!</f>
        <v>#REF!</v>
      </c>
      <c r="FI5" s="94">
        <f>FG5-FG4</f>
        <v>29.0649660102</v>
      </c>
      <c r="FJ5" s="4" t="e">
        <f>FG5-#REF!</f>
        <v>#REF!</v>
      </c>
      <c r="FK5" s="93" t="e">
        <f>FJ5/#REF!</f>
        <v>#REF!</v>
      </c>
      <c r="FL5" s="93">
        <f>FI5/FG4</f>
        <v>0.167829892509176</v>
      </c>
      <c r="FM5" s="93"/>
      <c r="FN5" s="93"/>
      <c r="FO5" s="4">
        <f>2677854.57/10000</f>
        <v>267.785457</v>
      </c>
      <c r="FP5" s="4" t="e">
        <f>#REF!</f>
        <v>#REF!</v>
      </c>
      <c r="FQ5" s="4">
        <f>FO5-FO4</f>
        <v>21.366385</v>
      </c>
      <c r="FR5" s="4" t="e">
        <f>FO5-#REF!</f>
        <v>#REF!</v>
      </c>
      <c r="FS5" s="93" t="e">
        <f>FR5/#REF!</f>
        <v>#REF!</v>
      </c>
      <c r="FT5" s="93">
        <f>FQ5/FO4</f>
        <v>0.086707513450907</v>
      </c>
      <c r="FU5" s="93"/>
      <c r="FV5" s="93"/>
      <c r="FW5" s="4">
        <f>2789513.64/10000</f>
        <v>278.951364</v>
      </c>
      <c r="FX5" s="4" t="e">
        <f>#REF!</f>
        <v>#REF!</v>
      </c>
      <c r="FY5" s="4">
        <f>FW5-FW4</f>
        <v>11.197283</v>
      </c>
      <c r="FZ5" s="4" t="e">
        <f>FW5-#REF!</f>
        <v>#REF!</v>
      </c>
      <c r="GA5" s="93" t="e">
        <f>FZ5/#REF!</f>
        <v>#REF!</v>
      </c>
      <c r="GB5" s="93">
        <f>FY5/FW4</f>
        <v>0.0418192804314345</v>
      </c>
      <c r="GC5" s="93"/>
      <c r="GD5" s="93"/>
      <c r="GE5" s="106">
        <f>1756501.84/10000</f>
        <v>175.650184</v>
      </c>
      <c r="GF5" s="4" t="e">
        <f>#REF!</f>
        <v>#REF!</v>
      </c>
      <c r="GG5" s="106">
        <f>GE5-GE4</f>
        <v>-4.15705700000001</v>
      </c>
      <c r="GH5" s="4" t="e">
        <f>GE5-#REF!</f>
        <v>#REF!</v>
      </c>
      <c r="GI5" s="93" t="e">
        <f>GH5/#REF!</f>
        <v>#REF!</v>
      </c>
      <c r="GJ5" s="93">
        <f>GG5/GE4</f>
        <v>-0.0231195194191318</v>
      </c>
      <c r="GK5" s="93"/>
      <c r="GL5" s="93"/>
      <c r="GM5" s="4">
        <f>0.8218*GO84/10000</f>
        <v>147.3173571016</v>
      </c>
      <c r="GN5" s="4" t="e">
        <f>#REF!</f>
        <v>#REF!</v>
      </c>
      <c r="GO5" s="4">
        <f>GM5-GM4</f>
        <v>-6.89791765519999</v>
      </c>
      <c r="GP5" s="4" t="e">
        <f>GM5-#REF!</f>
        <v>#REF!</v>
      </c>
      <c r="GQ5" s="93" t="e">
        <f>GP5/#REF!</f>
        <v>#REF!</v>
      </c>
      <c r="GR5" s="93">
        <f>GO5/GM4</f>
        <v>-0.0447291467468324</v>
      </c>
      <c r="GS5" s="93"/>
      <c r="GT5" s="93"/>
      <c r="GU5" s="4">
        <f>1164569.72/10000</f>
        <v>116.456972</v>
      </c>
      <c r="GV5" s="4" t="e">
        <f>#REF!</f>
        <v>#REF!</v>
      </c>
      <c r="GW5" s="4">
        <f>GU5-GU4</f>
        <v>10.794456</v>
      </c>
      <c r="GX5" s="4" t="e">
        <f>GU5-#REF!</f>
        <v>#REF!</v>
      </c>
      <c r="GY5" s="93" t="e">
        <f>GX5/#REF!</f>
        <v>#REF!</v>
      </c>
      <c r="GZ5" s="93">
        <f>GW5/GU4</f>
        <v>0.102159747928016</v>
      </c>
      <c r="HA5" s="93"/>
      <c r="HB5" s="93"/>
      <c r="HC5" s="4">
        <f>1.096*HE84/10000</f>
        <v>123.646847832</v>
      </c>
      <c r="HD5" s="4" t="e">
        <f>#REF!</f>
        <v>#REF!</v>
      </c>
      <c r="HE5" s="4">
        <f>HC5-HC4</f>
        <v>-8.59262743369997</v>
      </c>
      <c r="HF5" s="4" t="e">
        <f>HC5-#REF!</f>
        <v>#REF!</v>
      </c>
      <c r="HG5" s="93" t="e">
        <f>HF5/#REF!</f>
        <v>#REF!</v>
      </c>
      <c r="HH5" s="93">
        <f>HE5/HC4</f>
        <v>-0.0649777792632297</v>
      </c>
      <c r="HI5" s="93"/>
      <c r="HJ5" s="93"/>
      <c r="HK5" s="4">
        <f>197812.73/10000</f>
        <v>19.781273</v>
      </c>
      <c r="HL5" s="4" t="e">
        <f>#REF!</f>
        <v>#REF!</v>
      </c>
      <c r="HM5" s="4">
        <f>HK5-HK4</f>
        <v>1.54959</v>
      </c>
      <c r="HN5" s="4" t="e">
        <f>HK5-#REF!</f>
        <v>#REF!</v>
      </c>
      <c r="HO5" s="93" t="e">
        <f>HN5/#REF!</f>
        <v>#REF!</v>
      </c>
      <c r="HP5" s="93">
        <f>HM5/HK4</f>
        <v>0.0849943474774105</v>
      </c>
      <c r="HQ5" s="93"/>
      <c r="HR5" s="93"/>
      <c r="HS5" s="4">
        <f>0.741*HU84/10000</f>
        <v>26.569949562</v>
      </c>
      <c r="HT5" s="4" t="e">
        <f>#REF!</f>
        <v>#REF!</v>
      </c>
      <c r="HU5" s="4">
        <f>HS5-HS4</f>
        <v>9.5198322412</v>
      </c>
      <c r="HV5" s="4" t="e">
        <f>HS5-#REF!</f>
        <v>#REF!</v>
      </c>
      <c r="HW5" s="93" t="e">
        <f>HV5/#REF!</f>
        <v>#REF!</v>
      </c>
      <c r="HX5" s="93">
        <f>HU5/HS4</f>
        <v>0.558344090077694</v>
      </c>
      <c r="HY5" s="93"/>
      <c r="HZ5" s="93"/>
      <c r="IA5" s="4">
        <f>767305.92/10000</f>
        <v>76.730592</v>
      </c>
      <c r="IB5" s="4" t="e">
        <f>#REF!</f>
        <v>#REF!</v>
      </c>
      <c r="IC5" s="4">
        <f>IA5-IA4</f>
        <v>12.496643</v>
      </c>
      <c r="ID5" s="97" t="e">
        <f>IA5-#REF!</f>
        <v>#REF!</v>
      </c>
      <c r="IE5" s="96" t="e">
        <f>ID5/#REF!</f>
        <v>#REF!</v>
      </c>
      <c r="IF5" s="93">
        <f>IC5/IA4</f>
        <v>0.194548882554302</v>
      </c>
      <c r="IG5" s="93"/>
      <c r="IH5" s="93"/>
      <c r="II5" s="4">
        <f>1.0612*IK84/10000</f>
        <v>42.4221374948</v>
      </c>
      <c r="IJ5" s="4" t="e">
        <f>#REF!</f>
        <v>#REF!</v>
      </c>
      <c r="IK5" s="4">
        <f>II5-II4</f>
        <v>1.2240811715</v>
      </c>
      <c r="IL5" s="4" t="e">
        <f>II5-#REF!</f>
        <v>#REF!</v>
      </c>
      <c r="IM5" s="93" t="e">
        <f>IL5/#REF!</f>
        <v>#REF!</v>
      </c>
      <c r="IN5" s="93">
        <f>IK5/II4</f>
        <v>0.0297121097629964</v>
      </c>
      <c r="IO5" s="93"/>
      <c r="IP5" s="93"/>
      <c r="IQ5" s="4">
        <f>301173.45/10000</f>
        <v>30.117345</v>
      </c>
      <c r="IR5" s="4" t="e">
        <f>#REF!</f>
        <v>#REF!</v>
      </c>
      <c r="IS5" s="4">
        <f>IQ5-IQ4</f>
        <v>0.403435000000002</v>
      </c>
      <c r="IT5" s="4" t="e">
        <f>IQ5-#REF!</f>
        <v>#REF!</v>
      </c>
      <c r="IU5" s="93" t="e">
        <f>IT5/#REF!</f>
        <v>#REF!</v>
      </c>
      <c r="IV5" s="93">
        <f>IS5/IQ4</f>
        <v>0.0135773110977317</v>
      </c>
      <c r="IW5" s="93"/>
      <c r="IX5" s="93"/>
      <c r="IY5" s="107">
        <f>5746136.67/10000</f>
        <v>574.613667</v>
      </c>
      <c r="IZ5" s="4" t="e">
        <f>#REF!</f>
        <v>#REF!</v>
      </c>
      <c r="JA5" s="4">
        <f>IY5-IY4</f>
        <v>19.889727</v>
      </c>
      <c r="JB5" s="4" t="e">
        <f>IY5-#REF!</f>
        <v>#REF!</v>
      </c>
      <c r="JC5" s="93" t="e">
        <f>JB5/#REF!</f>
        <v>#REF!</v>
      </c>
      <c r="JD5" s="93">
        <f>JA5/IY4</f>
        <v>0.0358551805065417</v>
      </c>
      <c r="JE5" s="93"/>
      <c r="JF5" s="93"/>
      <c r="JG5" s="4">
        <f>1148668.72/10000</f>
        <v>114.866872</v>
      </c>
      <c r="JH5" s="4" t="e">
        <f>#REF!</f>
        <v>#REF!</v>
      </c>
      <c r="JI5" s="4">
        <f>JG5-JG4</f>
        <v>-4.017197</v>
      </c>
      <c r="JJ5" s="4" t="e">
        <f>JG5-#REF!</f>
        <v>#REF!</v>
      </c>
      <c r="JK5" s="93" t="e">
        <f>JJ5/#REF!</f>
        <v>#REF!</v>
      </c>
      <c r="JL5" s="93">
        <f>JI5/JG4</f>
        <v>-0.0337908773967015</v>
      </c>
      <c r="JM5" s="93"/>
      <c r="JN5" s="93"/>
      <c r="JO5" s="4">
        <f>0.8375*JQ84/10000</f>
        <v>103.0535718375</v>
      </c>
      <c r="JP5" s="4" t="e">
        <f>#REF!</f>
        <v>#REF!</v>
      </c>
      <c r="JQ5" s="4">
        <f>JO5-JO4</f>
        <v>-3.92650075260001</v>
      </c>
      <c r="JR5" s="4" t="e">
        <f>JO5-#REF!</f>
        <v>#REF!</v>
      </c>
      <c r="JS5" s="93" t="e">
        <f>JR5/#REF!</f>
        <v>#REF!</v>
      </c>
      <c r="JT5" s="93">
        <f>JQ5/JO4</f>
        <v>-0.0367031042093663</v>
      </c>
      <c r="JU5" s="93"/>
      <c r="JV5" s="93"/>
      <c r="JW5" s="4">
        <f>2583988.88/10000</f>
        <v>258.398888</v>
      </c>
      <c r="JX5" s="4" t="e">
        <f>#REF!</f>
        <v>#REF!</v>
      </c>
      <c r="JY5" s="4">
        <f>JW5-JW4</f>
        <v>-17.504281</v>
      </c>
      <c r="JZ5" s="4" t="e">
        <f>JW5-#REF!</f>
        <v>#REF!</v>
      </c>
      <c r="KA5" s="93" t="e">
        <f>JZ5/#REF!</f>
        <v>#REF!</v>
      </c>
      <c r="KB5" s="93">
        <f>JY5/JW4</f>
        <v>-0.0634435663187326</v>
      </c>
      <c r="KC5" s="93"/>
      <c r="KD5" s="93"/>
      <c r="KE5" s="94">
        <f>1.5815*KG84/10000</f>
        <v>126.544658748</v>
      </c>
      <c r="KF5" s="4" t="e">
        <f>#REF!</f>
        <v>#REF!</v>
      </c>
      <c r="KG5" s="94">
        <f>KE5-KE4</f>
        <v>-8.3870691632</v>
      </c>
      <c r="KH5" s="94" t="e">
        <f>KE5-#REF!</f>
        <v>#REF!</v>
      </c>
      <c r="KI5" s="93" t="e">
        <f>KH5/#REF!</f>
        <v>#REF!</v>
      </c>
      <c r="KJ5" s="93">
        <f>KG5/KE4</f>
        <v>-0.062157872674095</v>
      </c>
      <c r="KK5" s="93"/>
      <c r="KL5" s="93"/>
      <c r="KM5" s="4">
        <f>5199183.89/10000</f>
        <v>519.918389</v>
      </c>
      <c r="KN5" s="4" t="e">
        <f>#REF!</f>
        <v>#REF!</v>
      </c>
      <c r="KO5" s="4">
        <f>KM5-KM4</f>
        <v>-4.86300199999994</v>
      </c>
      <c r="KP5" s="94" t="e">
        <f>KM5-#REF!</f>
        <v>#REF!</v>
      </c>
      <c r="KQ5" s="93" t="e">
        <f>KP5/#REF!</f>
        <v>#REF!</v>
      </c>
      <c r="KR5" s="93">
        <f>KO5/KM4</f>
        <v>-0.00926671959677003</v>
      </c>
      <c r="KS5" s="93"/>
      <c r="KT5" s="93"/>
      <c r="KU5" s="4">
        <f>0.7455*KW84/10000</f>
        <v>75.5245899135</v>
      </c>
      <c r="KV5" s="4" t="e">
        <f>#REF!</f>
        <v>#REF!</v>
      </c>
      <c r="KW5" s="4">
        <f>KU5-KU4</f>
        <v>-4.773444989</v>
      </c>
      <c r="KX5" s="4" t="e">
        <f>KU5-#REF!</f>
        <v>#REF!</v>
      </c>
      <c r="KY5" s="93" t="e">
        <f>KX5/#REF!</f>
        <v>#REF!</v>
      </c>
      <c r="KZ5" s="93">
        <f>KW5/KU4</f>
        <v>-0.0594465978500724</v>
      </c>
      <c r="LA5" s="93"/>
      <c r="LB5" s="93"/>
      <c r="LC5" s="4">
        <f>1058238.66/10000</f>
        <v>105.823866</v>
      </c>
      <c r="LD5" s="4" t="e">
        <f>#REF!</f>
        <v>#REF!</v>
      </c>
      <c r="LE5" s="4">
        <f>LC5-LC4</f>
        <v>12.296311</v>
      </c>
      <c r="LF5" s="4" t="e">
        <f>LC5-#REF!</f>
        <v>#REF!</v>
      </c>
      <c r="LG5" s="93" t="e">
        <f>LF5/#REF!</f>
        <v>#REF!</v>
      </c>
      <c r="LH5" s="93">
        <f>LE5/LC4</f>
        <v>0.131472601844451</v>
      </c>
      <c r="LI5" s="93"/>
      <c r="LJ5" s="93"/>
      <c r="LK5" s="4">
        <f>1806554.9/10000</f>
        <v>180.65549</v>
      </c>
      <c r="LL5" s="4" t="e">
        <f>#REF!</f>
        <v>#REF!</v>
      </c>
      <c r="LM5" s="94">
        <f>LK5-LK4</f>
        <v>-9.952606</v>
      </c>
      <c r="LN5" s="4" t="e">
        <f>LK5-#REF!</f>
        <v>#REF!</v>
      </c>
      <c r="LO5" s="93" t="e">
        <f>LN5/#REF!</f>
        <v>#REF!</v>
      </c>
      <c r="LP5" s="93">
        <f>LM5/LK4</f>
        <v>-0.0522150223881361</v>
      </c>
      <c r="LQ5" s="93"/>
      <c r="LR5" s="93"/>
      <c r="LS5" s="4">
        <f>0.7701*LU84/10000</f>
        <v>216.942013929</v>
      </c>
      <c r="LT5" s="4" t="e">
        <f>#REF!</f>
        <v>#REF!</v>
      </c>
      <c r="LU5" s="4">
        <f>LS5-LS4</f>
        <v>-10.851207804</v>
      </c>
      <c r="LV5" s="4" t="e">
        <f>LS5-#REF!</f>
        <v>#REF!</v>
      </c>
      <c r="LW5" s="93" t="e">
        <f>LV5/#REF!</f>
        <v>#REF!</v>
      </c>
      <c r="LX5" s="93">
        <f>LU5/LS4</f>
        <v>-0.0476362190299011</v>
      </c>
      <c r="LY5" s="93"/>
      <c r="LZ5" s="93"/>
      <c r="MA5" s="4">
        <f>937881.77/10000</f>
        <v>93.788177</v>
      </c>
      <c r="MB5" s="4" t="e">
        <f>#REF!</f>
        <v>#REF!</v>
      </c>
      <c r="MC5" s="4">
        <f>MA5-MA4</f>
        <v>1.65727800000001</v>
      </c>
      <c r="MD5" s="4" t="e">
        <f>MA5-#REF!</f>
        <v>#REF!</v>
      </c>
      <c r="ME5" s="93" t="e">
        <f>MD5/#REF!</f>
        <v>#REF!</v>
      </c>
      <c r="MF5" s="93">
        <f>MC5/MA4</f>
        <v>0.0179882972812412</v>
      </c>
      <c r="MG5" s="93"/>
      <c r="MH5" s="93"/>
      <c r="MJ5" s="4">
        <f>1.0985*ML84/10000</f>
        <v>27.9969784705</v>
      </c>
      <c r="MK5" s="4" t="e">
        <f>#REF!</f>
        <v>#REF!</v>
      </c>
      <c r="ML5" s="4">
        <f>MJ5-MJ4</f>
        <v>-1.7198235895</v>
      </c>
      <c r="MM5" s="4" t="e">
        <f>MJ5-#REF!</f>
        <v>#REF!</v>
      </c>
      <c r="MN5" s="93" t="e">
        <f>MM5/#REF!</f>
        <v>#REF!</v>
      </c>
      <c r="MO5" s="93">
        <f>ML5/MJ4</f>
        <v>-0.0578737774686379</v>
      </c>
      <c r="MP5" s="93"/>
      <c r="MQ5" s="93"/>
      <c r="MR5" s="93"/>
      <c r="MS5" s="98">
        <f>MU84*MS84/10000</f>
        <v>32.3507179</v>
      </c>
      <c r="MT5" s="4" t="e">
        <f>#REF!</f>
        <v>#REF!</v>
      </c>
      <c r="MU5" s="4">
        <f>MS5-MS4</f>
        <v>8.15933485</v>
      </c>
      <c r="MW5" s="93"/>
      <c r="MX5" s="93">
        <f>MU5/MS4</f>
        <v>0.337282694136828</v>
      </c>
      <c r="MY5" s="93"/>
      <c r="MZ5" s="93"/>
      <c r="NA5" s="93"/>
      <c r="NB5" s="4">
        <f>ND84*NB84/10000</f>
        <v>7.2599562</v>
      </c>
      <c r="NC5" s="4" t="e">
        <f>#REF!</f>
        <v>#REF!</v>
      </c>
      <c r="ND5" s="4">
        <f>NB5-NB4</f>
        <v>0.494882500000001</v>
      </c>
      <c r="NF5" s="93"/>
      <c r="NG5" s="93">
        <f>ND5/NB4</f>
        <v>0.073152565950612</v>
      </c>
      <c r="NH5" s="93"/>
      <c r="NI5" s="93"/>
      <c r="NJ5" s="93"/>
      <c r="NK5" s="93"/>
      <c r="NL5" s="4">
        <f>2976892.98/10000</f>
        <v>297.689298</v>
      </c>
      <c r="NM5" s="4" t="e">
        <f>#REF!</f>
        <v>#REF!</v>
      </c>
      <c r="NN5" s="4">
        <f>NL5-NL4</f>
        <v>10.336644</v>
      </c>
      <c r="NO5" s="4" t="e">
        <f>NL5-#REF!</f>
        <v>#REF!</v>
      </c>
      <c r="NP5" s="93" t="e">
        <f>NO5/#REF!</f>
        <v>#REF!</v>
      </c>
      <c r="NQ5" s="93">
        <f>NN5/NL4</f>
        <v>0.035971980269234</v>
      </c>
      <c r="NR5" s="93"/>
      <c r="NS5" s="4"/>
      <c r="NT5" s="4">
        <f>254959.2/10000</f>
        <v>25.49592</v>
      </c>
      <c r="NU5" s="4" t="e">
        <f>#REF!</f>
        <v>#REF!</v>
      </c>
      <c r="NV5" s="4">
        <f>NT5-NT4</f>
        <v>0.424387000000003</v>
      </c>
      <c r="NX5" s="93"/>
      <c r="NY5" s="93">
        <f>NV5/NT4</f>
        <v>0.0169270463038699</v>
      </c>
      <c r="NZ5" s="93"/>
      <c r="OB5" s="4">
        <f>1318144.08/10000</f>
        <v>131.814408</v>
      </c>
      <c r="OC5" s="4" t="e">
        <f>#REF!</f>
        <v>#REF!</v>
      </c>
      <c r="OD5" s="4">
        <f>OB5-OB4</f>
        <v>6.60346399999999</v>
      </c>
      <c r="OE5" s="4" t="e">
        <f>OB5-#REF!</f>
        <v>#REF!</v>
      </c>
      <c r="OF5" s="93" t="e">
        <f>OE5/#REF!</f>
        <v>#REF!</v>
      </c>
      <c r="OG5" s="93">
        <f>OD5/OB4</f>
        <v>0.0527387126799395</v>
      </c>
      <c r="OH5" s="93"/>
      <c r="OI5" s="93"/>
      <c r="OJ5" s="4">
        <f>1506293.56/10000</f>
        <v>150.629356</v>
      </c>
      <c r="OK5" s="4" t="e">
        <f>#REF!</f>
        <v>#REF!</v>
      </c>
      <c r="OL5" s="4">
        <f>OJ5-OJ4</f>
        <v>5.13854499999999</v>
      </c>
      <c r="OM5" s="4" t="e">
        <f>OJ5-#REF!</f>
        <v>#REF!</v>
      </c>
      <c r="ON5" s="93" t="e">
        <f>OM5/#REF!</f>
        <v>#REF!</v>
      </c>
      <c r="OO5" s="93">
        <f>OL5/OJ4</f>
        <v>0.0353186910202871</v>
      </c>
      <c r="OP5" s="93"/>
      <c r="OQ5" s="93"/>
      <c r="OT5" s="98" t="e">
        <f t="shared" si="6"/>
        <v>#REF!</v>
      </c>
      <c r="OW5" s="94"/>
      <c r="OX5" s="93"/>
    </row>
    <row r="6" s="5" customFormat="1" ht="22.5" customHeight="1" spans="1:425">
      <c r="A6" s="108">
        <v>46101</v>
      </c>
      <c r="B6" s="109">
        <f>20510678.85/10000</f>
        <v>2051.067885</v>
      </c>
      <c r="C6" s="110"/>
      <c r="D6" s="111"/>
      <c r="E6" s="109" t="e">
        <f>B6-#REF!</f>
        <v>#REF!</v>
      </c>
      <c r="F6" s="103" t="e">
        <f>E6/#REF!</f>
        <v>#REF!</v>
      </c>
      <c r="G6" s="103"/>
      <c r="H6" s="103"/>
      <c r="I6" s="103"/>
      <c r="J6" s="109">
        <f>14050434.55/10000</f>
        <v>1405.043455</v>
      </c>
      <c r="K6" s="112">
        <f t="shared" si="0"/>
        <v>0</v>
      </c>
      <c r="L6" s="111"/>
      <c r="M6" s="109" t="e">
        <f>J6-#REF!</f>
        <v>#REF!</v>
      </c>
      <c r="N6" s="103" t="e">
        <f>M6/#REF!</f>
        <v>#REF!</v>
      </c>
      <c r="O6" s="103"/>
      <c r="P6" s="103"/>
      <c r="Q6" s="103"/>
      <c r="R6" s="109">
        <f>6884980.26/10000</f>
        <v>688.498026</v>
      </c>
      <c r="S6" s="112">
        <f t="shared" si="1"/>
        <v>0</v>
      </c>
      <c r="T6" s="111"/>
      <c r="U6" s="109" t="e">
        <f>R6-#REF!</f>
        <v>#REF!</v>
      </c>
      <c r="V6" s="103" t="e">
        <f>U6/#REF!</f>
        <v>#REF!</v>
      </c>
      <c r="W6" s="103"/>
      <c r="X6" s="103"/>
      <c r="Y6" s="103"/>
      <c r="Z6" s="109">
        <f>7277165.96/10000</f>
        <v>727.716596</v>
      </c>
      <c r="AA6" s="112">
        <f t="shared" si="2"/>
        <v>0</v>
      </c>
      <c r="AB6" s="111"/>
      <c r="AC6" s="109" t="e">
        <f>Z6-#REF!</f>
        <v>#REF!</v>
      </c>
      <c r="AD6" s="103" t="e">
        <f>AC6/#REF!</f>
        <v>#REF!</v>
      </c>
      <c r="AE6" s="103"/>
      <c r="AF6" s="103"/>
      <c r="AG6" s="103"/>
      <c r="AH6" s="109">
        <f>2312570.14/10000</f>
        <v>231.257014</v>
      </c>
      <c r="AI6" s="112">
        <f t="shared" si="3"/>
        <v>0</v>
      </c>
      <c r="AJ6" s="111"/>
      <c r="AK6" s="113" t="e">
        <f>AH6-#REF!</f>
        <v>#REF!</v>
      </c>
      <c r="AL6" s="103" t="e">
        <f>AK6/#REF!</f>
        <v>#REF!</v>
      </c>
      <c r="AM6" s="103"/>
      <c r="AN6" s="103"/>
      <c r="AO6" s="103"/>
      <c r="AP6" s="114">
        <f>3.3438*AR69/10000</f>
        <v>522.1495809462</v>
      </c>
      <c r="AQ6" s="112">
        <f t="shared" si="4"/>
        <v>0</v>
      </c>
      <c r="AR6" s="115"/>
      <c r="AS6" s="109" t="e">
        <f>AP6-#REF!</f>
        <v>#REF!</v>
      </c>
      <c r="AT6" s="103" t="e">
        <f>AS6/#REF!</f>
        <v>#REF!</v>
      </c>
      <c r="AU6" s="103"/>
      <c r="AV6" s="103"/>
      <c r="AW6" s="103"/>
      <c r="AX6" s="109"/>
      <c r="AY6" s="109">
        <f>4.7708*BA69/10000</f>
        <v>949.3947627528</v>
      </c>
      <c r="AZ6" s="112">
        <f t="shared" si="5"/>
        <v>0</v>
      </c>
      <c r="BA6" s="109"/>
      <c r="BB6" s="109" t="e">
        <f>AY6-#REF!</f>
        <v>#REF!</v>
      </c>
      <c r="BC6" s="103" t="e">
        <f>BB6/#REF!</f>
        <v>#REF!</v>
      </c>
      <c r="BD6" s="103"/>
      <c r="BE6" s="18"/>
      <c r="BF6" s="18"/>
      <c r="BG6" s="74"/>
      <c r="BH6" s="116">
        <f>C7</f>
        <v>0</v>
      </c>
      <c r="BI6" s="116"/>
      <c r="BJ6" s="116"/>
      <c r="BK6" s="116"/>
      <c r="BL6" s="117"/>
      <c r="BM6" s="118"/>
      <c r="BN6" s="22"/>
      <c r="BO6" s="119"/>
      <c r="BP6" s="119">
        <f>C7</f>
        <v>0</v>
      </c>
      <c r="BQ6" s="120"/>
      <c r="BR6" s="119"/>
      <c r="BS6" s="119"/>
      <c r="BT6" s="121"/>
      <c r="BU6" s="22"/>
      <c r="BW6" s="22"/>
      <c r="BX6" s="119">
        <f>C7</f>
        <v>0</v>
      </c>
      <c r="BY6" s="119"/>
      <c r="BZ6" s="119"/>
      <c r="CA6" s="119"/>
      <c r="CB6" s="121"/>
      <c r="CC6" s="22"/>
      <c r="CE6" s="122"/>
      <c r="CF6" s="119">
        <f>C7</f>
        <v>0</v>
      </c>
      <c r="CG6" s="119"/>
      <c r="CI6" s="119"/>
      <c r="CJ6" s="121"/>
      <c r="CK6" s="22"/>
      <c r="CM6" s="122"/>
      <c r="CN6" s="119">
        <f>C7</f>
        <v>0</v>
      </c>
      <c r="CO6" s="119"/>
      <c r="CP6" s="119"/>
      <c r="CQ6" s="119"/>
      <c r="CR6" s="121"/>
      <c r="CS6" s="122"/>
      <c r="CU6" s="122"/>
      <c r="CV6" s="119">
        <f>C7</f>
        <v>0</v>
      </c>
      <c r="CW6" s="119"/>
      <c r="CX6" s="119"/>
      <c r="CY6" s="119"/>
      <c r="CZ6" s="121"/>
      <c r="DA6" s="22"/>
      <c r="DB6" s="22"/>
      <c r="DC6" s="123"/>
      <c r="DD6" s="119">
        <f>C7</f>
        <v>0</v>
      </c>
      <c r="DE6" s="119"/>
      <c r="DF6" s="119"/>
      <c r="DG6" s="119"/>
      <c r="DH6" s="121"/>
      <c r="DI6" s="22"/>
      <c r="DK6" s="22"/>
      <c r="DL6" s="119">
        <f>C7</f>
        <v>0</v>
      </c>
      <c r="DM6" s="119"/>
      <c r="DN6" s="119"/>
      <c r="DO6" s="119"/>
      <c r="DP6" s="121"/>
      <c r="DQ6" s="22"/>
      <c r="DS6" s="22"/>
      <c r="DT6" s="119">
        <f>C7</f>
        <v>0</v>
      </c>
      <c r="DU6" s="119"/>
      <c r="DV6" s="119"/>
      <c r="DW6" s="119"/>
      <c r="DX6" s="121"/>
      <c r="DY6" s="22"/>
      <c r="EA6" s="22"/>
      <c r="EB6" s="119">
        <f>C7</f>
        <v>0</v>
      </c>
      <c r="EC6" s="119"/>
      <c r="ED6" s="119"/>
      <c r="EE6" s="119"/>
      <c r="EF6" s="121"/>
      <c r="EG6" s="22"/>
      <c r="EI6" s="22"/>
      <c r="EJ6" s="119">
        <f>C7</f>
        <v>0</v>
      </c>
      <c r="EK6" s="119"/>
      <c r="EL6" s="119"/>
      <c r="EM6" s="119"/>
      <c r="EN6" s="121"/>
      <c r="EO6" s="22"/>
      <c r="EQ6" s="22"/>
      <c r="ER6" s="124">
        <f>C7</f>
        <v>0</v>
      </c>
      <c r="ES6" s="119"/>
      <c r="ET6" s="119"/>
      <c r="EU6" s="119"/>
      <c r="EV6" s="121"/>
      <c r="EW6" s="22"/>
      <c r="EY6" s="22"/>
      <c r="EZ6" s="119">
        <f>C7</f>
        <v>0</v>
      </c>
      <c r="FA6" s="119"/>
      <c r="FB6" s="119"/>
      <c r="FC6" s="119"/>
      <c r="FD6" s="121"/>
      <c r="FE6" s="22"/>
      <c r="FF6" s="22"/>
      <c r="FG6" s="22"/>
      <c r="FH6" s="119">
        <f>C7</f>
        <v>0</v>
      </c>
      <c r="FI6" s="120"/>
      <c r="FJ6" s="125"/>
      <c r="FK6" s="119"/>
      <c r="FL6" s="121"/>
      <c r="FM6" s="122"/>
      <c r="FN6" s="122"/>
      <c r="FO6" s="119"/>
      <c r="FP6" s="119">
        <f>C7</f>
        <v>0</v>
      </c>
      <c r="FQ6" s="119"/>
      <c r="FR6" s="119"/>
      <c r="FS6" s="119"/>
      <c r="FT6" s="121"/>
      <c r="FU6" s="22"/>
      <c r="FV6" s="22"/>
      <c r="FW6" s="119"/>
      <c r="FX6" s="119">
        <f>C7</f>
        <v>0</v>
      </c>
      <c r="FY6" s="119"/>
      <c r="FZ6" s="119"/>
      <c r="GA6" s="119"/>
      <c r="GB6" s="121"/>
      <c r="GC6" s="22"/>
      <c r="GD6" s="22"/>
      <c r="GE6" s="119"/>
      <c r="GF6" s="119">
        <f>C7</f>
        <v>0</v>
      </c>
      <c r="GG6" s="119"/>
      <c r="GH6" s="119"/>
      <c r="GI6" s="121"/>
      <c r="GJ6" s="121"/>
      <c r="GK6" s="22"/>
      <c r="GL6" s="22"/>
      <c r="GM6" s="119"/>
      <c r="GN6" s="119">
        <f>C7</f>
        <v>0</v>
      </c>
      <c r="GO6" s="119"/>
      <c r="GP6" s="119"/>
      <c r="GQ6" s="119"/>
      <c r="GR6" s="121"/>
      <c r="GS6" s="22"/>
      <c r="GT6" s="22"/>
      <c r="GU6" s="119"/>
      <c r="GV6" s="119">
        <f>C7</f>
        <v>0</v>
      </c>
      <c r="GW6" s="119"/>
      <c r="GX6" s="112"/>
      <c r="GY6" s="126"/>
      <c r="GZ6" s="121"/>
      <c r="HA6" s="22"/>
      <c r="HB6" s="22"/>
      <c r="HC6" s="119"/>
      <c r="HD6" s="119">
        <f>C7</f>
        <v>0</v>
      </c>
      <c r="HE6" s="119"/>
      <c r="HF6" s="119"/>
      <c r="HG6" s="119"/>
      <c r="HH6" s="121"/>
      <c r="HI6" s="122"/>
      <c r="HJ6" s="22"/>
      <c r="HK6" s="119"/>
      <c r="HL6" s="119">
        <f>C7</f>
        <v>0</v>
      </c>
      <c r="HM6" s="119"/>
      <c r="HN6" s="119"/>
      <c r="HO6" s="119"/>
      <c r="HP6" s="121"/>
      <c r="HQ6" s="22"/>
      <c r="HR6" s="22"/>
      <c r="HS6" s="119"/>
      <c r="HT6" s="119">
        <f>C7</f>
        <v>0</v>
      </c>
      <c r="HU6" s="119"/>
      <c r="HV6" s="119"/>
      <c r="HW6" s="119"/>
      <c r="HX6" s="121"/>
      <c r="HY6" s="22"/>
      <c r="HZ6" s="22"/>
      <c r="IA6" s="119"/>
      <c r="IB6" s="119">
        <f>C7</f>
        <v>0</v>
      </c>
      <c r="IC6" s="119"/>
      <c r="ID6" s="119"/>
      <c r="IE6" s="119"/>
      <c r="IF6" s="121"/>
      <c r="IG6" s="122"/>
      <c r="IH6" s="22"/>
      <c r="II6" s="119"/>
      <c r="IJ6" s="119">
        <f>C7</f>
        <v>0</v>
      </c>
      <c r="IK6" s="119"/>
      <c r="IL6" s="119"/>
      <c r="IM6" s="119"/>
      <c r="IN6" s="121"/>
      <c r="IO6" s="22"/>
      <c r="IP6" s="22"/>
      <c r="IQ6" s="119"/>
      <c r="IR6" s="119">
        <f>C7</f>
        <v>0</v>
      </c>
      <c r="IS6" s="119"/>
      <c r="IT6" s="119"/>
      <c r="IU6" s="119"/>
      <c r="IV6" s="121"/>
      <c r="IW6" s="22"/>
      <c r="IX6" s="22"/>
      <c r="IY6" s="119"/>
      <c r="IZ6" s="119">
        <f>C7</f>
        <v>0</v>
      </c>
      <c r="JA6" s="119"/>
      <c r="JB6" s="119"/>
      <c r="JC6" s="119"/>
      <c r="JD6" s="121"/>
      <c r="JE6" s="22"/>
      <c r="JF6" s="22"/>
      <c r="JG6" s="119"/>
      <c r="JH6" s="119">
        <f>C7</f>
        <v>0</v>
      </c>
      <c r="JI6" s="119"/>
      <c r="JJ6" s="119"/>
      <c r="JK6" s="119"/>
      <c r="JL6" s="121"/>
      <c r="JM6" s="22"/>
      <c r="JN6" s="22"/>
      <c r="JO6" s="119"/>
      <c r="JP6" s="5">
        <f>C7</f>
        <v>0</v>
      </c>
      <c r="JQ6" s="119"/>
      <c r="JR6" s="119"/>
      <c r="JS6" s="119"/>
      <c r="JT6" s="121"/>
      <c r="JU6" s="22"/>
      <c r="JV6" s="22"/>
      <c r="JW6" s="122"/>
      <c r="JX6" s="119">
        <f>C7</f>
        <v>0</v>
      </c>
      <c r="JY6" s="119"/>
      <c r="JZ6" s="119"/>
      <c r="KA6" s="119"/>
      <c r="KB6" s="121"/>
      <c r="KC6" s="22"/>
      <c r="KD6" s="22"/>
      <c r="KE6" s="122"/>
      <c r="KF6" s="119">
        <f>C7</f>
        <v>0</v>
      </c>
      <c r="KG6" s="119"/>
      <c r="KH6" s="119"/>
      <c r="KI6" s="119"/>
      <c r="KJ6" s="119"/>
      <c r="KK6" s="122"/>
      <c r="KL6" s="122"/>
      <c r="KM6" s="119"/>
      <c r="KN6" s="119">
        <f>C7</f>
        <v>0</v>
      </c>
      <c r="KO6" s="119"/>
      <c r="KP6" s="119"/>
      <c r="KQ6" s="119"/>
      <c r="KR6" s="121"/>
      <c r="KS6" s="22"/>
      <c r="KT6" s="22"/>
      <c r="KU6" s="119"/>
      <c r="KV6" s="119">
        <f>C7</f>
        <v>0</v>
      </c>
      <c r="KW6" s="119"/>
      <c r="KX6" s="119"/>
      <c r="KY6" s="119"/>
      <c r="KZ6" s="121"/>
      <c r="LA6" s="122"/>
      <c r="LB6" s="22"/>
      <c r="LC6" s="119"/>
      <c r="LD6" s="119">
        <f>C7</f>
        <v>0</v>
      </c>
      <c r="LE6" s="119"/>
      <c r="LF6" s="119"/>
      <c r="LG6" s="119"/>
      <c r="LH6" s="121"/>
      <c r="LI6" s="22"/>
      <c r="LJ6" s="22"/>
      <c r="LK6" s="119"/>
      <c r="LL6" s="119">
        <f>C7</f>
        <v>0</v>
      </c>
      <c r="LM6" s="120"/>
      <c r="LN6" s="119"/>
      <c r="LO6" s="119"/>
      <c r="LP6" s="121"/>
      <c r="LQ6" s="22"/>
      <c r="LR6" s="22"/>
      <c r="LS6" s="119"/>
      <c r="LT6" s="119">
        <f>C7</f>
        <v>0</v>
      </c>
      <c r="LU6" s="119"/>
      <c r="LV6" s="119"/>
      <c r="LW6" s="119"/>
      <c r="LX6" s="121"/>
      <c r="LY6" s="22"/>
      <c r="LZ6" s="22"/>
      <c r="MA6" s="119"/>
      <c r="MB6" s="5">
        <f>C7</f>
        <v>0</v>
      </c>
      <c r="MC6" s="119"/>
      <c r="MD6" s="119"/>
      <c r="ME6" s="119"/>
      <c r="MF6" s="121"/>
      <c r="MG6" s="22"/>
      <c r="MH6" s="22"/>
      <c r="MI6" s="119"/>
      <c r="MJ6" s="119"/>
      <c r="MK6" s="119">
        <f>C7</f>
        <v>0</v>
      </c>
      <c r="ML6" s="119"/>
      <c r="MM6" s="124"/>
      <c r="MN6" s="119"/>
      <c r="MO6" s="121"/>
      <c r="MP6" s="127"/>
      <c r="MQ6" s="128"/>
      <c r="MR6" s="128"/>
      <c r="MS6" s="121"/>
      <c r="MT6" s="26">
        <f>C7</f>
        <v>0</v>
      </c>
      <c r="MW6" s="22"/>
      <c r="MX6" s="22"/>
      <c r="MY6" s="22"/>
      <c r="MZ6" s="22"/>
      <c r="NA6" s="22"/>
      <c r="NB6" s="22"/>
      <c r="NC6" s="5">
        <f>C7</f>
        <v>0</v>
      </c>
      <c r="NF6" s="22"/>
      <c r="NG6" s="22"/>
      <c r="NH6" s="22"/>
      <c r="NI6" s="22"/>
      <c r="NJ6" s="22"/>
      <c r="NK6" s="22"/>
      <c r="NL6" s="5"/>
      <c r="NM6" s="5">
        <f>C7</f>
        <v>0</v>
      </c>
      <c r="NP6" s="22"/>
      <c r="NQ6" s="22"/>
      <c r="NR6" s="22"/>
      <c r="NS6" s="5"/>
      <c r="NU6" s="5">
        <f>C7</f>
        <v>0</v>
      </c>
      <c r="NV6" s="119"/>
      <c r="NW6" s="119"/>
      <c r="NX6" s="121"/>
      <c r="NY6" s="121"/>
      <c r="NZ6" s="121"/>
      <c r="OA6" s="119"/>
      <c r="OB6" s="119"/>
      <c r="OC6" s="119">
        <f>C7</f>
        <v>0</v>
      </c>
      <c r="OD6" s="119"/>
      <c r="OE6" s="119"/>
      <c r="OF6" s="119"/>
      <c r="OG6" s="121"/>
      <c r="OH6" s="22"/>
      <c r="OI6" s="22"/>
      <c r="OJ6" s="119"/>
      <c r="OK6" s="119">
        <f>C7</f>
        <v>0</v>
      </c>
      <c r="OL6" s="119"/>
      <c r="OM6" s="119"/>
      <c r="ON6" s="119"/>
      <c r="OO6" s="121"/>
      <c r="OP6" s="22"/>
      <c r="OQ6" s="22"/>
      <c r="OT6" s="26">
        <f t="shared" si="6"/>
        <v>0</v>
      </c>
      <c r="OW6" s="23"/>
      <c r="OX6" s="22"/>
    </row>
    <row r="7" s="5" customFormat="1" ht="22.5" customHeight="1" spans="1:425">
      <c r="A7" s="15"/>
      <c r="B7" s="15"/>
      <c r="C7" s="16"/>
      <c r="D7" s="129"/>
      <c r="E7" s="17">
        <f>C7-B6</f>
        <v>-2051.067885</v>
      </c>
      <c r="F7" s="18">
        <f>E7/B6</f>
        <v>-1</v>
      </c>
      <c r="G7" s="18"/>
      <c r="H7" s="18"/>
      <c r="I7" s="18"/>
      <c r="J7" s="18"/>
      <c r="K7" s="17">
        <f t="shared" si="0"/>
        <v>0</v>
      </c>
      <c r="L7" s="129"/>
      <c r="M7" s="85">
        <f>K7-J6</f>
        <v>-1405.043455</v>
      </c>
      <c r="N7" s="87">
        <f>M7/J6</f>
        <v>-1</v>
      </c>
      <c r="O7" s="18"/>
      <c r="P7" s="18"/>
      <c r="Q7" s="18"/>
      <c r="R7" s="17"/>
      <c r="S7" s="17">
        <f t="shared" si="1"/>
        <v>0</v>
      </c>
      <c r="T7" s="129"/>
      <c r="U7" s="17">
        <f>S7-R6</f>
        <v>-688.498026</v>
      </c>
      <c r="V7" s="18">
        <f>U7/R6</f>
        <v>-1</v>
      </c>
      <c r="W7" s="18"/>
      <c r="X7" s="18"/>
      <c r="Y7" s="18"/>
      <c r="Z7" s="17"/>
      <c r="AA7" s="17">
        <f t="shared" si="2"/>
        <v>0</v>
      </c>
      <c r="AB7" s="129"/>
      <c r="AC7" s="17">
        <f>AA7-Z6</f>
        <v>-727.716596</v>
      </c>
      <c r="AD7" s="18">
        <f>AC7/Z6</f>
        <v>-1</v>
      </c>
      <c r="AE7" s="18"/>
      <c r="AF7" s="18"/>
      <c r="AG7" s="18"/>
      <c r="AH7" s="17"/>
      <c r="AI7" s="17">
        <f t="shared" si="3"/>
        <v>0</v>
      </c>
      <c r="AJ7" s="129"/>
      <c r="AK7" s="19">
        <f>AI7-AH6</f>
        <v>-231.257014</v>
      </c>
      <c r="AL7" s="18">
        <f>AK7/AH6</f>
        <v>-1</v>
      </c>
      <c r="AM7" s="18"/>
      <c r="AN7" s="18"/>
      <c r="AO7" s="18"/>
      <c r="AP7" s="17"/>
      <c r="AQ7" s="17">
        <f t="shared" si="4"/>
        <v>0</v>
      </c>
      <c r="AR7" s="21"/>
      <c r="AS7" s="17">
        <f>AQ7-AP6</f>
        <v>-522.1495809462</v>
      </c>
      <c r="AT7" s="18">
        <f>AS7/AP6</f>
        <v>-1</v>
      </c>
      <c r="AU7" s="18"/>
      <c r="AV7" s="18"/>
      <c r="AW7" s="18"/>
      <c r="AX7" s="17"/>
      <c r="AY7" s="17"/>
      <c r="AZ7" s="17">
        <f t="shared" si="5"/>
        <v>0</v>
      </c>
      <c r="BA7" s="17"/>
      <c r="BB7" s="17">
        <f>AZ7-AY6</f>
        <v>-949.3947627528</v>
      </c>
      <c r="BC7" s="18">
        <f>BB7/AY6</f>
        <v>-1</v>
      </c>
      <c r="BD7" s="18"/>
      <c r="BE7" s="18"/>
      <c r="BF7" s="18"/>
      <c r="BG7" s="74"/>
      <c r="BH7" s="116" t="e">
        <f>#REF!</f>
        <v>#REF!</v>
      </c>
      <c r="BI7" s="116"/>
      <c r="BJ7" s="116"/>
      <c r="BK7" s="116"/>
      <c r="BL7" s="117"/>
      <c r="BM7" s="118"/>
      <c r="BN7" s="22"/>
      <c r="BO7" s="119"/>
      <c r="BP7" s="119" t="e">
        <f>#REF!</f>
        <v>#REF!</v>
      </c>
      <c r="BQ7" s="120"/>
      <c r="BR7" s="119"/>
      <c r="BS7" s="119"/>
      <c r="BT7" s="121"/>
      <c r="BU7" s="22"/>
      <c r="BW7" s="22"/>
      <c r="BX7" s="119" t="e">
        <f>#REF!</f>
        <v>#REF!</v>
      </c>
      <c r="BY7" s="119"/>
      <c r="BZ7" s="119"/>
      <c r="CA7" s="119"/>
      <c r="CB7" s="121"/>
      <c r="CC7" s="22"/>
      <c r="CE7" s="122"/>
      <c r="CF7" s="119" t="e">
        <f>#REF!</f>
        <v>#REF!</v>
      </c>
      <c r="CG7" s="119"/>
      <c r="CI7" s="119"/>
      <c r="CJ7" s="121"/>
      <c r="CK7" s="22"/>
      <c r="CM7" s="122"/>
      <c r="CN7" s="119" t="e">
        <f>#REF!</f>
        <v>#REF!</v>
      </c>
      <c r="CO7" s="119"/>
      <c r="CP7" s="119"/>
      <c r="CQ7" s="119"/>
      <c r="CR7" s="121"/>
      <c r="CS7" s="122"/>
      <c r="CU7" s="122"/>
      <c r="CV7" s="119" t="e">
        <f>#REF!</f>
        <v>#REF!</v>
      </c>
      <c r="CW7" s="119"/>
      <c r="CX7" s="119"/>
      <c r="CY7" s="119"/>
      <c r="CZ7" s="121"/>
      <c r="DA7" s="22"/>
      <c r="DB7" s="22"/>
      <c r="DC7" s="123"/>
      <c r="DD7" s="119" t="e">
        <f>#REF!</f>
        <v>#REF!</v>
      </c>
      <c r="DE7" s="119"/>
      <c r="DF7" s="119"/>
      <c r="DG7" s="119"/>
      <c r="DH7" s="121"/>
      <c r="DI7" s="22"/>
      <c r="DK7" s="22"/>
      <c r="DL7" s="119" t="e">
        <f>#REF!</f>
        <v>#REF!</v>
      </c>
      <c r="DM7" s="119"/>
      <c r="DN7" s="119"/>
      <c r="DO7" s="119"/>
      <c r="DP7" s="121"/>
      <c r="DQ7" s="22"/>
      <c r="DS7" s="22"/>
      <c r="DT7" s="119" t="e">
        <f>#REF!</f>
        <v>#REF!</v>
      </c>
      <c r="DU7" s="119"/>
      <c r="DV7" s="119"/>
      <c r="DW7" s="119"/>
      <c r="DX7" s="121"/>
      <c r="DY7" s="22"/>
      <c r="EA7" s="22"/>
      <c r="EB7" s="119" t="e">
        <f>#REF!</f>
        <v>#REF!</v>
      </c>
      <c r="EC7" s="119"/>
      <c r="ED7" s="119"/>
      <c r="EE7" s="119"/>
      <c r="EF7" s="121"/>
      <c r="EG7" s="22"/>
      <c r="EI7" s="22"/>
      <c r="EJ7" s="119" t="e">
        <f>#REF!</f>
        <v>#REF!</v>
      </c>
      <c r="EK7" s="119"/>
      <c r="EL7" s="119"/>
      <c r="EM7" s="119"/>
      <c r="EN7" s="121"/>
      <c r="EO7" s="22"/>
      <c r="EQ7" s="22"/>
      <c r="ER7" s="124" t="e">
        <f>#REF!</f>
        <v>#REF!</v>
      </c>
      <c r="ES7" s="119"/>
      <c r="ET7" s="119"/>
      <c r="EU7" s="119"/>
      <c r="EV7" s="121"/>
      <c r="EW7" s="22"/>
      <c r="EY7" s="22"/>
      <c r="EZ7" s="119" t="e">
        <f>#REF!</f>
        <v>#REF!</v>
      </c>
      <c r="FA7" s="119"/>
      <c r="FB7" s="119"/>
      <c r="FC7" s="119"/>
      <c r="FD7" s="121"/>
      <c r="FE7" s="22"/>
      <c r="FF7" s="22"/>
      <c r="FG7" s="22"/>
      <c r="FH7" s="119" t="e">
        <f>#REF!</f>
        <v>#REF!</v>
      </c>
      <c r="FI7" s="120"/>
      <c r="FJ7" s="125"/>
      <c r="FK7" s="119"/>
      <c r="FL7" s="121"/>
      <c r="FM7" s="122"/>
      <c r="FN7" s="122"/>
      <c r="FO7" s="119"/>
      <c r="FP7" s="119" t="e">
        <f>#REF!</f>
        <v>#REF!</v>
      </c>
      <c r="FQ7" s="119"/>
      <c r="FR7" s="119"/>
      <c r="FS7" s="119"/>
      <c r="FT7" s="121"/>
      <c r="FU7" s="22"/>
      <c r="FV7" s="22"/>
      <c r="FW7" s="119"/>
      <c r="FX7" s="119" t="e">
        <f>#REF!</f>
        <v>#REF!</v>
      </c>
      <c r="FY7" s="119"/>
      <c r="FZ7" s="119"/>
      <c r="GA7" s="119"/>
      <c r="GB7" s="121"/>
      <c r="GC7" s="22"/>
      <c r="GD7" s="22"/>
      <c r="GE7" s="119"/>
      <c r="GF7" s="119" t="e">
        <f>#REF!</f>
        <v>#REF!</v>
      </c>
      <c r="GG7" s="119"/>
      <c r="GH7" s="119"/>
      <c r="GI7" s="121"/>
      <c r="GJ7" s="121"/>
      <c r="GK7" s="22"/>
      <c r="GL7" s="22"/>
      <c r="GM7" s="119"/>
      <c r="GN7" s="119" t="e">
        <f>#REF!</f>
        <v>#REF!</v>
      </c>
      <c r="GO7" s="119"/>
      <c r="GP7" s="119"/>
      <c r="GQ7" s="119"/>
      <c r="GR7" s="121"/>
      <c r="GS7" s="22"/>
      <c r="GT7" s="22"/>
      <c r="GU7" s="119"/>
      <c r="GV7" s="119" t="e">
        <f>#REF!</f>
        <v>#REF!</v>
      </c>
      <c r="GW7" s="119"/>
      <c r="GX7" s="112"/>
      <c r="GY7" s="126"/>
      <c r="GZ7" s="121"/>
      <c r="HA7" s="22"/>
      <c r="HB7" s="22"/>
      <c r="HC7" s="119"/>
      <c r="HD7" s="119" t="e">
        <f>#REF!</f>
        <v>#REF!</v>
      </c>
      <c r="HE7" s="119"/>
      <c r="HF7" s="119"/>
      <c r="HG7" s="119"/>
      <c r="HH7" s="121"/>
      <c r="HI7" s="122"/>
      <c r="HJ7" s="22"/>
      <c r="HK7" s="119"/>
      <c r="HL7" s="119" t="e">
        <f>#REF!</f>
        <v>#REF!</v>
      </c>
      <c r="HM7" s="119"/>
      <c r="HN7" s="119"/>
      <c r="HO7" s="119"/>
      <c r="HP7" s="121"/>
      <c r="HQ7" s="22"/>
      <c r="HR7" s="22"/>
      <c r="HS7" s="119"/>
      <c r="HT7" s="119" t="e">
        <f>#REF!</f>
        <v>#REF!</v>
      </c>
      <c r="HU7" s="119"/>
      <c r="HV7" s="119"/>
      <c r="HW7" s="119"/>
      <c r="HX7" s="121"/>
      <c r="HY7" s="22"/>
      <c r="HZ7" s="22"/>
      <c r="IA7" s="119"/>
      <c r="IB7" s="119" t="e">
        <f>#REF!</f>
        <v>#REF!</v>
      </c>
      <c r="IC7" s="119"/>
      <c r="ID7" s="119"/>
      <c r="IE7" s="119"/>
      <c r="IF7" s="121"/>
      <c r="IG7" s="122"/>
      <c r="IH7" s="22"/>
      <c r="II7" s="119"/>
      <c r="IJ7" s="119" t="e">
        <f>#REF!</f>
        <v>#REF!</v>
      </c>
      <c r="IK7" s="119"/>
      <c r="IL7" s="119"/>
      <c r="IM7" s="119"/>
      <c r="IN7" s="121"/>
      <c r="IO7" s="22"/>
      <c r="IP7" s="22"/>
      <c r="IQ7" s="119"/>
      <c r="IR7" s="119" t="e">
        <f>#REF!</f>
        <v>#REF!</v>
      </c>
      <c r="IS7" s="119"/>
      <c r="IT7" s="119"/>
      <c r="IU7" s="119"/>
      <c r="IV7" s="121"/>
      <c r="IW7" s="22"/>
      <c r="IX7" s="22"/>
      <c r="IY7" s="119"/>
      <c r="IZ7" s="119" t="e">
        <f>#REF!</f>
        <v>#REF!</v>
      </c>
      <c r="JA7" s="119"/>
      <c r="JB7" s="119"/>
      <c r="JC7" s="119"/>
      <c r="JD7" s="121"/>
      <c r="JE7" s="22"/>
      <c r="JF7" s="22"/>
      <c r="JG7" s="119"/>
      <c r="JH7" s="119" t="e">
        <f>#REF!</f>
        <v>#REF!</v>
      </c>
      <c r="JI7" s="119"/>
      <c r="JJ7" s="119"/>
      <c r="JK7" s="119"/>
      <c r="JL7" s="121"/>
      <c r="JM7" s="22"/>
      <c r="JN7" s="22"/>
      <c r="JO7" s="22"/>
      <c r="JP7" s="119" t="e">
        <f>#REF!</f>
        <v>#REF!</v>
      </c>
      <c r="JQ7" s="119"/>
      <c r="JR7" s="119"/>
      <c r="JS7" s="119"/>
      <c r="JT7" s="121"/>
      <c r="JU7" s="22"/>
      <c r="JV7" s="22"/>
      <c r="JW7" s="122"/>
      <c r="JX7" s="119" t="e">
        <f>#REF!</f>
        <v>#REF!</v>
      </c>
      <c r="JY7" s="119"/>
      <c r="JZ7" s="119"/>
      <c r="KA7" s="119"/>
      <c r="KB7" s="121"/>
      <c r="KC7" s="22"/>
      <c r="KD7" s="22"/>
      <c r="KE7" s="122"/>
      <c r="KF7" s="119" t="e">
        <f>#REF!</f>
        <v>#REF!</v>
      </c>
      <c r="KG7" s="119"/>
      <c r="KH7" s="119"/>
      <c r="KI7" s="119"/>
      <c r="KJ7" s="119"/>
      <c r="KK7" s="122"/>
      <c r="KL7" s="122"/>
      <c r="KM7" s="119"/>
      <c r="KN7" s="119" t="e">
        <f>#REF!</f>
        <v>#REF!</v>
      </c>
      <c r="KO7" s="119"/>
      <c r="KP7" s="119"/>
      <c r="KQ7" s="119"/>
      <c r="KR7" s="121"/>
      <c r="KS7" s="22"/>
      <c r="KT7" s="22"/>
      <c r="KU7" s="119"/>
      <c r="KV7" s="119" t="e">
        <f>#REF!</f>
        <v>#REF!</v>
      </c>
      <c r="KW7" s="119"/>
      <c r="KX7" s="119"/>
      <c r="KY7" s="119"/>
      <c r="KZ7" s="121"/>
      <c r="LA7" s="122"/>
      <c r="LB7" s="22"/>
      <c r="LC7" s="119"/>
      <c r="LD7" s="119" t="e">
        <f>#REF!</f>
        <v>#REF!</v>
      </c>
      <c r="LE7" s="119"/>
      <c r="LF7" s="119"/>
      <c r="LG7" s="119"/>
      <c r="LH7" s="121"/>
      <c r="LI7" s="22"/>
      <c r="LJ7" s="22"/>
      <c r="LK7" s="119"/>
      <c r="LL7" s="119" t="e">
        <f>#REF!</f>
        <v>#REF!</v>
      </c>
      <c r="LM7" s="120"/>
      <c r="LN7" s="119"/>
      <c r="LO7" s="119"/>
      <c r="LP7" s="121"/>
      <c r="LQ7" s="22"/>
      <c r="LR7" s="22"/>
      <c r="LS7" s="119"/>
      <c r="LT7" s="119" t="e">
        <f>#REF!</f>
        <v>#REF!</v>
      </c>
      <c r="LU7" s="119"/>
      <c r="LV7" s="119"/>
      <c r="LW7" s="119"/>
      <c r="LX7" s="121"/>
      <c r="LY7" s="22"/>
      <c r="LZ7" s="22"/>
      <c r="MA7" s="119"/>
      <c r="MB7" s="119" t="e">
        <f>#REF!</f>
        <v>#REF!</v>
      </c>
      <c r="MC7" s="119"/>
      <c r="MD7" s="119"/>
      <c r="ME7" s="119"/>
      <c r="MF7" s="121"/>
      <c r="MG7" s="22"/>
      <c r="MH7" s="22"/>
      <c r="MI7" s="119"/>
      <c r="MJ7" s="119"/>
      <c r="MK7" s="119" t="e">
        <f>#REF!</f>
        <v>#REF!</v>
      </c>
      <c r="ML7" s="119"/>
      <c r="MM7" s="124"/>
      <c r="MN7" s="119"/>
      <c r="MO7" s="121"/>
      <c r="MP7" s="127"/>
      <c r="MQ7" s="128"/>
      <c r="MR7" s="128"/>
      <c r="MS7" s="121"/>
      <c r="MT7" s="26" t="e">
        <f>#REF!</f>
        <v>#REF!</v>
      </c>
      <c r="MW7" s="22"/>
      <c r="MX7" s="22"/>
      <c r="MY7" s="22"/>
      <c r="MZ7" s="22"/>
      <c r="NA7" s="22"/>
      <c r="NB7" s="22"/>
      <c r="NC7" s="5" t="e">
        <f>#REF!</f>
        <v>#REF!</v>
      </c>
      <c r="NF7" s="22"/>
      <c r="NG7" s="22"/>
      <c r="NH7" s="22"/>
      <c r="NI7" s="22"/>
      <c r="NJ7" s="22"/>
      <c r="NK7" s="22"/>
      <c r="NL7" s="5"/>
      <c r="NM7" s="5" t="e">
        <f>#REF!</f>
        <v>#REF!</v>
      </c>
      <c r="NP7" s="22"/>
      <c r="NQ7" s="22"/>
      <c r="NR7" s="22"/>
      <c r="NS7" s="5"/>
      <c r="NU7" s="5" t="e">
        <f>#REF!</f>
        <v>#REF!</v>
      </c>
      <c r="NV7" s="119"/>
      <c r="NW7" s="119"/>
      <c r="NX7" s="121"/>
      <c r="NY7" s="121"/>
      <c r="NZ7" s="121"/>
      <c r="OA7" s="119"/>
      <c r="OB7" s="119"/>
      <c r="OC7" s="119" t="e">
        <f>#REF!</f>
        <v>#REF!</v>
      </c>
      <c r="OD7" s="119"/>
      <c r="OE7" s="119"/>
      <c r="OF7" s="119"/>
      <c r="OG7" s="121"/>
      <c r="OH7" s="22"/>
      <c r="OI7" s="22"/>
      <c r="OJ7" s="119"/>
      <c r="OK7" s="119" t="e">
        <f>#REF!</f>
        <v>#REF!</v>
      </c>
      <c r="OL7" s="119"/>
      <c r="OM7" s="119"/>
      <c r="ON7" s="119"/>
      <c r="OO7" s="121"/>
      <c r="OP7" s="22"/>
      <c r="OQ7" s="22"/>
      <c r="OT7" s="26" t="e">
        <f t="shared" si="6"/>
        <v>#REF!</v>
      </c>
      <c r="OW7" s="23"/>
      <c r="OX7" s="22"/>
    </row>
    <row r="8" s="5" customFormat="1" ht="22.5" customHeight="1" spans="1:425">
      <c r="A8" s="15"/>
      <c r="B8" s="15"/>
      <c r="C8" s="16"/>
      <c r="D8" s="129"/>
      <c r="E8" s="17" t="e">
        <f>C8-#REF!</f>
        <v>#REF!</v>
      </c>
      <c r="F8" s="18" t="e">
        <f>E8/#REF!</f>
        <v>#REF!</v>
      </c>
      <c r="G8" s="18"/>
      <c r="H8" s="18"/>
      <c r="I8" s="18"/>
      <c r="J8" s="18"/>
      <c r="K8" s="17">
        <f t="shared" si="0"/>
        <v>0</v>
      </c>
      <c r="L8" s="129"/>
      <c r="M8" s="85" t="e">
        <f>K8-#REF!</f>
        <v>#REF!</v>
      </c>
      <c r="N8" s="87" t="e">
        <f>M8/#REF!</f>
        <v>#REF!</v>
      </c>
      <c r="O8" s="18"/>
      <c r="P8" s="18"/>
      <c r="Q8" s="18"/>
      <c r="R8" s="17"/>
      <c r="S8" s="17">
        <f t="shared" si="1"/>
        <v>0</v>
      </c>
      <c r="T8" s="129"/>
      <c r="U8" s="17" t="e">
        <f>S8-#REF!</f>
        <v>#REF!</v>
      </c>
      <c r="V8" s="18" t="e">
        <f>U8/#REF!</f>
        <v>#REF!</v>
      </c>
      <c r="W8" s="18"/>
      <c r="X8" s="18"/>
      <c r="Y8" s="18"/>
      <c r="Z8" s="17"/>
      <c r="AA8" s="17">
        <f t="shared" si="2"/>
        <v>0</v>
      </c>
      <c r="AB8" s="129"/>
      <c r="AC8" s="17" t="e">
        <f>AA8-#REF!</f>
        <v>#REF!</v>
      </c>
      <c r="AD8" s="18" t="e">
        <f>AC8/#REF!</f>
        <v>#REF!</v>
      </c>
      <c r="AE8" s="18"/>
      <c r="AF8" s="18"/>
      <c r="AG8" s="18"/>
      <c r="AH8" s="17"/>
      <c r="AI8" s="17">
        <f t="shared" si="3"/>
        <v>0</v>
      </c>
      <c r="AJ8" s="129"/>
      <c r="AK8" s="19" t="e">
        <f>AI8-#REF!</f>
        <v>#REF!</v>
      </c>
      <c r="AL8" s="18" t="e">
        <f>AK8/#REF!</f>
        <v>#REF!</v>
      </c>
      <c r="AM8" s="18"/>
      <c r="AN8" s="18"/>
      <c r="AO8" s="18"/>
      <c r="AP8" s="17"/>
      <c r="AQ8" s="17">
        <f t="shared" si="4"/>
        <v>0</v>
      </c>
      <c r="AR8" s="21"/>
      <c r="AS8" s="17" t="e">
        <f>AQ8-#REF!</f>
        <v>#REF!</v>
      </c>
      <c r="AT8" s="18" t="e">
        <f>AS8/#REF!</f>
        <v>#REF!</v>
      </c>
      <c r="AU8" s="18"/>
      <c r="AV8" s="18"/>
      <c r="AW8" s="18"/>
      <c r="AX8" s="17"/>
      <c r="AY8" s="17"/>
      <c r="AZ8" s="17">
        <f t="shared" si="5"/>
        <v>0</v>
      </c>
      <c r="BA8" s="17"/>
      <c r="BB8" s="17" t="e">
        <f>AZ8-#REF!</f>
        <v>#REF!</v>
      </c>
      <c r="BC8" s="18" t="e">
        <f>BB8/#REF!</f>
        <v>#REF!</v>
      </c>
      <c r="BD8" s="18"/>
      <c r="BE8" s="18"/>
      <c r="BF8" s="18"/>
      <c r="BG8" s="74"/>
      <c r="BH8" s="116">
        <f>C8</f>
        <v>0</v>
      </c>
      <c r="BI8" s="116"/>
      <c r="BJ8" s="116"/>
      <c r="BK8" s="116"/>
      <c r="BL8" s="117"/>
      <c r="BM8" s="118"/>
      <c r="BN8" s="22"/>
      <c r="BO8" s="119"/>
      <c r="BP8" s="119">
        <f>C8</f>
        <v>0</v>
      </c>
      <c r="BQ8" s="120"/>
      <c r="BR8" s="119"/>
      <c r="BS8" s="119"/>
      <c r="BT8" s="121"/>
      <c r="BU8" s="22"/>
      <c r="BW8" s="22"/>
      <c r="BX8" s="119">
        <f>C8</f>
        <v>0</v>
      </c>
      <c r="BY8" s="119"/>
      <c r="BZ8" s="119"/>
      <c r="CA8" s="119"/>
      <c r="CB8" s="121"/>
      <c r="CC8" s="22"/>
      <c r="CE8" s="122"/>
      <c r="CF8" s="119">
        <f>C8</f>
        <v>0</v>
      </c>
      <c r="CG8" s="119"/>
      <c r="CH8" s="5"/>
      <c r="CI8" s="119"/>
      <c r="CJ8" s="121"/>
      <c r="CK8" s="22"/>
      <c r="CM8" s="122"/>
      <c r="CN8" s="119">
        <f>C8</f>
        <v>0</v>
      </c>
      <c r="CO8" s="119"/>
      <c r="CP8" s="119"/>
      <c r="CQ8" s="119"/>
      <c r="CR8" s="121"/>
      <c r="CS8" s="122"/>
      <c r="CU8" s="122"/>
      <c r="CV8" s="119">
        <f>C8</f>
        <v>0</v>
      </c>
      <c r="CW8" s="119"/>
      <c r="CX8" s="119"/>
      <c r="CY8" s="119"/>
      <c r="CZ8" s="121"/>
      <c r="DA8" s="22"/>
      <c r="DB8" s="22"/>
      <c r="DC8" s="123"/>
      <c r="DD8" s="119">
        <f>C8</f>
        <v>0</v>
      </c>
      <c r="DE8" s="119"/>
      <c r="DF8" s="119"/>
      <c r="DG8" s="119"/>
      <c r="DH8" s="121"/>
      <c r="DI8" s="22"/>
      <c r="DK8" s="22"/>
      <c r="DL8" s="119">
        <f>C8</f>
        <v>0</v>
      </c>
      <c r="DM8" s="119"/>
      <c r="DN8" s="119"/>
      <c r="DO8" s="119"/>
      <c r="DP8" s="121"/>
      <c r="DQ8" s="22"/>
      <c r="DS8" s="22"/>
      <c r="DT8" s="119">
        <f>C8</f>
        <v>0</v>
      </c>
      <c r="DU8" s="119"/>
      <c r="DV8" s="119"/>
      <c r="DW8" s="119"/>
      <c r="DX8" s="121"/>
      <c r="DY8" s="22"/>
      <c r="EA8" s="22"/>
      <c r="EB8" s="119">
        <f>C8</f>
        <v>0</v>
      </c>
      <c r="EC8" s="119"/>
      <c r="ED8" s="119"/>
      <c r="EE8" s="119"/>
      <c r="EF8" s="121"/>
      <c r="EG8" s="22"/>
      <c r="EI8" s="22"/>
      <c r="EJ8" s="119">
        <f>C8</f>
        <v>0</v>
      </c>
      <c r="EK8" s="119"/>
      <c r="EL8" s="119"/>
      <c r="EM8" s="119"/>
      <c r="EN8" s="121"/>
      <c r="EO8" s="22"/>
      <c r="EQ8" s="22"/>
      <c r="ER8" s="124">
        <f>C8</f>
        <v>0</v>
      </c>
      <c r="ES8" s="119"/>
      <c r="ET8" s="119"/>
      <c r="EU8" s="119"/>
      <c r="EV8" s="121"/>
      <c r="EW8" s="22"/>
      <c r="EY8" s="22"/>
      <c r="EZ8" s="119">
        <f>C8</f>
        <v>0</v>
      </c>
      <c r="FA8" s="119"/>
      <c r="FB8" s="119"/>
      <c r="FC8" s="119"/>
      <c r="FD8" s="121"/>
      <c r="FE8" s="22"/>
      <c r="FF8" s="22"/>
      <c r="FG8" s="22"/>
      <c r="FH8" s="119">
        <f>C8</f>
        <v>0</v>
      </c>
      <c r="FI8" s="120"/>
      <c r="FJ8" s="125"/>
      <c r="FK8" s="119"/>
      <c r="FL8" s="121"/>
      <c r="FM8" s="122"/>
      <c r="FN8" s="122"/>
      <c r="FO8" s="119"/>
      <c r="FP8" s="119">
        <f>C8</f>
        <v>0</v>
      </c>
      <c r="FQ8" s="119"/>
      <c r="FR8" s="119"/>
      <c r="FS8" s="119"/>
      <c r="FT8" s="121"/>
      <c r="FU8" s="22"/>
      <c r="FV8" s="22"/>
      <c r="FW8" s="119"/>
      <c r="FX8" s="119">
        <f>C8</f>
        <v>0</v>
      </c>
      <c r="FY8" s="119"/>
      <c r="FZ8" s="119"/>
      <c r="GA8" s="119"/>
      <c r="GB8" s="121"/>
      <c r="GC8" s="22"/>
      <c r="GD8" s="22"/>
      <c r="GE8" s="119"/>
      <c r="GF8" s="119">
        <f>C8</f>
        <v>0</v>
      </c>
      <c r="GG8" s="119"/>
      <c r="GH8" s="119"/>
      <c r="GI8" s="121"/>
      <c r="GJ8" s="121"/>
      <c r="GK8" s="22"/>
      <c r="GL8" s="22"/>
      <c r="GM8" s="119"/>
      <c r="GN8" s="119">
        <f>C8</f>
        <v>0</v>
      </c>
      <c r="GO8" s="119"/>
      <c r="GP8" s="119"/>
      <c r="GQ8" s="119"/>
      <c r="GR8" s="121"/>
      <c r="GS8" s="22"/>
      <c r="GT8" s="22"/>
      <c r="GU8" s="119"/>
      <c r="GV8" s="119">
        <f>C8</f>
        <v>0</v>
      </c>
      <c r="GW8" s="119"/>
      <c r="GX8" s="112"/>
      <c r="GY8" s="126"/>
      <c r="GZ8" s="121"/>
      <c r="HA8" s="22"/>
      <c r="HB8" s="22"/>
      <c r="HC8" s="119"/>
      <c r="HD8" s="119">
        <f>C8</f>
        <v>0</v>
      </c>
      <c r="HE8" s="119"/>
      <c r="HF8" s="119"/>
      <c r="HG8" s="119"/>
      <c r="HH8" s="121"/>
      <c r="HI8" s="122"/>
      <c r="HJ8" s="22"/>
      <c r="HK8" s="119"/>
      <c r="HL8" s="119">
        <f>C8</f>
        <v>0</v>
      </c>
      <c r="HM8" s="119"/>
      <c r="HN8" s="119"/>
      <c r="HO8" s="119"/>
      <c r="HP8" s="121"/>
      <c r="HQ8" s="22"/>
      <c r="HR8" s="22"/>
      <c r="HS8" s="119"/>
      <c r="HT8" s="119">
        <f>C8</f>
        <v>0</v>
      </c>
      <c r="HU8" s="119"/>
      <c r="HV8" s="119"/>
      <c r="HW8" s="119"/>
      <c r="HX8" s="121"/>
      <c r="HY8" s="22"/>
      <c r="HZ8" s="22"/>
      <c r="IA8" s="119"/>
      <c r="IB8" s="119">
        <f>C8</f>
        <v>0</v>
      </c>
      <c r="IC8" s="119"/>
      <c r="ID8" s="119"/>
      <c r="IE8" s="119"/>
      <c r="IF8" s="121"/>
      <c r="IG8" s="122"/>
      <c r="IH8" s="22"/>
      <c r="II8" s="119"/>
      <c r="IJ8" s="119">
        <f>C8</f>
        <v>0</v>
      </c>
      <c r="IK8" s="119"/>
      <c r="IL8" s="119"/>
      <c r="IM8" s="119"/>
      <c r="IN8" s="121"/>
      <c r="IO8" s="22"/>
      <c r="IP8" s="22"/>
      <c r="IQ8" s="119"/>
      <c r="IR8" s="119">
        <f>C8</f>
        <v>0</v>
      </c>
      <c r="IS8" s="119"/>
      <c r="IT8" s="119"/>
      <c r="IU8" s="119"/>
      <c r="IV8" s="121"/>
      <c r="IW8" s="22"/>
      <c r="IX8" s="22"/>
      <c r="IY8" s="119"/>
      <c r="IZ8" s="119">
        <f>C8</f>
        <v>0</v>
      </c>
      <c r="JA8" s="119"/>
      <c r="JB8" s="119"/>
      <c r="JC8" s="119"/>
      <c r="JD8" s="121"/>
      <c r="JE8" s="22"/>
      <c r="JF8" s="22"/>
      <c r="JG8" s="119"/>
      <c r="JH8" s="119">
        <f>C8</f>
        <v>0</v>
      </c>
      <c r="JI8" s="119"/>
      <c r="JJ8" s="119"/>
      <c r="JK8" s="119"/>
      <c r="JL8" s="121"/>
      <c r="JM8" s="22"/>
      <c r="JN8" s="22"/>
      <c r="JO8" s="22"/>
      <c r="JP8" s="119">
        <f>C8</f>
        <v>0</v>
      </c>
      <c r="JQ8" s="119"/>
      <c r="JR8" s="119"/>
      <c r="JS8" s="119"/>
      <c r="JT8" s="121"/>
      <c r="JU8" s="22"/>
      <c r="JV8" s="22"/>
      <c r="JW8" s="122"/>
      <c r="JX8" s="119">
        <f>C8</f>
        <v>0</v>
      </c>
      <c r="JY8" s="119"/>
      <c r="JZ8" s="119"/>
      <c r="KA8" s="119"/>
      <c r="KB8" s="121"/>
      <c r="KC8" s="22"/>
      <c r="KD8" s="22"/>
      <c r="KE8" s="122"/>
      <c r="KF8" s="119">
        <f>C8</f>
        <v>0</v>
      </c>
      <c r="KG8" s="119"/>
      <c r="KH8" s="119"/>
      <c r="KI8" s="119"/>
      <c r="KJ8" s="119"/>
      <c r="KK8" s="122"/>
      <c r="KL8" s="122"/>
      <c r="KM8" s="119"/>
      <c r="KN8" s="119">
        <f>C8</f>
        <v>0</v>
      </c>
      <c r="KO8" s="119"/>
      <c r="KP8" s="119"/>
      <c r="KQ8" s="119"/>
      <c r="KR8" s="121"/>
      <c r="KS8" s="22"/>
      <c r="KT8" s="22"/>
      <c r="KU8" s="119"/>
      <c r="KV8" s="119">
        <f>C8</f>
        <v>0</v>
      </c>
      <c r="KW8" s="119"/>
      <c r="KX8" s="119"/>
      <c r="KY8" s="119"/>
      <c r="KZ8" s="121"/>
      <c r="LA8" s="122"/>
      <c r="LB8" s="22"/>
      <c r="LC8" s="119"/>
      <c r="LD8" s="119">
        <f>C8</f>
        <v>0</v>
      </c>
      <c r="LE8" s="119"/>
      <c r="LF8" s="119"/>
      <c r="LG8" s="119"/>
      <c r="LH8" s="121"/>
      <c r="LI8" s="22"/>
      <c r="LJ8" s="22"/>
      <c r="LK8" s="119"/>
      <c r="LL8" s="119">
        <f>C8</f>
        <v>0</v>
      </c>
      <c r="LM8" s="120"/>
      <c r="LN8" s="119"/>
      <c r="LO8" s="119"/>
      <c r="LP8" s="121"/>
      <c r="LQ8" s="22"/>
      <c r="LR8" s="22"/>
      <c r="LS8" s="119"/>
      <c r="LT8" s="119">
        <f>C8</f>
        <v>0</v>
      </c>
      <c r="LU8" s="119"/>
      <c r="LV8" s="119"/>
      <c r="LW8" s="119"/>
      <c r="LX8" s="121"/>
      <c r="LY8" s="22"/>
      <c r="LZ8" s="22"/>
      <c r="MA8" s="119"/>
      <c r="MB8" s="119">
        <f>C8</f>
        <v>0</v>
      </c>
      <c r="MC8" s="119"/>
      <c r="MD8" s="119"/>
      <c r="ME8" s="119"/>
      <c r="MF8" s="121"/>
      <c r="MG8" s="22"/>
      <c r="MH8" s="22"/>
      <c r="MI8" s="119"/>
      <c r="MJ8" s="119"/>
      <c r="MK8" s="119">
        <f>C8</f>
        <v>0</v>
      </c>
      <c r="ML8" s="119"/>
      <c r="MM8" s="124"/>
      <c r="MN8" s="119"/>
      <c r="MO8" s="121"/>
      <c r="MP8" s="127"/>
      <c r="MQ8" s="128"/>
      <c r="MR8" s="128"/>
      <c r="MS8" s="121"/>
      <c r="MT8" s="26">
        <f>C8</f>
        <v>0</v>
      </c>
      <c r="MW8" s="22"/>
      <c r="MX8" s="22"/>
      <c r="MY8" s="22"/>
      <c r="MZ8" s="22"/>
      <c r="NA8" s="22"/>
      <c r="NB8" s="22"/>
      <c r="NC8" s="5">
        <f>C8</f>
        <v>0</v>
      </c>
      <c r="NF8" s="22"/>
      <c r="NG8" s="22"/>
      <c r="NH8" s="22"/>
      <c r="NI8" s="22"/>
      <c r="NJ8" s="22"/>
      <c r="NK8" s="22"/>
      <c r="NL8" s="5"/>
      <c r="NM8" s="5">
        <f>C8</f>
        <v>0</v>
      </c>
      <c r="NP8" s="22"/>
      <c r="NQ8" s="22"/>
      <c r="NR8" s="22"/>
      <c r="NS8" s="5"/>
      <c r="NU8" s="5">
        <f>C8</f>
        <v>0</v>
      </c>
      <c r="NV8" s="119"/>
      <c r="NW8" s="119"/>
      <c r="NX8" s="121"/>
      <c r="NY8" s="121"/>
      <c r="NZ8" s="121"/>
      <c r="OA8" s="119"/>
      <c r="OB8" s="119"/>
      <c r="OC8" s="119">
        <f>C8</f>
        <v>0</v>
      </c>
      <c r="OD8" s="119"/>
      <c r="OE8" s="119"/>
      <c r="OF8" s="119"/>
      <c r="OG8" s="121"/>
      <c r="OH8" s="22"/>
      <c r="OI8" s="22"/>
      <c r="OJ8" s="119"/>
      <c r="OK8" s="119">
        <f>C8</f>
        <v>0</v>
      </c>
      <c r="OL8" s="119"/>
      <c r="OM8" s="119"/>
      <c r="ON8" s="119"/>
      <c r="OO8" s="121"/>
      <c r="OP8" s="22"/>
      <c r="OQ8" s="22"/>
      <c r="OT8" s="26">
        <f t="shared" si="6"/>
        <v>0</v>
      </c>
      <c r="OW8" s="23"/>
      <c r="OX8" s="22"/>
    </row>
    <row r="9" s="5" customFormat="1" ht="22.5" customHeight="1" spans="1:425">
      <c r="A9" s="15"/>
      <c r="B9" s="15"/>
      <c r="C9" s="16"/>
      <c r="D9" s="129"/>
      <c r="E9" s="17">
        <f>C9-C8</f>
        <v>0</v>
      </c>
      <c r="F9" s="18" t="e">
        <f>E9/C8</f>
        <v>#DIV/0!</v>
      </c>
      <c r="G9" s="18"/>
      <c r="H9" s="18"/>
      <c r="I9" s="18"/>
      <c r="J9" s="18"/>
      <c r="K9" s="17">
        <f t="shared" si="0"/>
        <v>0</v>
      </c>
      <c r="L9" s="129"/>
      <c r="M9" s="17">
        <f>K9-K8</f>
        <v>0</v>
      </c>
      <c r="N9" s="18" t="e">
        <f>M9/K8</f>
        <v>#DIV/0!</v>
      </c>
      <c r="O9" s="18"/>
      <c r="P9" s="18"/>
      <c r="Q9" s="18"/>
      <c r="R9" s="17"/>
      <c r="S9" s="17">
        <f t="shared" si="1"/>
        <v>0</v>
      </c>
      <c r="T9" s="129"/>
      <c r="U9" s="17">
        <f>S9-S8</f>
        <v>0</v>
      </c>
      <c r="V9" s="18" t="e">
        <f>U9/S8</f>
        <v>#DIV/0!</v>
      </c>
      <c r="W9" s="18"/>
      <c r="X9" s="18"/>
      <c r="Y9" s="18"/>
      <c r="Z9" s="17"/>
      <c r="AA9" s="17">
        <f t="shared" si="2"/>
        <v>0</v>
      </c>
      <c r="AB9" s="129"/>
      <c r="AC9" s="17">
        <f>AA9-AA8</f>
        <v>0</v>
      </c>
      <c r="AD9" s="18" t="e">
        <f>AC9/AA8</f>
        <v>#DIV/0!</v>
      </c>
      <c r="AE9" s="18"/>
      <c r="AF9" s="18"/>
      <c r="AG9" s="18"/>
      <c r="AH9" s="17"/>
      <c r="AI9" s="17">
        <f t="shared" si="3"/>
        <v>0</v>
      </c>
      <c r="AJ9" s="129"/>
      <c r="AK9" s="19">
        <f>AI9-AI8</f>
        <v>0</v>
      </c>
      <c r="AL9" s="18" t="e">
        <f>AK9/AI8</f>
        <v>#DIV/0!</v>
      </c>
      <c r="AM9" s="18"/>
      <c r="AN9" s="18"/>
      <c r="AO9" s="18"/>
      <c r="AP9" s="17"/>
      <c r="AQ9" s="17">
        <f t="shared" si="4"/>
        <v>0</v>
      </c>
      <c r="AR9" s="21"/>
      <c r="AS9" s="17">
        <f>AQ9-AQ8</f>
        <v>0</v>
      </c>
      <c r="AT9" s="18" t="e">
        <f>AS9/AQ8</f>
        <v>#DIV/0!</v>
      </c>
      <c r="AU9" s="18"/>
      <c r="AV9" s="18"/>
      <c r="AW9" s="18"/>
      <c r="AX9" s="17"/>
      <c r="AY9" s="17"/>
      <c r="AZ9" s="17">
        <f t="shared" si="5"/>
        <v>0</v>
      </c>
      <c r="BA9" s="17"/>
      <c r="BB9" s="17">
        <f>AZ9-AZ8</f>
        <v>0</v>
      </c>
      <c r="BC9" s="18" t="e">
        <f>BB9/AZ8</f>
        <v>#DIV/0!</v>
      </c>
      <c r="BD9" s="18"/>
      <c r="BE9" s="18"/>
      <c r="BF9" s="18"/>
      <c r="BG9" s="74"/>
      <c r="BH9" s="116">
        <f>C9</f>
        <v>0</v>
      </c>
      <c r="BI9" s="116"/>
      <c r="BJ9" s="116"/>
      <c r="BK9" s="116"/>
      <c r="BL9" s="117"/>
      <c r="BM9" s="118"/>
      <c r="BN9" s="22"/>
      <c r="BO9" s="119"/>
      <c r="BP9" s="119">
        <f>C9</f>
        <v>0</v>
      </c>
      <c r="BQ9" s="120"/>
      <c r="BR9" s="119"/>
      <c r="BS9" s="119"/>
      <c r="BT9" s="121"/>
      <c r="BU9" s="22"/>
      <c r="BW9" s="22"/>
      <c r="BX9" s="119">
        <f>C9</f>
        <v>0</v>
      </c>
      <c r="BY9" s="119"/>
      <c r="BZ9" s="119"/>
      <c r="CA9" s="119"/>
      <c r="CB9" s="121"/>
      <c r="CC9" s="22"/>
      <c r="CE9" s="122"/>
      <c r="CF9" s="119">
        <f>C9</f>
        <v>0</v>
      </c>
      <c r="CG9" s="119"/>
      <c r="CH9" s="5"/>
      <c r="CI9" s="119"/>
      <c r="CJ9" s="121"/>
      <c r="CK9" s="22"/>
      <c r="CM9" s="122"/>
      <c r="CN9" s="119">
        <f>C9</f>
        <v>0</v>
      </c>
      <c r="CO9" s="119"/>
      <c r="CP9" s="119"/>
      <c r="CQ9" s="119"/>
      <c r="CR9" s="121"/>
      <c r="CS9" s="122"/>
      <c r="CU9" s="122"/>
      <c r="CV9" s="119">
        <f>C9</f>
        <v>0</v>
      </c>
      <c r="CW9" s="119"/>
      <c r="CX9" s="119"/>
      <c r="CY9" s="119"/>
      <c r="CZ9" s="121"/>
      <c r="DA9" s="22"/>
      <c r="DB9" s="22"/>
      <c r="DC9" s="123"/>
      <c r="DD9" s="119">
        <f>C9</f>
        <v>0</v>
      </c>
      <c r="DE9" s="119"/>
      <c r="DF9" s="119"/>
      <c r="DG9" s="119"/>
      <c r="DH9" s="121"/>
      <c r="DI9" s="22"/>
      <c r="DK9" s="22"/>
      <c r="DL9" s="119">
        <f>C9</f>
        <v>0</v>
      </c>
      <c r="DM9" s="119"/>
      <c r="DN9" s="119"/>
      <c r="DO9" s="119"/>
      <c r="DP9" s="121"/>
      <c r="DQ9" s="22"/>
      <c r="DS9" s="22"/>
      <c r="DT9" s="119">
        <f>C9</f>
        <v>0</v>
      </c>
      <c r="DU9" s="119"/>
      <c r="DV9" s="119"/>
      <c r="DW9" s="119"/>
      <c r="DX9" s="121"/>
      <c r="DY9" s="22"/>
      <c r="EA9" s="22"/>
      <c r="EB9" s="119">
        <f>C9</f>
        <v>0</v>
      </c>
      <c r="EC9" s="119"/>
      <c r="ED9" s="119"/>
      <c r="EE9" s="119"/>
      <c r="EF9" s="121"/>
      <c r="EG9" s="22"/>
      <c r="EI9" s="22"/>
      <c r="EJ9" s="119">
        <f>C9</f>
        <v>0</v>
      </c>
      <c r="EK9" s="119"/>
      <c r="EL9" s="119"/>
      <c r="EM9" s="119"/>
      <c r="EN9" s="121"/>
      <c r="EO9" s="22"/>
      <c r="EQ9" s="22"/>
      <c r="ER9" s="124">
        <f>C9</f>
        <v>0</v>
      </c>
      <c r="ES9" s="119"/>
      <c r="ET9" s="119"/>
      <c r="EU9" s="119"/>
      <c r="EV9" s="121"/>
      <c r="EW9" s="22"/>
      <c r="EY9" s="22"/>
      <c r="EZ9" s="119">
        <f>C9</f>
        <v>0</v>
      </c>
      <c r="FA9" s="119"/>
      <c r="FB9" s="119"/>
      <c r="FC9" s="119"/>
      <c r="FD9" s="121"/>
      <c r="FE9" s="22"/>
      <c r="FF9" s="22"/>
      <c r="FG9" s="22"/>
      <c r="FH9" s="119">
        <f>C9</f>
        <v>0</v>
      </c>
      <c r="FI9" s="120"/>
      <c r="FJ9" s="125"/>
      <c r="FK9" s="119"/>
      <c r="FL9" s="121"/>
      <c r="FM9" s="122"/>
      <c r="FN9" s="122"/>
      <c r="FO9" s="119"/>
      <c r="FP9" s="119">
        <f>C9</f>
        <v>0</v>
      </c>
      <c r="FQ9" s="119"/>
      <c r="FR9" s="119"/>
      <c r="FS9" s="119"/>
      <c r="FT9" s="121"/>
      <c r="FU9" s="22"/>
      <c r="FV9" s="22"/>
      <c r="FW9" s="119"/>
      <c r="FX9" s="119">
        <f>C9</f>
        <v>0</v>
      </c>
      <c r="FY9" s="119"/>
      <c r="FZ9" s="119"/>
      <c r="GA9" s="119"/>
      <c r="GB9" s="121"/>
      <c r="GC9" s="22"/>
      <c r="GD9" s="22"/>
      <c r="GE9" s="119"/>
      <c r="GF9" s="119">
        <f>C9</f>
        <v>0</v>
      </c>
      <c r="GG9" s="119"/>
      <c r="GH9" s="119"/>
      <c r="GI9" s="121"/>
      <c r="GJ9" s="121"/>
      <c r="GK9" s="22"/>
      <c r="GL9" s="22"/>
      <c r="GM9" s="119"/>
      <c r="GN9" s="119">
        <f>C9</f>
        <v>0</v>
      </c>
      <c r="GO9" s="119"/>
      <c r="GP9" s="119"/>
      <c r="GQ9" s="119"/>
      <c r="GR9" s="121"/>
      <c r="GS9" s="22"/>
      <c r="GT9" s="22"/>
      <c r="GU9" s="119"/>
      <c r="GV9" s="119">
        <f>C9</f>
        <v>0</v>
      </c>
      <c r="GW9" s="119"/>
      <c r="GX9" s="119"/>
      <c r="GY9" s="119"/>
      <c r="GZ9" s="121"/>
      <c r="HA9" s="22"/>
      <c r="HB9" s="22"/>
      <c r="HC9" s="119"/>
      <c r="HD9" s="119">
        <f>C9</f>
        <v>0</v>
      </c>
      <c r="HE9" s="119"/>
      <c r="HF9" s="119"/>
      <c r="HG9" s="119"/>
      <c r="HH9" s="121"/>
      <c r="HI9" s="122"/>
      <c r="HJ9" s="22"/>
      <c r="HK9" s="119"/>
      <c r="HL9" s="119">
        <f>C9</f>
        <v>0</v>
      </c>
      <c r="HM9" s="119"/>
      <c r="HN9" s="119"/>
      <c r="HO9" s="119"/>
      <c r="HP9" s="121"/>
      <c r="HQ9" s="22"/>
      <c r="HR9" s="22"/>
      <c r="HS9" s="119"/>
      <c r="HT9" s="119">
        <f>C9</f>
        <v>0</v>
      </c>
      <c r="HU9" s="119"/>
      <c r="HV9" s="119"/>
      <c r="HW9" s="119"/>
      <c r="HX9" s="121"/>
      <c r="HY9" s="22"/>
      <c r="HZ9" s="22"/>
      <c r="IA9" s="119"/>
      <c r="IB9" s="119">
        <f>C9</f>
        <v>0</v>
      </c>
      <c r="IC9" s="119"/>
      <c r="ID9" s="119"/>
      <c r="IE9" s="119"/>
      <c r="IF9" s="121"/>
      <c r="IG9" s="122"/>
      <c r="IH9" s="22"/>
      <c r="II9" s="119"/>
      <c r="IJ9" s="119">
        <f>C9</f>
        <v>0</v>
      </c>
      <c r="IK9" s="119"/>
      <c r="IL9" s="119"/>
      <c r="IM9" s="119"/>
      <c r="IN9" s="121"/>
      <c r="IO9" s="22"/>
      <c r="IP9" s="22"/>
      <c r="IQ9" s="119"/>
      <c r="IR9" s="119">
        <f>C9</f>
        <v>0</v>
      </c>
      <c r="IS9" s="119"/>
      <c r="IT9" s="119"/>
      <c r="IU9" s="119"/>
      <c r="IV9" s="121"/>
      <c r="IW9" s="22"/>
      <c r="IX9" s="22"/>
      <c r="IY9" s="119"/>
      <c r="IZ9" s="119">
        <f>C9</f>
        <v>0</v>
      </c>
      <c r="JA9" s="119"/>
      <c r="JB9" s="119"/>
      <c r="JC9" s="119"/>
      <c r="JD9" s="121"/>
      <c r="JE9" s="22"/>
      <c r="JF9" s="22"/>
      <c r="JG9" s="119"/>
      <c r="JH9" s="119">
        <f>C9</f>
        <v>0</v>
      </c>
      <c r="JI9" s="119"/>
      <c r="JJ9" s="119"/>
      <c r="JK9" s="119"/>
      <c r="JL9" s="121"/>
      <c r="JM9" s="22"/>
      <c r="JN9" s="22"/>
      <c r="JO9" s="22"/>
      <c r="JP9" s="119">
        <f>C9</f>
        <v>0</v>
      </c>
      <c r="JQ9" s="119"/>
      <c r="JR9" s="119"/>
      <c r="JS9" s="119"/>
      <c r="JT9" s="121"/>
      <c r="JU9" s="22"/>
      <c r="JV9" s="22"/>
      <c r="JW9" s="122"/>
      <c r="JX9" s="119">
        <f>C9</f>
        <v>0</v>
      </c>
      <c r="JY9" s="119"/>
      <c r="JZ9" s="119"/>
      <c r="KA9" s="119"/>
      <c r="KB9" s="121"/>
      <c r="KC9" s="22"/>
      <c r="KD9" s="22"/>
      <c r="KE9" s="122"/>
      <c r="KF9" s="119">
        <f>C9</f>
        <v>0</v>
      </c>
      <c r="KG9" s="119"/>
      <c r="KH9" s="119"/>
      <c r="KI9" s="119"/>
      <c r="KJ9" s="119"/>
      <c r="KK9" s="122"/>
      <c r="KL9" s="122"/>
      <c r="KM9" s="119"/>
      <c r="KN9" s="119">
        <f>C9</f>
        <v>0</v>
      </c>
      <c r="KO9" s="119"/>
      <c r="KP9" s="119"/>
      <c r="KQ9" s="119"/>
      <c r="KR9" s="121"/>
      <c r="KS9" s="22"/>
      <c r="KT9" s="22"/>
      <c r="KU9" s="119"/>
      <c r="KV9" s="119">
        <f>C9</f>
        <v>0</v>
      </c>
      <c r="KW9" s="119"/>
      <c r="KX9" s="119"/>
      <c r="KY9" s="119"/>
      <c r="KZ9" s="121"/>
      <c r="LA9" s="122"/>
      <c r="LB9" s="22"/>
      <c r="LC9" s="119"/>
      <c r="LD9" s="119">
        <f>C9</f>
        <v>0</v>
      </c>
      <c r="LE9" s="119"/>
      <c r="LF9" s="119"/>
      <c r="LG9" s="119"/>
      <c r="LH9" s="121"/>
      <c r="LI9" s="22"/>
      <c r="LJ9" s="22"/>
      <c r="LK9" s="119"/>
      <c r="LL9" s="119">
        <f>C9</f>
        <v>0</v>
      </c>
      <c r="LM9" s="120"/>
      <c r="LN9" s="119"/>
      <c r="LO9" s="119"/>
      <c r="LP9" s="121"/>
      <c r="LQ9" s="22"/>
      <c r="LR9" s="22"/>
      <c r="LS9" s="119"/>
      <c r="LT9" s="119">
        <f>C9</f>
        <v>0</v>
      </c>
      <c r="LU9" s="119"/>
      <c r="LV9" s="119"/>
      <c r="LW9" s="119"/>
      <c r="LX9" s="121"/>
      <c r="LY9" s="22"/>
      <c r="LZ9" s="22"/>
      <c r="MA9" s="119"/>
      <c r="MB9" s="119">
        <f>C9</f>
        <v>0</v>
      </c>
      <c r="MC9" s="119"/>
      <c r="MD9" s="119"/>
      <c r="ME9" s="119"/>
      <c r="MF9" s="121"/>
      <c r="MG9" s="22"/>
      <c r="MH9" s="22"/>
      <c r="MI9" s="119"/>
      <c r="MJ9" s="119"/>
      <c r="MK9" s="119">
        <f>C9</f>
        <v>0</v>
      </c>
      <c r="ML9" s="119"/>
      <c r="MM9" s="124"/>
      <c r="MN9" s="119"/>
      <c r="MO9" s="121"/>
      <c r="MP9" s="127"/>
      <c r="MQ9" s="128"/>
      <c r="MR9" s="128"/>
      <c r="MS9" s="121"/>
      <c r="MT9" s="26">
        <f>C9</f>
        <v>0</v>
      </c>
      <c r="MW9" s="22"/>
      <c r="MX9" s="22"/>
      <c r="MY9" s="22"/>
      <c r="MZ9" s="22"/>
      <c r="NA9" s="22"/>
      <c r="NB9" s="22"/>
      <c r="NC9" s="5">
        <f>C9</f>
        <v>0</v>
      </c>
      <c r="NF9" s="22"/>
      <c r="NG9" s="22"/>
      <c r="NH9" s="22"/>
      <c r="NI9" s="22"/>
      <c r="NJ9" s="22"/>
      <c r="NK9" s="22"/>
      <c r="NL9" s="5"/>
      <c r="NM9" s="5">
        <f>C9</f>
        <v>0</v>
      </c>
      <c r="NP9" s="22"/>
      <c r="NQ9" s="22"/>
      <c r="NR9" s="22"/>
      <c r="NS9" s="5"/>
      <c r="NU9" s="5">
        <f>C9</f>
        <v>0</v>
      </c>
      <c r="NV9" s="119"/>
      <c r="NW9" s="119"/>
      <c r="NX9" s="121"/>
      <c r="NY9" s="121"/>
      <c r="NZ9" s="121"/>
      <c r="OA9" s="119"/>
      <c r="OB9" s="119"/>
      <c r="OC9" s="119">
        <f>C9</f>
        <v>0</v>
      </c>
      <c r="OD9" s="119"/>
      <c r="OE9" s="119"/>
      <c r="OF9" s="119"/>
      <c r="OG9" s="121"/>
      <c r="OH9" s="22"/>
      <c r="OI9" s="22"/>
      <c r="OJ9" s="119"/>
      <c r="OK9" s="119">
        <f>C9</f>
        <v>0</v>
      </c>
      <c r="OL9" s="119"/>
      <c r="OM9" s="119"/>
      <c r="ON9" s="119"/>
      <c r="OO9" s="121"/>
      <c r="OP9" s="22"/>
      <c r="OQ9" s="22"/>
      <c r="OT9" s="26">
        <f t="shared" si="6"/>
        <v>0</v>
      </c>
      <c r="OW9" s="23"/>
      <c r="OX9" s="22"/>
    </row>
    <row r="10" ht="18" customHeight="1" spans="1:425">
      <c r="C10" s="130" t="s">
        <v>431</v>
      </c>
      <c r="D10" s="119" t="s">
        <v>432</v>
      </c>
      <c r="E10" s="119" t="s">
        <v>433</v>
      </c>
      <c r="F10" s="131" t="s">
        <v>434</v>
      </c>
      <c r="G10" s="132" t="s">
        <v>435</v>
      </c>
      <c r="I10" s="122"/>
      <c r="J10" s="122"/>
      <c r="K10" s="119" t="str">
        <f t="shared" si="0"/>
        <v>日期</v>
      </c>
      <c r="L10" s="119" t="s">
        <v>432</v>
      </c>
      <c r="M10" s="119" t="s">
        <v>433</v>
      </c>
      <c r="N10" s="131" t="s">
        <v>434</v>
      </c>
      <c r="O10" s="132" t="s">
        <v>435</v>
      </c>
      <c r="Q10" s="122"/>
      <c r="R10" s="125"/>
      <c r="S10" s="119" t="str">
        <f t="shared" si="1"/>
        <v>日期</v>
      </c>
      <c r="T10" s="119" t="s">
        <v>432</v>
      </c>
      <c r="U10" s="119" t="s">
        <v>433</v>
      </c>
      <c r="V10" s="131" t="s">
        <v>434</v>
      </c>
      <c r="W10" s="132" t="s">
        <v>435</v>
      </c>
      <c r="Y10" s="122"/>
      <c r="Z10" s="125"/>
      <c r="AA10" s="119" t="str">
        <f t="shared" si="2"/>
        <v>日期</v>
      </c>
      <c r="AB10" s="119" t="s">
        <v>432</v>
      </c>
      <c r="AC10" s="119" t="s">
        <v>433</v>
      </c>
      <c r="AD10" s="131" t="s">
        <v>434</v>
      </c>
      <c r="AE10" s="132" t="s">
        <v>435</v>
      </c>
      <c r="AG10" s="122"/>
      <c r="AH10" s="125"/>
      <c r="AI10" s="119" t="str">
        <f t="shared" si="3"/>
        <v>日期</v>
      </c>
      <c r="AJ10" s="119" t="s">
        <v>432</v>
      </c>
      <c r="AK10" s="119" t="s">
        <v>433</v>
      </c>
      <c r="AL10" s="131" t="s">
        <v>434</v>
      </c>
      <c r="AM10" s="132" t="s">
        <v>435</v>
      </c>
      <c r="AP10" s="125"/>
      <c r="AQ10" s="119" t="str">
        <f t="shared" si="4"/>
        <v>日期</v>
      </c>
      <c r="AR10" s="120" t="s">
        <v>432</v>
      </c>
      <c r="AS10" s="119" t="s">
        <v>433</v>
      </c>
      <c r="AT10" s="131" t="s">
        <v>434</v>
      </c>
      <c r="AU10" s="132" t="s">
        <v>435</v>
      </c>
      <c r="AY10" s="133" t="s">
        <v>436</v>
      </c>
      <c r="AZ10" s="119" t="str">
        <f t="shared" si="5"/>
        <v>日期</v>
      </c>
      <c r="BA10" s="119" t="s">
        <v>432</v>
      </c>
      <c r="BB10" s="119" t="s">
        <v>433</v>
      </c>
      <c r="BC10" s="131" t="s">
        <v>434</v>
      </c>
      <c r="BD10" s="132" t="s">
        <v>435</v>
      </c>
      <c r="BG10" s="74"/>
      <c r="BH10" s="116" t="e">
        <f>#REF!</f>
        <v>#REF!</v>
      </c>
      <c r="BI10" s="116" t="s">
        <v>432</v>
      </c>
      <c r="BJ10" s="116" t="s">
        <v>433</v>
      </c>
      <c r="BK10" s="134" t="s">
        <v>434</v>
      </c>
      <c r="BL10" s="135" t="s">
        <v>435</v>
      </c>
      <c r="BM10" s="118" t="s">
        <v>437</v>
      </c>
      <c r="BN10" s="22" t="s">
        <v>438</v>
      </c>
      <c r="BO10" s="119"/>
      <c r="BP10" s="119" t="e">
        <f>#REF!</f>
        <v>#REF!</v>
      </c>
      <c r="BQ10" s="120" t="s">
        <v>432</v>
      </c>
      <c r="BR10" s="119" t="s">
        <v>433</v>
      </c>
      <c r="BS10" s="131" t="s">
        <v>434</v>
      </c>
      <c r="BT10" s="132" t="s">
        <v>435</v>
      </c>
      <c r="BW10" s="22"/>
      <c r="BX10" s="119" t="e">
        <f>#REF!</f>
        <v>#REF!</v>
      </c>
      <c r="BY10" s="119" t="s">
        <v>432</v>
      </c>
      <c r="BZ10" s="119" t="s">
        <v>433</v>
      </c>
      <c r="CA10" s="131" t="s">
        <v>434</v>
      </c>
      <c r="CB10" s="132" t="s">
        <v>435</v>
      </c>
      <c r="CE10" s="136"/>
      <c r="CF10" s="131" t="e">
        <f>#REF!</f>
        <v>#REF!</v>
      </c>
      <c r="CG10" s="131" t="s">
        <v>439</v>
      </c>
      <c r="CI10" s="131" t="s">
        <v>440</v>
      </c>
      <c r="CJ10" s="132" t="s">
        <v>441</v>
      </c>
      <c r="CM10" s="122"/>
      <c r="CN10" s="119" t="e">
        <f>#REF!</f>
        <v>#REF!</v>
      </c>
      <c r="CO10" s="119" t="s">
        <v>432</v>
      </c>
      <c r="CP10" s="119" t="s">
        <v>433</v>
      </c>
      <c r="CQ10" s="131" t="s">
        <v>434</v>
      </c>
      <c r="CR10" s="132" t="s">
        <v>435</v>
      </c>
      <c r="CS10" s="122"/>
      <c r="CU10" s="122"/>
      <c r="CV10" s="119" t="e">
        <f>#REF!</f>
        <v>#REF!</v>
      </c>
      <c r="CW10" s="119" t="s">
        <v>432</v>
      </c>
      <c r="CX10" s="119" t="s">
        <v>433</v>
      </c>
      <c r="CY10" s="131" t="s">
        <v>434</v>
      </c>
      <c r="CZ10" s="132" t="s">
        <v>435</v>
      </c>
      <c r="DC10" s="123"/>
      <c r="DD10" s="119" t="e">
        <f>#REF!</f>
        <v>#REF!</v>
      </c>
      <c r="DE10" s="119" t="s">
        <v>432</v>
      </c>
      <c r="DF10" s="119" t="s">
        <v>433</v>
      </c>
      <c r="DG10" s="131" t="s">
        <v>434</v>
      </c>
      <c r="DH10" s="132" t="s">
        <v>435</v>
      </c>
      <c r="DK10" s="22"/>
      <c r="DL10" s="119" t="e">
        <f>#REF!</f>
        <v>#REF!</v>
      </c>
      <c r="DM10" s="119" t="s">
        <v>432</v>
      </c>
      <c r="DN10" s="119" t="s">
        <v>433</v>
      </c>
      <c r="DO10" s="131" t="s">
        <v>434</v>
      </c>
      <c r="DP10" s="132" t="s">
        <v>435</v>
      </c>
      <c r="DS10" s="22"/>
      <c r="DT10" s="119" t="e">
        <f>#REF!</f>
        <v>#REF!</v>
      </c>
      <c r="DU10" s="119" t="s">
        <v>432</v>
      </c>
      <c r="DV10" s="119" t="s">
        <v>433</v>
      </c>
      <c r="DW10" s="131" t="s">
        <v>434</v>
      </c>
      <c r="DX10" s="132" t="s">
        <v>435</v>
      </c>
      <c r="EA10" s="22"/>
      <c r="EB10" s="119" t="e">
        <f>#REF!</f>
        <v>#REF!</v>
      </c>
      <c r="EC10" s="119" t="s">
        <v>432</v>
      </c>
      <c r="ED10" s="119" t="s">
        <v>433</v>
      </c>
      <c r="EE10" s="131" t="s">
        <v>434</v>
      </c>
      <c r="EF10" s="132" t="s">
        <v>435</v>
      </c>
      <c r="EI10" s="22"/>
      <c r="EJ10" s="119" t="e">
        <f>#REF!</f>
        <v>#REF!</v>
      </c>
      <c r="EK10" s="119" t="s">
        <v>432</v>
      </c>
      <c r="EL10" s="119" t="s">
        <v>433</v>
      </c>
      <c r="EM10" s="131" t="s">
        <v>434</v>
      </c>
      <c r="EN10" s="132" t="s">
        <v>435</v>
      </c>
      <c r="ER10" s="137" t="e">
        <f>#REF!</f>
        <v>#REF!</v>
      </c>
      <c r="ES10" s="119" t="s">
        <v>432</v>
      </c>
      <c r="ET10" s="119" t="s">
        <v>433</v>
      </c>
      <c r="EU10" s="131" t="s">
        <v>434</v>
      </c>
      <c r="EV10" s="132" t="s">
        <v>435</v>
      </c>
      <c r="EY10" s="22"/>
      <c r="EZ10" s="119" t="e">
        <f>#REF!</f>
        <v>#REF!</v>
      </c>
      <c r="FA10" s="119" t="s">
        <v>432</v>
      </c>
      <c r="FB10" s="119" t="s">
        <v>433</v>
      </c>
      <c r="FC10" s="131" t="s">
        <v>434</v>
      </c>
      <c r="FD10" s="132" t="s">
        <v>435</v>
      </c>
      <c r="FH10" s="119" t="e">
        <f>#REF!</f>
        <v>#REF!</v>
      </c>
      <c r="FI10" s="120" t="s">
        <v>439</v>
      </c>
      <c r="FJ10" s="125"/>
      <c r="FK10" s="119" t="s">
        <v>440</v>
      </c>
      <c r="FL10" s="121" t="s">
        <v>441</v>
      </c>
      <c r="FM10" s="122"/>
      <c r="FN10" s="122"/>
      <c r="FO10" s="119"/>
      <c r="FP10" s="119" t="e">
        <f>#REF!</f>
        <v>#REF!</v>
      </c>
      <c r="FQ10" s="119" t="s">
        <v>432</v>
      </c>
      <c r="FR10" s="119" t="s">
        <v>433</v>
      </c>
      <c r="FS10" s="131" t="s">
        <v>434</v>
      </c>
      <c r="FT10" s="132" t="s">
        <v>435</v>
      </c>
      <c r="FW10" s="119"/>
      <c r="FX10" s="119" t="e">
        <f>#REF!</f>
        <v>#REF!</v>
      </c>
      <c r="FY10" s="119" t="s">
        <v>432</v>
      </c>
      <c r="FZ10" s="119" t="s">
        <v>433</v>
      </c>
      <c r="GA10" s="131" t="s">
        <v>434</v>
      </c>
      <c r="GB10" s="132" t="s">
        <v>435</v>
      </c>
      <c r="GE10" s="119"/>
      <c r="GF10" s="119" t="e">
        <f>#REF!</f>
        <v>#REF!</v>
      </c>
      <c r="GG10" s="119" t="s">
        <v>432</v>
      </c>
      <c r="GH10" s="119" t="s">
        <v>433</v>
      </c>
      <c r="GI10" s="132" t="s">
        <v>434</v>
      </c>
      <c r="GJ10" s="132" t="s">
        <v>435</v>
      </c>
      <c r="GM10" s="119"/>
      <c r="GN10" s="119" t="e">
        <f>#REF!</f>
        <v>#REF!</v>
      </c>
      <c r="GO10" s="119" t="s">
        <v>432</v>
      </c>
      <c r="GP10" s="119" t="s">
        <v>433</v>
      </c>
      <c r="GQ10" s="131" t="s">
        <v>434</v>
      </c>
      <c r="GR10" s="132" t="s">
        <v>435</v>
      </c>
      <c r="GU10" s="119"/>
      <c r="GV10" s="119" t="e">
        <f>#REF!</f>
        <v>#REF!</v>
      </c>
      <c r="GW10" s="119" t="s">
        <v>432</v>
      </c>
      <c r="GX10" s="119" t="s">
        <v>433</v>
      </c>
      <c r="GY10" s="131" t="s">
        <v>434</v>
      </c>
      <c r="GZ10" s="132" t="s">
        <v>435</v>
      </c>
      <c r="HC10" s="119"/>
      <c r="HD10" s="119" t="e">
        <f>#REF!</f>
        <v>#REF!</v>
      </c>
      <c r="HE10" s="119" t="s">
        <v>432</v>
      </c>
      <c r="HF10" s="119" t="s">
        <v>433</v>
      </c>
      <c r="HG10" s="131" t="s">
        <v>434</v>
      </c>
      <c r="HH10" s="132" t="s">
        <v>435</v>
      </c>
      <c r="HI10" s="122"/>
      <c r="HK10" s="119"/>
      <c r="HL10" s="119" t="e">
        <f>#REF!</f>
        <v>#REF!</v>
      </c>
      <c r="HM10" s="119" t="s">
        <v>432</v>
      </c>
      <c r="HN10" s="119" t="s">
        <v>433</v>
      </c>
      <c r="HO10" s="131" t="s">
        <v>434</v>
      </c>
      <c r="HP10" s="132" t="s">
        <v>435</v>
      </c>
      <c r="HS10" s="119"/>
      <c r="HT10" s="119" t="e">
        <f>#REF!</f>
        <v>#REF!</v>
      </c>
      <c r="HU10" s="119" t="s">
        <v>432</v>
      </c>
      <c r="HV10" s="119" t="s">
        <v>433</v>
      </c>
      <c r="HW10" s="131" t="s">
        <v>434</v>
      </c>
      <c r="HX10" s="132" t="s">
        <v>435</v>
      </c>
      <c r="IA10" s="119"/>
      <c r="IB10" s="119" t="e">
        <f>#REF!</f>
        <v>#REF!</v>
      </c>
      <c r="IC10" s="119" t="s">
        <v>432</v>
      </c>
      <c r="ID10" s="119" t="s">
        <v>433</v>
      </c>
      <c r="IE10" s="131" t="s">
        <v>434</v>
      </c>
      <c r="IF10" s="132" t="s">
        <v>435</v>
      </c>
      <c r="IG10" s="136"/>
      <c r="II10" s="119"/>
      <c r="IJ10" s="119" t="e">
        <f>#REF!</f>
        <v>#REF!</v>
      </c>
      <c r="IK10" s="119" t="s">
        <v>432</v>
      </c>
      <c r="IL10" s="119" t="s">
        <v>433</v>
      </c>
      <c r="IM10" s="131" t="s">
        <v>434</v>
      </c>
      <c r="IN10" s="132" t="s">
        <v>435</v>
      </c>
      <c r="IQ10" s="119"/>
      <c r="IR10" s="119" t="e">
        <f>#REF!</f>
        <v>#REF!</v>
      </c>
      <c r="IS10" s="119" t="s">
        <v>432</v>
      </c>
      <c r="IT10" s="119" t="s">
        <v>433</v>
      </c>
      <c r="IU10" s="131" t="s">
        <v>434</v>
      </c>
      <c r="IV10" s="132" t="s">
        <v>435</v>
      </c>
      <c r="IY10" s="119"/>
      <c r="IZ10" s="119" t="e">
        <f>#REF!</f>
        <v>#REF!</v>
      </c>
      <c r="JA10" s="119" t="s">
        <v>432</v>
      </c>
      <c r="JB10" s="119" t="s">
        <v>433</v>
      </c>
      <c r="JC10" s="131" t="s">
        <v>434</v>
      </c>
      <c r="JD10" s="132" t="s">
        <v>435</v>
      </c>
      <c r="JG10" s="119"/>
      <c r="JH10" s="119" t="e">
        <f>#REF!</f>
        <v>#REF!</v>
      </c>
      <c r="JI10" s="119" t="s">
        <v>432</v>
      </c>
      <c r="JJ10" s="119" t="s">
        <v>433</v>
      </c>
      <c r="JK10" s="131" t="s">
        <v>434</v>
      </c>
      <c r="JL10" s="132" t="s">
        <v>435</v>
      </c>
      <c r="JP10" s="119" t="e">
        <f>#REF!</f>
        <v>#REF!</v>
      </c>
      <c r="JQ10" s="119" t="s">
        <v>432</v>
      </c>
      <c r="JR10" s="119" t="s">
        <v>433</v>
      </c>
      <c r="JS10" s="131" t="s">
        <v>434</v>
      </c>
      <c r="JT10" s="132" t="s">
        <v>435</v>
      </c>
      <c r="JW10" s="122"/>
      <c r="JX10" s="119" t="e">
        <f>#REF!</f>
        <v>#REF!</v>
      </c>
      <c r="JY10" s="119" t="s">
        <v>432</v>
      </c>
      <c r="JZ10" s="119" t="s">
        <v>433</v>
      </c>
      <c r="KA10" s="131" t="s">
        <v>434</v>
      </c>
      <c r="KB10" s="132" t="s">
        <v>435</v>
      </c>
      <c r="KE10" s="122"/>
      <c r="KF10" s="119" t="e">
        <f>#REF!</f>
        <v>#REF!</v>
      </c>
      <c r="KG10" s="119" t="s">
        <v>432</v>
      </c>
      <c r="KH10" s="119" t="s">
        <v>433</v>
      </c>
      <c r="KI10" s="131" t="s">
        <v>434</v>
      </c>
      <c r="KJ10" s="131" t="s">
        <v>435</v>
      </c>
      <c r="KK10" s="122"/>
      <c r="KL10" s="122"/>
      <c r="KM10" s="119"/>
      <c r="KN10" s="119" t="e">
        <f>#REF!</f>
        <v>#REF!</v>
      </c>
      <c r="KO10" s="119" t="s">
        <v>432</v>
      </c>
      <c r="KP10" s="119" t="s">
        <v>433</v>
      </c>
      <c r="KQ10" s="131" t="s">
        <v>434</v>
      </c>
      <c r="KR10" s="132" t="s">
        <v>435</v>
      </c>
      <c r="KU10" s="119"/>
      <c r="KV10" s="119" t="e">
        <f>#REF!</f>
        <v>#REF!</v>
      </c>
      <c r="KW10" s="119" t="s">
        <v>432</v>
      </c>
      <c r="KX10" s="119" t="s">
        <v>433</v>
      </c>
      <c r="KY10" s="131" t="s">
        <v>434</v>
      </c>
      <c r="KZ10" s="132" t="s">
        <v>435</v>
      </c>
      <c r="LA10" s="136"/>
      <c r="LC10" s="119"/>
      <c r="LD10" s="119" t="e">
        <f>#REF!</f>
        <v>#REF!</v>
      </c>
      <c r="LE10" s="119" t="s">
        <v>432</v>
      </c>
      <c r="LF10" s="119" t="s">
        <v>433</v>
      </c>
      <c r="LG10" s="131" t="s">
        <v>434</v>
      </c>
      <c r="LH10" s="132" t="s">
        <v>435</v>
      </c>
      <c r="LK10" s="119"/>
      <c r="LL10" s="119" t="e">
        <f>#REF!</f>
        <v>#REF!</v>
      </c>
      <c r="LM10" s="120" t="s">
        <v>432</v>
      </c>
      <c r="LN10" s="119" t="s">
        <v>433</v>
      </c>
      <c r="LO10" s="131" t="s">
        <v>434</v>
      </c>
      <c r="LP10" s="132" t="s">
        <v>435</v>
      </c>
      <c r="LS10" s="119"/>
      <c r="LT10" s="119" t="e">
        <f>#REF!</f>
        <v>#REF!</v>
      </c>
      <c r="LU10" s="119" t="s">
        <v>432</v>
      </c>
      <c r="LV10" s="119" t="s">
        <v>433</v>
      </c>
      <c r="LW10" s="131" t="s">
        <v>434</v>
      </c>
      <c r="LX10" s="132" t="s">
        <v>435</v>
      </c>
      <c r="MA10" s="119"/>
      <c r="MB10" s="119" t="e">
        <f>#REF!</f>
        <v>#REF!</v>
      </c>
      <c r="MC10" s="119" t="s">
        <v>432</v>
      </c>
      <c r="MD10" s="119" t="s">
        <v>433</v>
      </c>
      <c r="ME10" s="131" t="s">
        <v>434</v>
      </c>
      <c r="MF10" s="132" t="s">
        <v>435</v>
      </c>
      <c r="MI10" s="138"/>
      <c r="MJ10" s="133" t="s">
        <v>436</v>
      </c>
      <c r="MK10" s="119" t="e">
        <f>#REF!</f>
        <v>#REF!</v>
      </c>
      <c r="ML10" s="119" t="s">
        <v>432</v>
      </c>
      <c r="MM10" s="119" t="s">
        <v>433</v>
      </c>
      <c r="MN10" s="131" t="s">
        <v>434</v>
      </c>
      <c r="MO10" s="132" t="s">
        <v>435</v>
      </c>
      <c r="MQ10" s="128"/>
      <c r="MR10" s="128"/>
      <c r="MS10" s="133" t="s">
        <v>436</v>
      </c>
      <c r="MT10" s="139" t="e">
        <f>#REF!</f>
        <v>#REF!</v>
      </c>
      <c r="MU10" s="119" t="s">
        <v>432</v>
      </c>
      <c r="MV10" s="119" t="s">
        <v>433</v>
      </c>
      <c r="MW10" s="131" t="s">
        <v>434</v>
      </c>
      <c r="MX10" s="132" t="s">
        <v>435</v>
      </c>
      <c r="NB10" s="133" t="s">
        <v>436</v>
      </c>
      <c r="NC10" s="139" t="e">
        <f>#REF!</f>
        <v>#REF!</v>
      </c>
      <c r="ND10" s="119" t="s">
        <v>432</v>
      </c>
      <c r="NE10" s="119" t="s">
        <v>433</v>
      </c>
      <c r="NF10" s="131" t="s">
        <v>434</v>
      </c>
      <c r="NG10" s="132" t="s">
        <v>435</v>
      </c>
      <c r="NL10" s="137" t="s">
        <v>436</v>
      </c>
      <c r="NM10" s="139" t="e">
        <f>#REF!</f>
        <v>#REF!</v>
      </c>
      <c r="NN10" s="119" t="s">
        <v>432</v>
      </c>
      <c r="NO10" s="119" t="s">
        <v>433</v>
      </c>
      <c r="NP10" s="131" t="s">
        <v>434</v>
      </c>
      <c r="NQ10" s="132" t="s">
        <v>435</v>
      </c>
      <c r="NR10" s="140"/>
      <c r="NS10" s="133" t="s">
        <v>436</v>
      </c>
      <c r="NT10" s="124"/>
      <c r="NU10" s="119" t="e">
        <f>#REF!</f>
        <v>#REF!</v>
      </c>
      <c r="NV10" s="119" t="s">
        <v>432</v>
      </c>
      <c r="NW10" s="119" t="s">
        <v>433</v>
      </c>
      <c r="NX10" s="119" t="s">
        <v>434</v>
      </c>
      <c r="NY10" s="121" t="s">
        <v>435</v>
      </c>
      <c r="NZ10" s="121"/>
      <c r="OA10" s="119"/>
      <c r="OB10" s="119"/>
      <c r="OC10" s="119" t="e">
        <f>#REF!</f>
        <v>#REF!</v>
      </c>
      <c r="OD10" s="119" t="s">
        <v>432</v>
      </c>
      <c r="OE10" s="119" t="s">
        <v>433</v>
      </c>
      <c r="OF10" s="131" t="s">
        <v>434</v>
      </c>
      <c r="OG10" s="132" t="s">
        <v>435</v>
      </c>
      <c r="OJ10" s="119"/>
      <c r="OK10" s="119" t="e">
        <f>#REF!</f>
        <v>#REF!</v>
      </c>
      <c r="OL10" s="119" t="s">
        <v>432</v>
      </c>
      <c r="OM10" s="119" t="s">
        <v>433</v>
      </c>
      <c r="ON10" s="131" t="s">
        <v>434</v>
      </c>
      <c r="OO10" s="132" t="s">
        <v>435</v>
      </c>
      <c r="OT10" s="139" t="e">
        <f t="shared" si="6"/>
        <v>#REF!</v>
      </c>
      <c r="OU10" s="119" t="s">
        <v>432</v>
      </c>
      <c r="OV10" s="119" t="s">
        <v>433</v>
      </c>
      <c r="OW10" s="141" t="s">
        <v>434</v>
      </c>
      <c r="OX10" s="132" t="s">
        <v>435</v>
      </c>
    </row>
    <row r="11" ht="18" customHeight="1" spans="1:425">
      <c r="C11" s="142"/>
      <c r="D11" s="125" t="s">
        <v>442</v>
      </c>
      <c r="E11" s="125" t="s">
        <v>442</v>
      </c>
      <c r="F11" s="143" t="s">
        <v>442</v>
      </c>
      <c r="G11" s="144"/>
      <c r="I11" s="122"/>
      <c r="J11" s="122"/>
      <c r="K11" s="144">
        <f t="shared" si="0"/>
        <v>0</v>
      </c>
      <c r="L11" s="125" t="s">
        <v>442</v>
      </c>
      <c r="M11" s="125" t="s">
        <v>442</v>
      </c>
      <c r="N11" s="143" t="s">
        <v>442</v>
      </c>
      <c r="O11" s="144"/>
      <c r="Q11" s="122"/>
      <c r="R11" s="125"/>
      <c r="S11" s="144">
        <f t="shared" si="1"/>
        <v>0</v>
      </c>
      <c r="T11" s="125" t="s">
        <v>442</v>
      </c>
      <c r="U11" s="125" t="s">
        <v>442</v>
      </c>
      <c r="V11" s="143" t="s">
        <v>442</v>
      </c>
      <c r="W11" s="144"/>
      <c r="Y11" s="122"/>
      <c r="Z11" s="125"/>
      <c r="AA11" s="144">
        <f t="shared" si="2"/>
        <v>0</v>
      </c>
      <c r="AB11" s="125" t="s">
        <v>442</v>
      </c>
      <c r="AC11" s="125" t="s">
        <v>442</v>
      </c>
      <c r="AD11" s="143" t="s">
        <v>442</v>
      </c>
      <c r="AE11" s="144"/>
      <c r="AG11" s="122"/>
      <c r="AH11" s="125"/>
      <c r="AI11" s="144">
        <f t="shared" si="3"/>
        <v>0</v>
      </c>
      <c r="AJ11" s="125" t="s">
        <v>442</v>
      </c>
      <c r="AK11" s="125" t="s">
        <v>442</v>
      </c>
      <c r="AL11" s="143" t="s">
        <v>442</v>
      </c>
      <c r="AM11" s="144"/>
      <c r="AP11" s="125"/>
      <c r="AQ11" s="144">
        <f t="shared" si="4"/>
        <v>0</v>
      </c>
      <c r="AR11" s="145" t="s">
        <v>442</v>
      </c>
      <c r="AS11" s="125" t="s">
        <v>442</v>
      </c>
      <c r="AT11" s="143" t="s">
        <v>442</v>
      </c>
      <c r="AU11" s="144"/>
      <c r="AY11" s="146"/>
      <c r="AZ11" s="144">
        <f t="shared" si="5"/>
        <v>0</v>
      </c>
      <c r="BA11" s="125" t="s">
        <v>442</v>
      </c>
      <c r="BB11" s="125" t="s">
        <v>442</v>
      </c>
      <c r="BC11" s="143" t="s">
        <v>442</v>
      </c>
      <c r="BD11" s="144"/>
      <c r="BG11" s="74"/>
      <c r="BH11" s="144" t="str">
        <f>C10</f>
        <v>日期</v>
      </c>
      <c r="BI11" s="116" t="s">
        <v>442</v>
      </c>
      <c r="BJ11" s="116" t="s">
        <v>442</v>
      </c>
      <c r="BK11" s="134" t="s">
        <v>442</v>
      </c>
      <c r="BL11" s="144"/>
      <c r="BM11" s="118"/>
      <c r="BO11" s="144"/>
      <c r="BP11" s="144" t="str">
        <f>C10</f>
        <v>日期</v>
      </c>
      <c r="BQ11" s="145" t="s">
        <v>442</v>
      </c>
      <c r="BR11" s="125" t="s">
        <v>442</v>
      </c>
      <c r="BS11" s="143" t="s">
        <v>442</v>
      </c>
      <c r="BT11" s="144"/>
      <c r="BW11" s="22"/>
      <c r="BX11" s="144" t="str">
        <f>C10</f>
        <v>日期</v>
      </c>
      <c r="BY11" s="125" t="s">
        <v>442</v>
      </c>
      <c r="BZ11" s="125" t="s">
        <v>442</v>
      </c>
      <c r="CA11" s="143" t="s">
        <v>442</v>
      </c>
      <c r="CB11" s="144"/>
      <c r="CE11" s="136"/>
      <c r="CF11" s="144" t="str">
        <f>C10</f>
        <v>日期</v>
      </c>
      <c r="CG11" s="143" t="s">
        <v>442</v>
      </c>
      <c r="CI11" s="143" t="s">
        <v>442</v>
      </c>
      <c r="CJ11" s="144"/>
      <c r="CM11" s="122"/>
      <c r="CN11" s="144" t="str">
        <f>C10</f>
        <v>日期</v>
      </c>
      <c r="CO11" s="125" t="s">
        <v>442</v>
      </c>
      <c r="CP11" s="125" t="s">
        <v>442</v>
      </c>
      <c r="CQ11" s="143" t="s">
        <v>442</v>
      </c>
      <c r="CR11" s="144"/>
      <c r="CS11" s="122"/>
      <c r="CU11" s="122"/>
      <c r="CV11" s="144" t="str">
        <f>C10</f>
        <v>日期</v>
      </c>
      <c r="CW11" s="125" t="s">
        <v>442</v>
      </c>
      <c r="CX11" s="125" t="s">
        <v>442</v>
      </c>
      <c r="CY11" s="143" t="s">
        <v>442</v>
      </c>
      <c r="CZ11" s="144"/>
      <c r="DC11" s="147"/>
      <c r="DD11" s="144" t="str">
        <f>C10</f>
        <v>日期</v>
      </c>
      <c r="DE11" s="125" t="s">
        <v>442</v>
      </c>
      <c r="DF11" s="125" t="s">
        <v>442</v>
      </c>
      <c r="DG11" s="143" t="s">
        <v>442</v>
      </c>
      <c r="DH11" s="144"/>
      <c r="DK11" s="22"/>
      <c r="DL11" s="144" t="str">
        <f>C10</f>
        <v>日期</v>
      </c>
      <c r="DM11" s="125" t="s">
        <v>442</v>
      </c>
      <c r="DN11" s="125" t="s">
        <v>442</v>
      </c>
      <c r="DO11" s="143" t="s">
        <v>442</v>
      </c>
      <c r="DP11" s="144"/>
      <c r="DS11" s="22"/>
      <c r="DT11" s="144" t="str">
        <f>C10</f>
        <v>日期</v>
      </c>
      <c r="DU11" s="125" t="s">
        <v>442</v>
      </c>
      <c r="DV11" s="125" t="s">
        <v>442</v>
      </c>
      <c r="DW11" s="143" t="s">
        <v>442</v>
      </c>
      <c r="DX11" s="144"/>
      <c r="EA11" s="22"/>
      <c r="EB11" s="144" t="str">
        <f>C10</f>
        <v>日期</v>
      </c>
      <c r="EC11" s="125" t="s">
        <v>442</v>
      </c>
      <c r="ED11" s="125" t="s">
        <v>442</v>
      </c>
      <c r="EE11" s="143" t="s">
        <v>442</v>
      </c>
      <c r="EF11" s="144"/>
      <c r="EI11" s="22"/>
      <c r="EJ11" s="144" t="str">
        <f>C10</f>
        <v>日期</v>
      </c>
      <c r="EK11" s="125" t="s">
        <v>442</v>
      </c>
      <c r="EL11" s="125" t="s">
        <v>442</v>
      </c>
      <c r="EM11" s="143" t="s">
        <v>442</v>
      </c>
      <c r="EN11" s="144"/>
      <c r="ER11" s="146" t="str">
        <f>C10</f>
        <v>日期</v>
      </c>
      <c r="ES11" s="125" t="s">
        <v>442</v>
      </c>
      <c r="ET11" s="125" t="s">
        <v>442</v>
      </c>
      <c r="EU11" s="143" t="s">
        <v>442</v>
      </c>
      <c r="EV11" s="144"/>
      <c r="EY11" s="22"/>
      <c r="EZ11" s="144" t="str">
        <f>C10</f>
        <v>日期</v>
      </c>
      <c r="FA11" s="125" t="s">
        <v>442</v>
      </c>
      <c r="FB11" s="125" t="s">
        <v>442</v>
      </c>
      <c r="FC11" s="143" t="s">
        <v>442</v>
      </c>
      <c r="FD11" s="144"/>
      <c r="FH11" s="144" t="str">
        <f>C10</f>
        <v>日期</v>
      </c>
      <c r="FI11" s="145" t="s">
        <v>442</v>
      </c>
      <c r="FJ11" s="125"/>
      <c r="FK11" s="125" t="s">
        <v>442</v>
      </c>
      <c r="FL11" s="144"/>
      <c r="FM11" s="122"/>
      <c r="FN11" s="122"/>
      <c r="FO11" s="144"/>
      <c r="FP11" s="144" t="str">
        <f>C10</f>
        <v>日期</v>
      </c>
      <c r="FQ11" s="125" t="s">
        <v>442</v>
      </c>
      <c r="FR11" s="125" t="s">
        <v>442</v>
      </c>
      <c r="FS11" s="143" t="s">
        <v>442</v>
      </c>
      <c r="FT11" s="144"/>
      <c r="FW11" s="144"/>
      <c r="FX11" s="144" t="str">
        <f>C10</f>
        <v>日期</v>
      </c>
      <c r="FY11" s="125" t="s">
        <v>442</v>
      </c>
      <c r="FZ11" s="125" t="s">
        <v>442</v>
      </c>
      <c r="GA11" s="143" t="s">
        <v>442</v>
      </c>
      <c r="GB11" s="144"/>
      <c r="GE11" s="144"/>
      <c r="GF11" s="144" t="str">
        <f>C10</f>
        <v>日期</v>
      </c>
      <c r="GG11" s="125" t="s">
        <v>442</v>
      </c>
      <c r="GH11" s="125" t="s">
        <v>442</v>
      </c>
      <c r="GI11" s="143" t="s">
        <v>442</v>
      </c>
      <c r="GJ11" s="144"/>
      <c r="GM11" s="144"/>
      <c r="GN11" s="144" t="str">
        <f>C10</f>
        <v>日期</v>
      </c>
      <c r="GO11" s="125" t="s">
        <v>442</v>
      </c>
      <c r="GP11" s="125" t="s">
        <v>442</v>
      </c>
      <c r="GQ11" s="143" t="s">
        <v>442</v>
      </c>
      <c r="GR11" s="144"/>
      <c r="GU11" s="144"/>
      <c r="GV11" s="144" t="str">
        <f>C10</f>
        <v>日期</v>
      </c>
      <c r="GW11" s="125" t="s">
        <v>442</v>
      </c>
      <c r="GX11" s="125" t="s">
        <v>442</v>
      </c>
      <c r="GY11" s="143" t="s">
        <v>442</v>
      </c>
      <c r="GZ11" s="144"/>
      <c r="HC11" s="144"/>
      <c r="HD11" s="144" t="str">
        <f>C10</f>
        <v>日期</v>
      </c>
      <c r="HE11" s="125" t="s">
        <v>442</v>
      </c>
      <c r="HF11" s="125" t="s">
        <v>442</v>
      </c>
      <c r="HG11" s="143" t="s">
        <v>442</v>
      </c>
      <c r="HH11" s="144"/>
      <c r="HI11" s="122"/>
      <c r="HK11" s="144"/>
      <c r="HL11" s="144" t="str">
        <f>C10</f>
        <v>日期</v>
      </c>
      <c r="HM11" s="125" t="s">
        <v>442</v>
      </c>
      <c r="HN11" s="125" t="s">
        <v>442</v>
      </c>
      <c r="HO11" s="143" t="s">
        <v>442</v>
      </c>
      <c r="HP11" s="144"/>
      <c r="HS11" s="144"/>
      <c r="HT11" s="144" t="str">
        <f>C10</f>
        <v>日期</v>
      </c>
      <c r="HU11" s="125" t="s">
        <v>442</v>
      </c>
      <c r="HV11" s="125" t="s">
        <v>442</v>
      </c>
      <c r="HW11" s="143" t="s">
        <v>442</v>
      </c>
      <c r="HX11" s="144"/>
      <c r="IA11" s="144"/>
      <c r="IB11" s="144" t="str">
        <f>C10</f>
        <v>日期</v>
      </c>
      <c r="IC11" s="125" t="s">
        <v>442</v>
      </c>
      <c r="ID11" s="125" t="s">
        <v>442</v>
      </c>
      <c r="IE11" s="143" t="s">
        <v>442</v>
      </c>
      <c r="IF11" s="144"/>
      <c r="IG11" s="136"/>
      <c r="II11" s="144"/>
      <c r="IJ11" s="144" t="str">
        <f>C10</f>
        <v>日期</v>
      </c>
      <c r="IK11" s="125" t="s">
        <v>442</v>
      </c>
      <c r="IL11" s="125" t="s">
        <v>442</v>
      </c>
      <c r="IM11" s="143" t="s">
        <v>442</v>
      </c>
      <c r="IN11" s="144"/>
      <c r="IQ11" s="144"/>
      <c r="IR11" s="144" t="str">
        <f>C10</f>
        <v>日期</v>
      </c>
      <c r="IS11" s="125" t="s">
        <v>442</v>
      </c>
      <c r="IT11" s="125" t="s">
        <v>442</v>
      </c>
      <c r="IU11" s="143" t="s">
        <v>442</v>
      </c>
      <c r="IV11" s="144"/>
      <c r="IY11" s="144"/>
      <c r="IZ11" s="144" t="str">
        <f>C10</f>
        <v>日期</v>
      </c>
      <c r="JA11" s="125" t="s">
        <v>442</v>
      </c>
      <c r="JB11" s="125" t="s">
        <v>442</v>
      </c>
      <c r="JC11" s="143" t="s">
        <v>442</v>
      </c>
      <c r="JD11" s="144"/>
      <c r="JG11" s="144"/>
      <c r="JH11" s="144" t="str">
        <f>C10</f>
        <v>日期</v>
      </c>
      <c r="JI11" s="125" t="s">
        <v>442</v>
      </c>
      <c r="JJ11" s="125" t="s">
        <v>442</v>
      </c>
      <c r="JK11" s="143" t="s">
        <v>442</v>
      </c>
      <c r="JL11" s="144"/>
      <c r="JP11" s="144" t="str">
        <f>C10</f>
        <v>日期</v>
      </c>
      <c r="JQ11" s="125" t="s">
        <v>442</v>
      </c>
      <c r="JR11" s="125" t="s">
        <v>442</v>
      </c>
      <c r="JS11" s="143" t="s">
        <v>442</v>
      </c>
      <c r="JT11" s="144"/>
      <c r="JW11" s="122"/>
      <c r="JX11" s="144" t="str">
        <f>C10</f>
        <v>日期</v>
      </c>
      <c r="JY11" s="125" t="s">
        <v>442</v>
      </c>
      <c r="JZ11" s="125" t="s">
        <v>442</v>
      </c>
      <c r="KA11" s="143" t="s">
        <v>442</v>
      </c>
      <c r="KB11" s="144"/>
      <c r="KE11" s="122"/>
      <c r="KF11" s="144" t="str">
        <f>C10</f>
        <v>日期</v>
      </c>
      <c r="KG11" s="125" t="s">
        <v>442</v>
      </c>
      <c r="KH11" s="125" t="s">
        <v>442</v>
      </c>
      <c r="KI11" s="143" t="s">
        <v>442</v>
      </c>
      <c r="KJ11" s="144"/>
      <c r="KK11" s="122"/>
      <c r="KL11" s="122"/>
      <c r="KM11" s="144"/>
      <c r="KN11" s="144" t="str">
        <f>C10</f>
        <v>日期</v>
      </c>
      <c r="KO11" s="125" t="s">
        <v>442</v>
      </c>
      <c r="KP11" s="125" t="s">
        <v>442</v>
      </c>
      <c r="KQ11" s="143" t="s">
        <v>442</v>
      </c>
      <c r="KR11" s="144"/>
      <c r="KU11" s="144"/>
      <c r="KV11" s="144" t="str">
        <f>C10</f>
        <v>日期</v>
      </c>
      <c r="KW11" s="125" t="s">
        <v>442</v>
      </c>
      <c r="KX11" s="125" t="s">
        <v>442</v>
      </c>
      <c r="KY11" s="143" t="s">
        <v>442</v>
      </c>
      <c r="KZ11" s="144"/>
      <c r="LA11" s="144"/>
      <c r="LC11" s="144"/>
      <c r="LD11" s="144" t="str">
        <f>C10</f>
        <v>日期</v>
      </c>
      <c r="LE11" s="125" t="s">
        <v>442</v>
      </c>
      <c r="LF11" s="125" t="s">
        <v>442</v>
      </c>
      <c r="LG11" s="143" t="s">
        <v>442</v>
      </c>
      <c r="LH11" s="144"/>
      <c r="LK11" s="144"/>
      <c r="LL11" s="144" t="str">
        <f>C10</f>
        <v>日期</v>
      </c>
      <c r="LM11" s="145" t="s">
        <v>442</v>
      </c>
      <c r="LN11" s="125" t="s">
        <v>442</v>
      </c>
      <c r="LO11" s="143" t="s">
        <v>442</v>
      </c>
      <c r="LP11" s="144"/>
      <c r="LS11" s="144"/>
      <c r="LT11" s="144" t="str">
        <f>C10</f>
        <v>日期</v>
      </c>
      <c r="LU11" s="125" t="s">
        <v>442</v>
      </c>
      <c r="LV11" s="125" t="s">
        <v>442</v>
      </c>
      <c r="LW11" s="143" t="s">
        <v>442</v>
      </c>
      <c r="LX11" s="144"/>
      <c r="MA11" s="144"/>
      <c r="MB11" s="144" t="str">
        <f>C10</f>
        <v>日期</v>
      </c>
      <c r="MC11" s="125" t="s">
        <v>442</v>
      </c>
      <c r="MD11" s="125" t="s">
        <v>442</v>
      </c>
      <c r="ME11" s="143" t="s">
        <v>442</v>
      </c>
      <c r="MF11" s="144"/>
      <c r="MI11" s="138"/>
      <c r="MJ11" s="146"/>
      <c r="MK11" s="144" t="str">
        <f>C10</f>
        <v>日期</v>
      </c>
      <c r="ML11" s="125" t="s">
        <v>442</v>
      </c>
      <c r="MM11" s="125" t="s">
        <v>442</v>
      </c>
      <c r="MN11" s="143" t="s">
        <v>442</v>
      </c>
      <c r="MO11" s="144"/>
      <c r="MQ11" s="127"/>
      <c r="MR11" s="127"/>
      <c r="MS11" s="146"/>
      <c r="MT11" s="144" t="str">
        <f>C10</f>
        <v>日期</v>
      </c>
      <c r="MU11" s="125" t="s">
        <v>442</v>
      </c>
      <c r="MV11" s="125" t="s">
        <v>442</v>
      </c>
      <c r="MW11" s="143" t="s">
        <v>442</v>
      </c>
      <c r="MX11" s="144"/>
      <c r="NB11" s="146"/>
      <c r="NC11" s="144" t="str">
        <f>C10</f>
        <v>日期</v>
      </c>
      <c r="ND11" s="125" t="s">
        <v>442</v>
      </c>
      <c r="NE11" s="125" t="s">
        <v>442</v>
      </c>
      <c r="NF11" s="143" t="s">
        <v>442</v>
      </c>
      <c r="NG11" s="144"/>
      <c r="NL11" s="146"/>
      <c r="NM11" s="144" t="str">
        <f>C10</f>
        <v>日期</v>
      </c>
      <c r="NN11" s="125" t="s">
        <v>442</v>
      </c>
      <c r="NO11" s="125" t="s">
        <v>442</v>
      </c>
      <c r="NP11" s="143" t="s">
        <v>442</v>
      </c>
      <c r="NQ11" s="144"/>
      <c r="NR11" s="140"/>
      <c r="NS11" s="146"/>
      <c r="NU11" s="144" t="str">
        <f>C10</f>
        <v>日期</v>
      </c>
      <c r="NV11" s="125" t="s">
        <v>442</v>
      </c>
      <c r="NW11" s="125" t="s">
        <v>442</v>
      </c>
      <c r="NX11" s="125" t="s">
        <v>442</v>
      </c>
      <c r="NY11" s="144"/>
      <c r="NZ11" s="122"/>
      <c r="OA11" s="125"/>
      <c r="OB11" s="144"/>
      <c r="OC11" s="144" t="str">
        <f>C10</f>
        <v>日期</v>
      </c>
      <c r="OD11" s="125" t="s">
        <v>442</v>
      </c>
      <c r="OE11" s="125" t="s">
        <v>442</v>
      </c>
      <c r="OF11" s="143" t="s">
        <v>442</v>
      </c>
      <c r="OG11" s="144"/>
      <c r="OJ11" s="144"/>
      <c r="OK11" s="144" t="str">
        <f>C10</f>
        <v>日期</v>
      </c>
      <c r="OL11" s="125" t="s">
        <v>442</v>
      </c>
      <c r="OM11" s="125" t="s">
        <v>442</v>
      </c>
      <c r="ON11" s="143" t="s">
        <v>442</v>
      </c>
      <c r="OO11" s="144"/>
      <c r="OT11" s="148" t="str">
        <f t="shared" si="6"/>
        <v>日期</v>
      </c>
      <c r="OU11" s="125" t="s">
        <v>442</v>
      </c>
      <c r="OV11" s="125" t="s">
        <v>442</v>
      </c>
      <c r="OW11" s="149" t="s">
        <v>442</v>
      </c>
    </row>
    <row r="12" s="6" customFormat="1" ht="17" customHeight="1" spans="1:425">
      <c r="A12" s="150"/>
      <c r="B12" s="151"/>
      <c r="C12" s="150"/>
      <c r="BE12" s="152"/>
      <c r="BF12" s="152"/>
      <c r="BG12" s="153"/>
      <c r="BH12" s="154"/>
      <c r="BI12" s="154"/>
      <c r="BJ12" s="155"/>
      <c r="BK12" s="155"/>
      <c r="BL12" s="156"/>
      <c r="BM12" s="157"/>
      <c r="BN12" s="158"/>
      <c r="BO12" s="154"/>
      <c r="BP12" s="154"/>
      <c r="BQ12" s="159"/>
      <c r="BR12" s="160"/>
      <c r="BS12" s="160"/>
      <c r="BT12" s="161"/>
      <c r="BU12" s="158"/>
      <c r="BW12" s="158"/>
      <c r="BX12" s="154"/>
      <c r="BY12" s="162"/>
      <c r="BZ12" s="160"/>
      <c r="CA12" s="160"/>
      <c r="CB12" s="161"/>
      <c r="CC12" s="158"/>
      <c r="CE12" s="163"/>
      <c r="CF12" s="154"/>
      <c r="CG12" s="162"/>
      <c r="CH12" s="160"/>
      <c r="CI12" s="160"/>
      <c r="CJ12" s="161"/>
      <c r="CK12" s="158"/>
      <c r="CM12" s="163"/>
      <c r="CN12" s="154"/>
      <c r="CO12" s="162"/>
      <c r="CP12" s="160"/>
      <c r="CQ12" s="160"/>
      <c r="CR12" s="161"/>
      <c r="CS12" s="163"/>
      <c r="CU12" s="163"/>
      <c r="CV12" s="154"/>
      <c r="CW12" s="162"/>
      <c r="CX12" s="160"/>
      <c r="CY12" s="160"/>
      <c r="CZ12" s="161"/>
      <c r="DA12" s="158"/>
      <c r="DB12" s="158"/>
      <c r="DC12" s="164"/>
      <c r="DD12" s="154"/>
      <c r="DE12" s="162"/>
      <c r="DF12" s="160"/>
      <c r="DG12" s="160"/>
      <c r="DH12" s="161"/>
      <c r="DI12" s="158"/>
      <c r="DK12" s="158"/>
      <c r="DL12" s="154"/>
      <c r="DM12" s="162"/>
      <c r="DN12" s="160"/>
      <c r="DO12" s="160"/>
      <c r="DP12" s="161"/>
      <c r="DQ12" s="158"/>
      <c r="DS12" s="158"/>
      <c r="DT12" s="154"/>
      <c r="DU12" s="162"/>
      <c r="DV12" s="160"/>
      <c r="DW12" s="160"/>
      <c r="DX12" s="161"/>
      <c r="DY12" s="158"/>
      <c r="EA12" s="158"/>
      <c r="EB12" s="154"/>
      <c r="EC12" s="162"/>
      <c r="ED12" s="160"/>
      <c r="EE12" s="160"/>
      <c r="EF12" s="161"/>
      <c r="EG12" s="158"/>
      <c r="EI12" s="158"/>
      <c r="EJ12" s="154"/>
      <c r="EK12" s="162"/>
      <c r="EL12" s="160"/>
      <c r="EM12" s="160"/>
      <c r="EN12" s="161"/>
      <c r="EO12" s="158"/>
      <c r="EQ12" s="158"/>
      <c r="ER12" s="154"/>
      <c r="ET12" s="160"/>
      <c r="EU12" s="160"/>
      <c r="EV12" s="161"/>
      <c r="EW12" s="158"/>
      <c r="EY12" s="158"/>
      <c r="EZ12" s="154"/>
      <c r="FA12" s="162"/>
      <c r="FB12" s="160"/>
      <c r="FC12" s="160"/>
      <c r="FD12" s="161"/>
      <c r="FE12" s="158"/>
      <c r="FF12" s="158"/>
      <c r="FG12" s="158"/>
      <c r="FH12" s="154"/>
      <c r="FI12" s="159"/>
      <c r="FJ12" s="160"/>
      <c r="FK12" s="160"/>
      <c r="FL12" s="161"/>
      <c r="FM12" s="163"/>
      <c r="FN12" s="163"/>
      <c r="FO12" s="154"/>
      <c r="FP12" s="154"/>
      <c r="FQ12" s="162"/>
      <c r="FR12" s="160"/>
      <c r="FS12" s="160"/>
      <c r="FT12" s="161"/>
      <c r="FU12" s="158"/>
      <c r="FV12" s="158"/>
      <c r="FW12" s="154"/>
      <c r="FX12" s="154"/>
      <c r="FY12" s="162"/>
      <c r="FZ12" s="160"/>
      <c r="GA12" s="160"/>
      <c r="GB12" s="161"/>
      <c r="GC12" s="158"/>
      <c r="GD12" s="158"/>
      <c r="GE12" s="154"/>
      <c r="GF12" s="154"/>
      <c r="GG12" s="162"/>
      <c r="GH12" s="160"/>
      <c r="GI12" s="160"/>
      <c r="GJ12" s="161"/>
      <c r="GK12" s="158"/>
      <c r="GL12" s="158"/>
      <c r="GM12" s="154"/>
      <c r="GN12" s="154"/>
      <c r="GO12" s="162"/>
      <c r="GP12" s="160"/>
      <c r="GQ12" s="160"/>
      <c r="GR12" s="161"/>
      <c r="GS12" s="158"/>
      <c r="GT12" s="158"/>
      <c r="GU12" s="154"/>
      <c r="GV12" s="154"/>
      <c r="GW12" s="162"/>
      <c r="GX12" s="160"/>
      <c r="GY12" s="160"/>
      <c r="GZ12" s="161"/>
      <c r="HA12" s="158"/>
      <c r="HB12" s="158"/>
      <c r="HC12" s="154"/>
      <c r="HD12" s="154"/>
      <c r="HE12" s="162"/>
      <c r="HF12" s="160"/>
      <c r="HG12" s="160"/>
      <c r="HH12" s="161"/>
      <c r="HI12" s="163"/>
      <c r="HJ12" s="158"/>
      <c r="HK12" s="154"/>
      <c r="HL12" s="154"/>
      <c r="HM12" s="162"/>
      <c r="HN12" s="160"/>
      <c r="HO12" s="160"/>
      <c r="HP12" s="161"/>
      <c r="HQ12" s="158"/>
      <c r="HR12" s="158"/>
      <c r="HS12" s="154"/>
      <c r="HT12" s="154"/>
      <c r="HU12" s="162"/>
      <c r="HV12" s="160"/>
      <c r="HW12" s="160"/>
      <c r="HX12" s="161"/>
      <c r="HY12" s="158"/>
      <c r="HZ12" s="158"/>
      <c r="IA12" s="154"/>
      <c r="IB12" s="154"/>
      <c r="IC12" s="162"/>
      <c r="ID12" s="160"/>
      <c r="IE12" s="160"/>
      <c r="IF12" s="161"/>
      <c r="IG12" s="163"/>
      <c r="IH12" s="158"/>
      <c r="II12" s="154"/>
      <c r="IJ12" s="154"/>
      <c r="IK12" s="162"/>
      <c r="IL12" s="160"/>
      <c r="IM12" s="160"/>
      <c r="IN12" s="161"/>
      <c r="IO12" s="158"/>
      <c r="IP12" s="158"/>
      <c r="IQ12" s="154"/>
      <c r="IR12" s="154"/>
      <c r="IS12" s="162"/>
      <c r="IT12" s="160"/>
      <c r="IU12" s="160"/>
      <c r="IV12" s="161"/>
      <c r="IW12" s="158"/>
      <c r="IX12" s="158"/>
      <c r="IY12" s="154"/>
      <c r="IZ12" s="154"/>
      <c r="JA12" s="162"/>
      <c r="JB12" s="160"/>
      <c r="JC12" s="160"/>
      <c r="JD12" s="161"/>
      <c r="JE12" s="158"/>
      <c r="JF12" s="158"/>
      <c r="JG12" s="154"/>
      <c r="JH12" s="154"/>
      <c r="JI12" s="162"/>
      <c r="JJ12" s="160"/>
      <c r="JK12" s="160"/>
      <c r="JL12" s="161"/>
      <c r="JM12" s="158"/>
      <c r="JN12" s="158"/>
      <c r="JO12" s="158"/>
      <c r="JP12" s="154"/>
      <c r="JQ12" s="162"/>
      <c r="JR12" s="160"/>
      <c r="JS12" s="160"/>
      <c r="JT12" s="161"/>
      <c r="JU12" s="158"/>
      <c r="JV12" s="158"/>
      <c r="JW12" s="163"/>
      <c r="JX12" s="154"/>
      <c r="JY12" s="162"/>
      <c r="JZ12" s="160"/>
      <c r="KA12" s="160"/>
      <c r="KB12" s="161"/>
      <c r="KC12" s="158"/>
      <c r="KD12" s="158"/>
      <c r="KE12" s="163"/>
      <c r="KF12" s="154"/>
      <c r="KG12" s="162"/>
      <c r="KH12" s="160"/>
      <c r="KI12" s="160"/>
      <c r="KJ12" s="161"/>
      <c r="KK12" s="163"/>
      <c r="KL12" s="163"/>
      <c r="KM12" s="154"/>
      <c r="KN12" s="154"/>
      <c r="KO12" s="162"/>
      <c r="KP12" s="160"/>
      <c r="KQ12" s="160"/>
      <c r="KR12" s="161"/>
      <c r="KS12" s="158"/>
      <c r="KT12" s="158"/>
      <c r="KU12" s="154"/>
      <c r="KV12" s="154"/>
      <c r="KW12" s="162"/>
      <c r="KX12" s="160"/>
      <c r="KY12" s="160"/>
      <c r="KZ12" s="161"/>
      <c r="LA12" s="163"/>
      <c r="LB12" s="158"/>
      <c r="LC12" s="154"/>
      <c r="LD12" s="154"/>
      <c r="LE12" s="162"/>
      <c r="LF12" s="160"/>
      <c r="LG12" s="160"/>
      <c r="LH12" s="161"/>
      <c r="LI12" s="158"/>
      <c r="LJ12" s="158"/>
      <c r="LK12" s="154"/>
      <c r="LL12" s="154"/>
      <c r="LM12" s="159"/>
      <c r="LN12" s="160"/>
      <c r="LO12" s="160"/>
      <c r="LP12" s="161"/>
      <c r="LQ12" s="158"/>
      <c r="LR12" s="158"/>
      <c r="LS12" s="154"/>
      <c r="LT12" s="154"/>
      <c r="LU12" s="162"/>
      <c r="LV12" s="160"/>
      <c r="LW12" s="160"/>
      <c r="LX12" s="161"/>
      <c r="LY12" s="158"/>
      <c r="LZ12" s="158"/>
      <c r="MA12" s="154"/>
      <c r="MB12" s="154"/>
      <c r="MC12" s="162"/>
      <c r="MD12" s="160"/>
      <c r="ME12" s="160"/>
      <c r="MF12" s="161"/>
      <c r="MG12" s="158"/>
      <c r="MH12" s="158"/>
      <c r="MI12" s="6"/>
      <c r="MJ12" s="6"/>
      <c r="MK12" s="154"/>
      <c r="MM12" s="160"/>
      <c r="MN12" s="160"/>
      <c r="MO12" s="161"/>
      <c r="MP12" s="158"/>
      <c r="MQ12" s="163"/>
      <c r="MR12" s="163"/>
      <c r="MT12" s="154"/>
      <c r="MV12" s="165"/>
      <c r="MW12" s="6"/>
      <c r="MX12" s="158"/>
      <c r="MY12" s="158"/>
      <c r="MZ12" s="158"/>
      <c r="NA12" s="158"/>
      <c r="NC12" s="154"/>
      <c r="NE12" s="165"/>
      <c r="NF12" s="6"/>
      <c r="NG12" s="158"/>
      <c r="NH12" s="158"/>
      <c r="NI12" s="158"/>
      <c r="NJ12" s="158"/>
      <c r="NK12" s="158"/>
      <c r="NM12" s="154"/>
      <c r="NQ12" s="158"/>
      <c r="NR12" s="158"/>
      <c r="NT12" s="154"/>
      <c r="NU12" s="154"/>
      <c r="NW12" s="166"/>
      <c r="NX12" s="6"/>
      <c r="NY12" s="158"/>
      <c r="NZ12" s="163"/>
      <c r="OA12" s="162"/>
      <c r="OB12" s="154"/>
      <c r="OC12" s="154"/>
      <c r="OD12" s="162"/>
      <c r="OE12" s="160"/>
      <c r="OF12" s="160"/>
      <c r="OG12" s="161"/>
      <c r="OH12" s="158"/>
      <c r="OI12" s="158"/>
      <c r="OJ12" s="154"/>
      <c r="OK12" s="154"/>
      <c r="OL12" s="162"/>
      <c r="OM12" s="160"/>
      <c r="ON12" s="160"/>
      <c r="OO12" s="161"/>
      <c r="OP12" s="158"/>
      <c r="OQ12" s="158"/>
      <c r="OT12" s="167">
        <f t="shared" si="6"/>
        <v>0</v>
      </c>
      <c r="OW12" s="168"/>
      <c r="OX12" s="158"/>
    </row>
    <row r="13" s="7" customFormat="1" ht="17" customHeight="1" spans="1:425">
      <c r="A13" s="169" t="s">
        <v>443</v>
      </c>
      <c r="B13" s="170">
        <v>510300</v>
      </c>
      <c r="C13" s="169"/>
      <c r="D13" s="171"/>
      <c r="E13" s="19" t="e">
        <f>#REF!</f>
        <v>#REF!</v>
      </c>
      <c r="F13" s="19" t="e">
        <f>D13-E13</f>
        <v>#REF!</v>
      </c>
      <c r="G13" s="172" t="e">
        <f>F13/E13</f>
        <v>#REF!</v>
      </c>
      <c r="H13" s="173"/>
      <c r="I13" s="174"/>
      <c r="J13" s="170">
        <v>510310</v>
      </c>
      <c r="K13" s="7"/>
      <c r="L13" s="170"/>
      <c r="M13" s="170"/>
      <c r="N13" s="170"/>
      <c r="O13" s="174"/>
      <c r="P13" s="173"/>
      <c r="Q13" s="174"/>
      <c r="R13" s="170">
        <v>510050</v>
      </c>
      <c r="S13" s="7"/>
      <c r="T13" s="170"/>
      <c r="U13" s="170"/>
      <c r="V13" s="170"/>
      <c r="W13" s="174"/>
      <c r="X13" s="173"/>
      <c r="Y13" s="174"/>
      <c r="Z13" s="170">
        <v>510500</v>
      </c>
      <c r="AA13" s="7"/>
      <c r="AB13" s="170"/>
      <c r="AC13" s="170"/>
      <c r="AD13" s="170"/>
      <c r="AE13" s="174"/>
      <c r="AF13" s="173"/>
      <c r="AG13" s="174"/>
      <c r="AH13" s="170">
        <v>512100</v>
      </c>
      <c r="AI13" s="7"/>
      <c r="AJ13" s="170"/>
      <c r="AK13" s="170"/>
      <c r="AL13" s="170"/>
      <c r="AM13" s="174"/>
      <c r="AN13" s="173"/>
      <c r="AO13" s="173"/>
      <c r="AP13" s="175">
        <v>159915</v>
      </c>
      <c r="AQ13" s="7"/>
      <c r="AR13" s="175"/>
      <c r="AS13" s="170"/>
      <c r="AT13" s="170"/>
      <c r="AU13" s="174"/>
      <c r="AV13" s="173"/>
      <c r="AW13" s="173"/>
      <c r="AX13" s="176"/>
      <c r="AY13" s="175">
        <v>159919</v>
      </c>
      <c r="AZ13" s="7"/>
      <c r="BA13" s="170"/>
      <c r="BB13" s="171"/>
      <c r="BC13" s="170"/>
      <c r="BD13" s="174"/>
      <c r="BE13" s="173"/>
      <c r="BF13" s="173"/>
      <c r="BG13" s="177">
        <v>159326</v>
      </c>
      <c r="BH13" s="7"/>
      <c r="BI13" s="177"/>
      <c r="BJ13" s="178"/>
      <c r="BK13" s="178"/>
      <c r="BL13" s="179"/>
      <c r="BM13" s="180"/>
      <c r="BN13" s="181"/>
      <c r="BO13" s="177">
        <v>159852</v>
      </c>
      <c r="BP13" s="7"/>
      <c r="BQ13" s="182"/>
      <c r="BR13" s="183"/>
      <c r="BS13" s="183"/>
      <c r="BT13" s="184"/>
      <c r="BU13" s="181"/>
      <c r="BW13" s="177">
        <v>159870</v>
      </c>
      <c r="BX13" s="7"/>
      <c r="BY13" s="185"/>
      <c r="BZ13" s="183"/>
      <c r="CA13" s="183"/>
      <c r="CB13" s="184"/>
      <c r="CC13" s="181"/>
      <c r="CE13" s="177">
        <v>512400</v>
      </c>
      <c r="CF13" s="7"/>
      <c r="CG13" s="185"/>
      <c r="CH13" s="183"/>
      <c r="CI13" s="183"/>
      <c r="CJ13" s="184"/>
      <c r="CK13" s="181"/>
      <c r="CM13" s="177">
        <v>516650</v>
      </c>
      <c r="CN13" s="7"/>
      <c r="CO13" s="185"/>
      <c r="CP13" s="183"/>
      <c r="CQ13" s="183"/>
      <c r="CR13" s="184"/>
      <c r="CS13" s="186"/>
      <c r="CU13" s="177">
        <v>517520</v>
      </c>
      <c r="CV13" s="7"/>
      <c r="CW13" s="185"/>
      <c r="CX13" s="183"/>
      <c r="CY13" s="183"/>
      <c r="CZ13" s="184"/>
      <c r="DA13" s="181"/>
      <c r="DB13" s="181"/>
      <c r="DC13" s="177">
        <v>159516</v>
      </c>
      <c r="DD13" s="7"/>
      <c r="DE13" s="185"/>
      <c r="DF13" s="183"/>
      <c r="DG13" s="183"/>
      <c r="DH13" s="184"/>
      <c r="DI13" s="181"/>
      <c r="DK13" s="177">
        <v>512480</v>
      </c>
      <c r="DL13" s="7">
        <f t="shared" ref="DL13:DL18" si="7">C13</f>
        <v>0</v>
      </c>
      <c r="DM13" s="185"/>
      <c r="DN13" s="183">
        <f>DM26</f>
        <v>887100.36</v>
      </c>
      <c r="DO13" s="183">
        <f>DM13-DN13</f>
        <v>-887100.36</v>
      </c>
      <c r="DP13" s="184">
        <f>DO13/DN13</f>
        <v>-1</v>
      </c>
      <c r="DQ13" s="181"/>
      <c r="DS13" s="177">
        <v>588200</v>
      </c>
      <c r="DT13" s="7"/>
      <c r="DU13" s="185"/>
      <c r="DV13" s="183"/>
      <c r="DW13" s="183"/>
      <c r="DX13" s="184"/>
      <c r="DY13" s="181"/>
      <c r="EA13" s="177">
        <v>588000</v>
      </c>
      <c r="EB13" s="7"/>
      <c r="EC13" s="185"/>
      <c r="ED13" s="183"/>
      <c r="EE13" s="183"/>
      <c r="EF13" s="184"/>
      <c r="EG13" s="181"/>
      <c r="EI13" s="177">
        <v>159819</v>
      </c>
      <c r="EJ13" s="7"/>
      <c r="EK13" s="185"/>
      <c r="EL13" s="183"/>
      <c r="EM13" s="183"/>
      <c r="EN13" s="184"/>
      <c r="EO13" s="181"/>
      <c r="EQ13" s="177">
        <v>515070</v>
      </c>
      <c r="ER13" s="7"/>
      <c r="ES13"/>
      <c r="ET13" s="183"/>
      <c r="EU13" s="183"/>
      <c r="EV13" s="184"/>
      <c r="EW13" s="181"/>
      <c r="EY13" s="177">
        <v>512660</v>
      </c>
      <c r="EZ13" s="7"/>
      <c r="FA13" s="185"/>
      <c r="FB13" s="183"/>
      <c r="FC13" s="183"/>
      <c r="FD13" s="184"/>
      <c r="FE13" s="181"/>
      <c r="FF13" s="177"/>
      <c r="FG13" s="177">
        <v>159206</v>
      </c>
      <c r="FH13" s="7"/>
      <c r="FI13" s="182"/>
      <c r="FJ13" s="183"/>
      <c r="FK13" s="183"/>
      <c r="FL13" s="184"/>
      <c r="FM13" s="186"/>
      <c r="FN13" s="186"/>
      <c r="FO13" s="177">
        <v>562500</v>
      </c>
      <c r="FP13" s="7"/>
      <c r="FQ13" s="185"/>
      <c r="FR13" s="183"/>
      <c r="FS13" s="183"/>
      <c r="FT13" s="184"/>
      <c r="FU13" s="181"/>
      <c r="FV13" s="181"/>
      <c r="FW13" s="177">
        <v>512170</v>
      </c>
      <c r="FX13" s="7"/>
      <c r="FY13" s="185"/>
      <c r="FZ13" s="183"/>
      <c r="GA13" s="183"/>
      <c r="GB13" s="184"/>
      <c r="GC13" s="181"/>
      <c r="GD13" s="181"/>
      <c r="GE13" s="177">
        <v>512010</v>
      </c>
      <c r="GF13" s="7"/>
      <c r="GG13" s="185"/>
      <c r="GH13" s="183"/>
      <c r="GI13" s="183"/>
      <c r="GJ13" s="184"/>
      <c r="GK13" s="181"/>
      <c r="GL13" s="181"/>
      <c r="GM13" s="177">
        <v>159992</v>
      </c>
      <c r="GN13" s="7"/>
      <c r="GO13" s="185"/>
      <c r="GP13" s="183"/>
      <c r="GQ13" s="183"/>
      <c r="GR13" s="184"/>
      <c r="GS13" s="181"/>
      <c r="GT13" s="181"/>
      <c r="GU13" s="177">
        <v>515790</v>
      </c>
      <c r="GV13" s="7"/>
      <c r="GW13" s="185"/>
      <c r="GX13" s="183"/>
      <c r="GY13" s="183"/>
      <c r="GZ13" s="184"/>
      <c r="HA13" s="181"/>
      <c r="HB13" s="181"/>
      <c r="HC13" s="177">
        <v>159755</v>
      </c>
      <c r="HD13" s="7"/>
      <c r="HE13" s="185"/>
      <c r="HF13" s="183"/>
      <c r="HG13" s="183"/>
      <c r="HH13" s="184"/>
      <c r="HI13" s="186"/>
      <c r="HJ13" s="181"/>
      <c r="HK13" s="177">
        <v>516970</v>
      </c>
      <c r="HL13" s="7"/>
      <c r="HM13" s="185"/>
      <c r="HN13" s="183"/>
      <c r="HO13" s="183"/>
      <c r="HP13" s="184"/>
      <c r="HQ13" s="181"/>
      <c r="HR13" s="181"/>
      <c r="HS13" s="177">
        <v>159745</v>
      </c>
      <c r="HT13" s="7"/>
      <c r="HU13" s="185"/>
      <c r="HV13" s="183"/>
      <c r="HW13" s="183"/>
      <c r="HX13" s="184"/>
      <c r="HY13" s="181"/>
      <c r="HZ13" s="181"/>
      <c r="IA13" s="177">
        <v>512200</v>
      </c>
      <c r="IB13" s="7"/>
      <c r="IC13" s="185"/>
      <c r="ID13" s="183"/>
      <c r="IE13" s="183"/>
      <c r="IF13" s="184"/>
      <c r="IG13" s="186"/>
      <c r="IH13" s="181"/>
      <c r="II13" s="177">
        <v>159611</v>
      </c>
      <c r="IJ13" s="7"/>
      <c r="IK13" s="185"/>
      <c r="IL13" s="183"/>
      <c r="IM13" s="183"/>
      <c r="IN13" s="184"/>
      <c r="IO13" s="181"/>
      <c r="IP13" s="181"/>
      <c r="IQ13" s="177">
        <v>516510</v>
      </c>
      <c r="IR13" s="7"/>
      <c r="IS13" s="185"/>
      <c r="IT13" s="183"/>
      <c r="IU13" s="183"/>
      <c r="IV13" s="184"/>
      <c r="IW13" s="181"/>
      <c r="IX13" s="181"/>
      <c r="IY13" s="177">
        <v>512880</v>
      </c>
      <c r="IZ13" s="7"/>
      <c r="JA13" s="185"/>
      <c r="JB13" s="183"/>
      <c r="JC13" s="183"/>
      <c r="JD13" s="184"/>
      <c r="JE13" s="181"/>
      <c r="JF13" s="181"/>
      <c r="JG13" s="177">
        <v>512800</v>
      </c>
      <c r="JH13" s="7"/>
      <c r="JI13" s="185"/>
      <c r="JJ13" s="183"/>
      <c r="JK13" s="183"/>
      <c r="JL13" s="184"/>
      <c r="JM13" s="181"/>
      <c r="JN13" s="181"/>
      <c r="JO13" s="177">
        <v>159851</v>
      </c>
      <c r="JP13" s="7"/>
      <c r="JQ13" s="185"/>
      <c r="JR13" s="183"/>
      <c r="JS13" s="183"/>
      <c r="JT13" s="184"/>
      <c r="JU13" s="181"/>
      <c r="JV13" s="181"/>
      <c r="JW13" s="177">
        <v>513090</v>
      </c>
      <c r="JX13" s="7"/>
      <c r="JY13" s="185"/>
      <c r="JZ13" s="183"/>
      <c r="KA13" s="183"/>
      <c r="KB13" s="184"/>
      <c r="KC13" s="181"/>
      <c r="KD13" s="181"/>
      <c r="KE13" s="177">
        <v>159920</v>
      </c>
      <c r="KF13" s="7"/>
      <c r="KG13" s="185"/>
      <c r="KH13" s="183"/>
      <c r="KI13" s="183"/>
      <c r="KJ13" s="184"/>
      <c r="KK13" s="186"/>
      <c r="KL13" s="186"/>
      <c r="KM13" s="177">
        <v>513180</v>
      </c>
      <c r="KN13" s="7"/>
      <c r="KO13" s="185"/>
      <c r="KP13" s="183"/>
      <c r="KQ13" s="183"/>
      <c r="KR13" s="184"/>
      <c r="KS13" s="181"/>
      <c r="KT13" s="181"/>
      <c r="KU13" s="177">
        <v>159567</v>
      </c>
      <c r="KV13" s="7"/>
      <c r="KW13" s="185"/>
      <c r="KX13" s="183"/>
      <c r="KY13" s="183"/>
      <c r="KZ13" s="184"/>
      <c r="LA13" s="186"/>
      <c r="LB13" s="181"/>
      <c r="LC13" s="177">
        <v>516150</v>
      </c>
      <c r="LD13" s="7"/>
      <c r="LE13" s="185"/>
      <c r="LF13" s="183"/>
      <c r="LG13" s="183"/>
      <c r="LH13" s="184"/>
      <c r="LI13" s="181"/>
      <c r="LJ13" s="181"/>
      <c r="LK13" s="177">
        <v>512690</v>
      </c>
      <c r="LL13" s="7"/>
      <c r="LM13" s="182"/>
      <c r="LN13" s="183"/>
      <c r="LO13" s="183"/>
      <c r="LP13" s="184"/>
      <c r="LQ13" s="181"/>
      <c r="LR13" s="181"/>
      <c r="LS13" s="177">
        <v>159928</v>
      </c>
      <c r="LT13" s="7"/>
      <c r="LU13" s="185"/>
      <c r="LV13" s="183"/>
      <c r="LW13" s="183"/>
      <c r="LX13" s="184"/>
      <c r="LY13" s="181"/>
      <c r="LZ13" s="181"/>
      <c r="MA13" s="177">
        <v>515220</v>
      </c>
      <c r="MB13" s="7"/>
      <c r="MC13" s="185"/>
      <c r="MD13" s="183"/>
      <c r="ME13" s="183"/>
      <c r="MF13" s="184"/>
      <c r="MG13" s="181"/>
      <c r="MH13" s="181"/>
      <c r="MI13" s="7"/>
      <c r="MJ13" s="177">
        <v>159998</v>
      </c>
      <c r="MK13" s="7"/>
      <c r="ML13"/>
      <c r="MM13" s="183"/>
      <c r="MN13" s="183"/>
      <c r="MO13" s="184"/>
      <c r="MP13" s="181"/>
      <c r="MQ13" s="186"/>
      <c r="MR13" s="186"/>
      <c r="MS13" s="177">
        <v>561360</v>
      </c>
      <c r="MT13" s="7"/>
      <c r="MU13"/>
      <c r="MV13" s="187"/>
      <c r="MW13" s="7"/>
      <c r="MX13" s="181"/>
      <c r="MY13" s="181"/>
      <c r="MZ13" s="181"/>
      <c r="NA13" s="181"/>
      <c r="NB13" s="177">
        <v>510170</v>
      </c>
      <c r="NC13" s="7"/>
      <c r="ND13"/>
      <c r="NE13" s="187"/>
      <c r="NF13" s="7"/>
      <c r="NG13" s="181"/>
      <c r="NH13" s="181"/>
      <c r="NI13" s="181"/>
      <c r="NJ13" s="181"/>
      <c r="NK13" s="181"/>
      <c r="NL13" s="177">
        <v>512890</v>
      </c>
      <c r="NM13" s="7"/>
      <c r="NN13"/>
      <c r="NO13" s="7"/>
      <c r="NP13" s="7"/>
      <c r="NQ13" s="181"/>
      <c r="NR13" s="181"/>
      <c r="NT13" s="177">
        <v>560080</v>
      </c>
      <c r="NU13" s="7"/>
      <c r="NV13"/>
      <c r="NW13" s="188"/>
      <c r="NX13" s="7"/>
      <c r="NY13" s="181"/>
      <c r="NZ13" s="186"/>
      <c r="OA13" s="185"/>
      <c r="OB13" s="177">
        <v>511130</v>
      </c>
      <c r="OC13" s="7"/>
      <c r="OD13" s="185"/>
      <c r="OE13" s="183"/>
      <c r="OF13" s="183"/>
      <c r="OG13" s="184"/>
      <c r="OH13" s="181"/>
      <c r="OI13" s="181"/>
      <c r="OJ13" s="177">
        <v>511260</v>
      </c>
      <c r="OK13" s="7"/>
      <c r="OL13" s="185"/>
      <c r="OM13" s="183"/>
      <c r="ON13" s="183"/>
      <c r="OO13" s="184"/>
      <c r="OP13" s="181"/>
      <c r="OQ13" s="181"/>
      <c r="OS13" s="189">
        <v>159985</v>
      </c>
      <c r="OT13" s="190"/>
      <c r="OV13" s="8"/>
      <c r="OW13" s="191"/>
      <c r="OX13" s="192"/>
    </row>
    <row r="14" s="8" customFormat="1" ht="17" customHeight="1" spans="1:425">
      <c r="A14" s="15"/>
      <c r="B14" s="15"/>
      <c r="C14" s="193"/>
      <c r="D14" s="138"/>
      <c r="E14" s="19"/>
      <c r="F14" s="19"/>
      <c r="G14" s="172"/>
      <c r="H14" s="18"/>
      <c r="I14" s="122"/>
      <c r="J14" s="122"/>
      <c r="K14" s="125"/>
      <c r="L14" s="125"/>
      <c r="M14" s="125"/>
      <c r="N14" s="125"/>
      <c r="O14" s="122"/>
      <c r="P14" s="18"/>
      <c r="Q14" s="122"/>
      <c r="R14" s="125"/>
      <c r="S14" s="125"/>
      <c r="T14" s="125"/>
      <c r="U14" s="125"/>
      <c r="V14" s="125"/>
      <c r="W14" s="122"/>
      <c r="X14" s="18"/>
      <c r="Y14" s="122"/>
      <c r="Z14" s="125"/>
      <c r="AA14" s="125"/>
      <c r="AB14" s="125"/>
      <c r="AC14" s="125"/>
      <c r="AD14" s="125"/>
      <c r="AE14" s="122"/>
      <c r="AF14" s="18"/>
      <c r="AG14" s="122"/>
      <c r="AH14" s="125"/>
      <c r="AI14" s="125"/>
      <c r="AJ14" s="125"/>
      <c r="AK14" s="125"/>
      <c r="AL14" s="125"/>
      <c r="AM14" s="122"/>
      <c r="AN14" s="18"/>
      <c r="AO14" s="18"/>
      <c r="AP14" s="125"/>
      <c r="AQ14" s="125"/>
      <c r="AR14" s="145"/>
      <c r="AS14" s="125"/>
      <c r="AT14" s="125"/>
      <c r="AU14" s="122"/>
      <c r="AV14" s="18"/>
      <c r="AW14" s="18"/>
      <c r="AX14" s="17"/>
      <c r="AY14" s="138"/>
      <c r="AZ14" s="125"/>
      <c r="BA14" s="125"/>
      <c r="BB14" s="138"/>
      <c r="BC14" s="125"/>
      <c r="BD14" s="122"/>
      <c r="BE14" s="18"/>
      <c r="BF14" s="18"/>
      <c r="BG14" s="74"/>
      <c r="BH14" s="194"/>
      <c r="BI14" s="194"/>
      <c r="BJ14" s="195"/>
      <c r="BK14" s="195"/>
      <c r="BL14" s="196"/>
      <c r="BM14" s="197"/>
      <c r="BN14" s="192"/>
      <c r="BO14" s="194"/>
      <c r="BP14" s="194"/>
      <c r="BQ14" s="198"/>
      <c r="BR14" s="12"/>
      <c r="BS14" s="12"/>
      <c r="BT14" s="199"/>
      <c r="BU14" s="192"/>
      <c r="BV14" s="192"/>
      <c r="BW14" s="194"/>
      <c r="BX14" s="194"/>
      <c r="BY14" s="200"/>
      <c r="BZ14" s="12"/>
      <c r="CA14" s="12"/>
      <c r="CB14" s="199"/>
      <c r="CC14" s="192"/>
      <c r="CD14" s="201"/>
      <c r="CE14" s="194"/>
      <c r="CF14" s="194"/>
      <c r="CG14" s="200"/>
      <c r="CH14" s="12"/>
      <c r="CI14" s="12"/>
      <c r="CJ14" s="199"/>
      <c r="CK14" s="192"/>
      <c r="CL14" s="201"/>
      <c r="CM14" s="194"/>
      <c r="CN14" s="194"/>
      <c r="CO14" s="200"/>
      <c r="CP14" s="12"/>
      <c r="CQ14" s="12"/>
      <c r="CR14" s="199"/>
      <c r="CS14" s="201"/>
      <c r="CT14" s="201"/>
      <c r="CU14" s="194"/>
      <c r="CV14" s="194"/>
      <c r="CW14" s="200"/>
      <c r="CX14" s="12"/>
      <c r="CY14" s="12"/>
      <c r="CZ14" s="199"/>
      <c r="DA14" s="192"/>
      <c r="DB14" s="192"/>
      <c r="DC14" s="202"/>
      <c r="DD14" s="194"/>
      <c r="DE14" s="200"/>
      <c r="DF14" s="12"/>
      <c r="DG14" s="12"/>
      <c r="DH14" s="199"/>
      <c r="DI14" s="192"/>
      <c r="DJ14" s="192"/>
      <c r="DK14" s="194"/>
      <c r="DL14" s="194">
        <f t="shared" si="7"/>
        <v>0</v>
      </c>
      <c r="DM14" s="200"/>
      <c r="DN14" s="12"/>
      <c r="DO14" s="12"/>
      <c r="DP14" s="199"/>
      <c r="DQ14" s="192"/>
      <c r="DR14" s="192"/>
      <c r="DS14" s="194"/>
      <c r="DT14" s="194"/>
      <c r="DU14" s="200"/>
      <c r="DV14" s="12"/>
      <c r="DW14" s="12"/>
      <c r="DX14" s="199"/>
      <c r="DY14" s="192"/>
      <c r="DZ14" s="192"/>
      <c r="EA14" s="194"/>
      <c r="EB14" s="194"/>
      <c r="EC14" s="200"/>
      <c r="ED14" s="12"/>
      <c r="EE14" s="12"/>
      <c r="EF14" s="199"/>
      <c r="EG14" s="192"/>
      <c r="EH14" s="192"/>
      <c r="EI14" s="194"/>
      <c r="EJ14" s="194"/>
      <c r="EK14" s="200"/>
      <c r="EL14" s="12"/>
      <c r="EM14" s="12"/>
      <c r="EN14" s="199"/>
      <c r="EO14" s="192"/>
      <c r="EP14" s="192"/>
      <c r="EQ14" s="194"/>
      <c r="ER14" s="194"/>
      <c r="ES14" s="203"/>
      <c r="ET14" s="12"/>
      <c r="EU14" s="12"/>
      <c r="EV14" s="199"/>
      <c r="EW14" s="192"/>
      <c r="EX14" s="192"/>
      <c r="EY14" s="194"/>
      <c r="EZ14" s="194"/>
      <c r="FA14" s="200"/>
      <c r="FB14" s="12"/>
      <c r="FC14" s="12"/>
      <c r="FD14" s="199"/>
      <c r="FE14" s="192"/>
      <c r="FF14" s="192"/>
      <c r="FG14" s="192"/>
      <c r="FH14" s="194"/>
      <c r="FI14" s="198"/>
      <c r="FJ14" s="12"/>
      <c r="FK14" s="12"/>
      <c r="FL14" s="199"/>
      <c r="FM14" s="201"/>
      <c r="FN14" s="201"/>
      <c r="FO14" s="194"/>
      <c r="FP14" s="194"/>
      <c r="FQ14" s="200"/>
      <c r="FR14" s="12"/>
      <c r="FS14" s="12"/>
      <c r="FT14" s="199"/>
      <c r="FU14" s="192"/>
      <c r="FV14" s="192"/>
      <c r="FW14" s="194"/>
      <c r="FX14" s="194"/>
      <c r="FY14" s="200"/>
      <c r="FZ14" s="12"/>
      <c r="GA14" s="12"/>
      <c r="GB14" s="199"/>
      <c r="GC14" s="192"/>
      <c r="GD14" s="192"/>
      <c r="GE14" s="194"/>
      <c r="GF14" s="194"/>
      <c r="GG14" s="200"/>
      <c r="GH14" s="12"/>
      <c r="GI14" s="12"/>
      <c r="GJ14" s="199"/>
      <c r="GK14" s="192"/>
      <c r="GL14" s="192"/>
      <c r="GM14" s="194"/>
      <c r="GN14" s="194"/>
      <c r="GO14" s="200"/>
      <c r="GP14" s="12"/>
      <c r="GQ14" s="12"/>
      <c r="GR14" s="199"/>
      <c r="GS14" s="192"/>
      <c r="GT14" s="192"/>
      <c r="GU14" s="194"/>
      <c r="GV14" s="194"/>
      <c r="GW14" s="200"/>
      <c r="GX14" s="12"/>
      <c r="GY14" s="12"/>
      <c r="GZ14" s="199"/>
      <c r="HA14" s="192"/>
      <c r="HB14" s="192"/>
      <c r="HC14" s="194"/>
      <c r="HD14" s="194"/>
      <c r="HE14" s="200"/>
      <c r="HF14" s="12"/>
      <c r="HG14" s="12"/>
      <c r="HH14" s="199"/>
      <c r="HI14" s="201"/>
      <c r="HJ14" s="192"/>
      <c r="HK14" s="194"/>
      <c r="HL14" s="194"/>
      <c r="HM14" s="200"/>
      <c r="HN14" s="12"/>
      <c r="HO14" s="12"/>
      <c r="HP14" s="199"/>
      <c r="HQ14" s="192"/>
      <c r="HR14" s="192"/>
      <c r="HS14" s="194"/>
      <c r="HT14" s="194"/>
      <c r="HU14" s="200"/>
      <c r="HV14" s="12"/>
      <c r="HW14" s="12"/>
      <c r="HX14" s="199"/>
      <c r="HY14" s="192"/>
      <c r="HZ14" s="192"/>
      <c r="IA14" s="194"/>
      <c r="IB14" s="194"/>
      <c r="IC14" s="200"/>
      <c r="ID14" s="12"/>
      <c r="IE14" s="12"/>
      <c r="IF14" s="199"/>
      <c r="IG14" s="201"/>
      <c r="IH14" s="192"/>
      <c r="II14" s="194"/>
      <c r="IJ14" s="194"/>
      <c r="IK14" s="200"/>
      <c r="IL14" s="12"/>
      <c r="IM14" s="12"/>
      <c r="IN14" s="199"/>
      <c r="IO14" s="192"/>
      <c r="IP14" s="192"/>
      <c r="IQ14" s="194"/>
      <c r="IR14" s="194"/>
      <c r="IS14" s="200"/>
      <c r="IT14" s="12"/>
      <c r="IU14" s="12"/>
      <c r="IV14" s="199"/>
      <c r="IW14" s="192"/>
      <c r="IX14" s="192"/>
      <c r="IY14" s="194"/>
      <c r="IZ14" s="194"/>
      <c r="JA14" s="200"/>
      <c r="JB14" s="12"/>
      <c r="JC14" s="12"/>
      <c r="JD14" s="199"/>
      <c r="JE14" s="192"/>
      <c r="JF14" s="192"/>
      <c r="JG14" s="194"/>
      <c r="JH14" s="194"/>
      <c r="JI14" s="200"/>
      <c r="JJ14" s="12"/>
      <c r="JK14" s="12"/>
      <c r="JL14" s="199"/>
      <c r="JM14" s="192"/>
      <c r="JN14" s="192"/>
      <c r="JO14" s="192"/>
      <c r="JP14" s="194"/>
      <c r="JQ14" s="200"/>
      <c r="JR14" s="12"/>
      <c r="JS14" s="12"/>
      <c r="JT14" s="199"/>
      <c r="JU14" s="192"/>
      <c r="JV14" s="192"/>
      <c r="JW14" s="201"/>
      <c r="JX14" s="194"/>
      <c r="JY14" s="200"/>
      <c r="JZ14" s="12"/>
      <c r="KA14" s="12"/>
      <c r="KB14" s="199"/>
      <c r="KC14" s="192"/>
      <c r="KD14" s="192"/>
      <c r="KE14" s="201"/>
      <c r="KF14" s="194"/>
      <c r="KG14" s="200"/>
      <c r="KH14" s="12"/>
      <c r="KI14" s="12"/>
      <c r="KJ14" s="199"/>
      <c r="KK14" s="201"/>
      <c r="KL14" s="201"/>
      <c r="KM14" s="194"/>
      <c r="KN14" s="194"/>
      <c r="KO14" s="200"/>
      <c r="KP14" s="12"/>
      <c r="KQ14" s="12"/>
      <c r="KR14" s="199"/>
      <c r="KS14" s="192"/>
      <c r="KT14" s="192"/>
      <c r="KU14" s="194"/>
      <c r="KV14" s="194"/>
      <c r="KW14" s="200"/>
      <c r="KX14" s="12"/>
      <c r="KY14" s="12"/>
      <c r="KZ14" s="199"/>
      <c r="LA14" s="201"/>
      <c r="LB14" s="192"/>
      <c r="LC14" s="194"/>
      <c r="LD14" s="194"/>
      <c r="LE14" s="200"/>
      <c r="LF14" s="12"/>
      <c r="LG14" s="12"/>
      <c r="LH14" s="199"/>
      <c r="LI14" s="192"/>
      <c r="LJ14" s="192"/>
      <c r="LK14" s="194"/>
      <c r="LL14" s="194"/>
      <c r="LM14" s="198"/>
      <c r="LN14" s="12"/>
      <c r="LO14" s="12"/>
      <c r="LP14" s="199"/>
      <c r="LQ14" s="192"/>
      <c r="LR14" s="192"/>
      <c r="LS14" s="194"/>
      <c r="LT14" s="194"/>
      <c r="LU14" s="200"/>
      <c r="LV14" s="12"/>
      <c r="LW14" s="12"/>
      <c r="LX14" s="199"/>
      <c r="LY14" s="192"/>
      <c r="LZ14" s="192"/>
      <c r="MA14" s="194"/>
      <c r="MB14" s="194"/>
      <c r="MC14" s="200"/>
      <c r="MD14" s="12"/>
      <c r="ME14" s="12"/>
      <c r="MF14" s="199"/>
      <c r="MG14" s="192"/>
      <c r="MH14" s="192"/>
      <c r="MK14" s="194"/>
      <c r="ML14" s="203"/>
      <c r="MM14" s="12"/>
      <c r="MN14" s="12"/>
      <c r="MO14" s="199"/>
      <c r="MP14" s="192"/>
      <c r="MQ14" s="201"/>
      <c r="MR14" s="201"/>
      <c r="MT14" s="194"/>
      <c r="MU14" s="203"/>
      <c r="MV14" s="204"/>
      <c r="MX14" s="192"/>
      <c r="MY14" s="192"/>
      <c r="MZ14" s="192"/>
      <c r="NA14" s="192"/>
      <c r="NC14" s="194"/>
      <c r="ND14" s="203"/>
      <c r="NE14" s="204"/>
      <c r="NG14" s="192"/>
      <c r="NH14" s="192"/>
      <c r="NI14" s="192"/>
      <c r="NJ14" s="192"/>
      <c r="NK14" s="192"/>
      <c r="NM14" s="194"/>
      <c r="NN14" s="203"/>
      <c r="NQ14" s="192"/>
      <c r="NR14" s="192"/>
      <c r="NT14" s="194"/>
      <c r="NU14" s="194"/>
      <c r="NV14" s="203"/>
      <c r="NW14" s="205"/>
      <c r="NY14" s="192"/>
      <c r="NZ14" s="201"/>
      <c r="OA14" s="200"/>
      <c r="OB14" s="194"/>
      <c r="OC14" s="194"/>
      <c r="OD14" s="200"/>
      <c r="OE14" s="12"/>
      <c r="OF14" s="12"/>
      <c r="OG14" s="199"/>
      <c r="OH14" s="192"/>
      <c r="OI14" s="192"/>
      <c r="OJ14" s="194"/>
      <c r="OK14" s="194"/>
      <c r="OL14" s="200"/>
      <c r="OM14" s="12"/>
      <c r="ON14" s="12"/>
      <c r="OO14" s="199"/>
      <c r="OP14" s="192"/>
      <c r="OQ14" s="192"/>
      <c r="OT14" s="26"/>
      <c r="OW14" s="191"/>
      <c r="OX14" s="192"/>
    </row>
    <row r="15" s="8" customFormat="1" ht="17" customHeight="1" spans="1:425">
      <c r="A15" s="15"/>
      <c r="B15" s="15"/>
      <c r="C15" s="193"/>
      <c r="D15" s="138"/>
      <c r="E15" s="19"/>
      <c r="F15" s="19"/>
      <c r="G15" s="172"/>
      <c r="H15" s="18"/>
      <c r="I15" s="122"/>
      <c r="J15" s="122"/>
      <c r="K15" s="125"/>
      <c r="L15" s="125"/>
      <c r="M15" s="125"/>
      <c r="N15" s="125"/>
      <c r="O15" s="122"/>
      <c r="P15" s="18"/>
      <c r="Q15" s="122"/>
      <c r="R15" s="125"/>
      <c r="S15" s="125"/>
      <c r="T15" s="125"/>
      <c r="U15" s="125"/>
      <c r="V15" s="125"/>
      <c r="W15" s="122"/>
      <c r="X15" s="18"/>
      <c r="Y15" s="122"/>
      <c r="Z15" s="125"/>
      <c r="AA15" s="125"/>
      <c r="AB15" s="125"/>
      <c r="AC15" s="125"/>
      <c r="AD15" s="125"/>
      <c r="AE15" s="122"/>
      <c r="AF15" s="18"/>
      <c r="AG15" s="122"/>
      <c r="AH15" s="125"/>
      <c r="AI15" s="125"/>
      <c r="AJ15" s="125"/>
      <c r="AK15" s="125"/>
      <c r="AL15" s="125"/>
      <c r="AM15" s="122"/>
      <c r="AN15" s="18"/>
      <c r="AO15" s="18"/>
      <c r="AP15" s="125"/>
      <c r="AQ15" s="125"/>
      <c r="AR15" s="145"/>
      <c r="AS15" s="125"/>
      <c r="AT15" s="125"/>
      <c r="AU15" s="122"/>
      <c r="AV15" s="18"/>
      <c r="AW15" s="18"/>
      <c r="AX15" s="17"/>
      <c r="AY15" s="138"/>
      <c r="AZ15" s="125"/>
      <c r="BA15" s="125"/>
      <c r="BB15" s="138"/>
      <c r="BC15" s="125"/>
      <c r="BD15" s="122"/>
      <c r="BE15" s="18"/>
      <c r="BF15" s="18"/>
      <c r="BG15" s="74"/>
      <c r="BH15" s="194"/>
      <c r="BI15" s="194"/>
      <c r="BJ15" s="195"/>
      <c r="BK15" s="195"/>
      <c r="BL15" s="196"/>
      <c r="BM15" s="197"/>
      <c r="BN15" s="192"/>
      <c r="BO15" s="194"/>
      <c r="BP15" s="194"/>
      <c r="BQ15" s="198"/>
      <c r="BR15" s="12"/>
      <c r="BS15" s="12"/>
      <c r="BT15" s="199"/>
      <c r="BU15" s="192"/>
      <c r="BV15" s="192"/>
      <c r="BW15" s="194"/>
      <c r="BX15" s="194"/>
      <c r="BY15" s="200"/>
      <c r="BZ15" s="12"/>
      <c r="CA15" s="12"/>
      <c r="CB15" s="199"/>
      <c r="CC15" s="192"/>
      <c r="CD15" s="201"/>
      <c r="CE15" s="194"/>
      <c r="CF15" s="194"/>
      <c r="CG15" s="200"/>
      <c r="CH15" s="12"/>
      <c r="CI15" s="12"/>
      <c r="CJ15" s="199"/>
      <c r="CK15" s="192"/>
      <c r="CL15" s="201"/>
      <c r="CM15" s="194"/>
      <c r="CN15" s="194"/>
      <c r="CO15" s="200"/>
      <c r="CP15" s="12"/>
      <c r="CQ15" s="12"/>
      <c r="CR15" s="199"/>
      <c r="CS15" s="201"/>
      <c r="CT15" s="201"/>
      <c r="CU15" s="194"/>
      <c r="CV15" s="194"/>
      <c r="CW15" s="200"/>
      <c r="CX15" s="12"/>
      <c r="CY15" s="12"/>
      <c r="CZ15" s="199"/>
      <c r="DA15" s="192"/>
      <c r="DB15" s="192"/>
      <c r="DC15" s="202"/>
      <c r="DD15" s="194"/>
      <c r="DE15" s="200"/>
      <c r="DF15" s="12"/>
      <c r="DG15" s="12"/>
      <c r="DH15" s="199"/>
      <c r="DI15" s="192"/>
      <c r="DJ15" s="192"/>
      <c r="DK15" s="194"/>
      <c r="DL15" s="194">
        <f t="shared" si="7"/>
        <v>0</v>
      </c>
      <c r="DM15" s="200"/>
      <c r="DN15" s="12"/>
      <c r="DO15" s="12"/>
      <c r="DP15" s="199"/>
      <c r="DQ15" s="192"/>
      <c r="DR15" s="192"/>
      <c r="DS15" s="194"/>
      <c r="DT15" s="194"/>
      <c r="DU15" s="200"/>
      <c r="DV15" s="12"/>
      <c r="DW15" s="12"/>
      <c r="DX15" s="199"/>
      <c r="DY15" s="192"/>
      <c r="DZ15" s="192"/>
      <c r="EA15" s="194"/>
      <c r="EB15" s="194"/>
      <c r="EC15" s="200"/>
      <c r="ED15" s="12"/>
      <c r="EE15" s="12"/>
      <c r="EF15" s="199"/>
      <c r="EG15" s="192"/>
      <c r="EH15" s="192"/>
      <c r="EI15" s="194"/>
      <c r="EJ15" s="194"/>
      <c r="EK15" s="200"/>
      <c r="EL15" s="12"/>
      <c r="EM15" s="12"/>
      <c r="EN15" s="199"/>
      <c r="EO15" s="192"/>
      <c r="EP15" s="192"/>
      <c r="EQ15" s="194"/>
      <c r="ER15" s="194"/>
      <c r="ES15" s="203"/>
      <c r="ET15" s="12"/>
      <c r="EU15" s="12"/>
      <c r="EV15" s="199"/>
      <c r="EW15" s="192"/>
      <c r="EX15" s="192"/>
      <c r="EY15" s="194"/>
      <c r="EZ15" s="194"/>
      <c r="FA15" s="200"/>
      <c r="FB15" s="12"/>
      <c r="FC15" s="12"/>
      <c r="FD15" s="199"/>
      <c r="FE15" s="192"/>
      <c r="FF15" s="192"/>
      <c r="FG15" s="192"/>
      <c r="FH15" s="194"/>
      <c r="FI15" s="198"/>
      <c r="FJ15" s="12"/>
      <c r="FK15" s="12"/>
      <c r="FL15" s="199"/>
      <c r="FM15" s="201"/>
      <c r="FN15" s="201"/>
      <c r="FO15" s="194"/>
      <c r="FP15" s="194"/>
      <c r="FQ15" s="200"/>
      <c r="FR15" s="12"/>
      <c r="FS15" s="12"/>
      <c r="FT15" s="199"/>
      <c r="FU15" s="192"/>
      <c r="FV15" s="192"/>
      <c r="FW15" s="194"/>
      <c r="FX15" s="194"/>
      <c r="FY15" s="200"/>
      <c r="FZ15" s="12"/>
      <c r="GA15" s="12"/>
      <c r="GB15" s="199"/>
      <c r="GC15" s="192"/>
      <c r="GD15" s="192"/>
      <c r="GE15" s="194"/>
      <c r="GF15" s="194"/>
      <c r="GG15" s="200"/>
      <c r="GH15" s="12"/>
      <c r="GI15" s="12"/>
      <c r="GJ15" s="199"/>
      <c r="GK15" s="192"/>
      <c r="GL15" s="192"/>
      <c r="GM15" s="194"/>
      <c r="GN15" s="194"/>
      <c r="GO15" s="200"/>
      <c r="GP15" s="12"/>
      <c r="GQ15" s="12"/>
      <c r="GR15" s="199"/>
      <c r="GS15" s="192"/>
      <c r="GT15" s="192"/>
      <c r="GU15" s="194"/>
      <c r="GV15" s="194"/>
      <c r="GW15" s="200"/>
      <c r="GX15" s="12"/>
      <c r="GY15" s="12"/>
      <c r="GZ15" s="199"/>
      <c r="HA15" s="192"/>
      <c r="HB15" s="192"/>
      <c r="HC15" s="194"/>
      <c r="HD15" s="194"/>
      <c r="HE15" s="200"/>
      <c r="HF15" s="12"/>
      <c r="HG15" s="12"/>
      <c r="HH15" s="199"/>
      <c r="HI15" s="201"/>
      <c r="HJ15" s="192"/>
      <c r="HK15" s="194"/>
      <c r="HL15" s="194"/>
      <c r="HM15" s="200"/>
      <c r="HN15" s="12"/>
      <c r="HO15" s="12"/>
      <c r="HP15" s="199"/>
      <c r="HQ15" s="192"/>
      <c r="HR15" s="192"/>
      <c r="HS15" s="194"/>
      <c r="HT15" s="194"/>
      <c r="HU15" s="200"/>
      <c r="HV15" s="12"/>
      <c r="HW15" s="12"/>
      <c r="HX15" s="199"/>
      <c r="HY15" s="192"/>
      <c r="HZ15" s="192"/>
      <c r="IA15" s="194"/>
      <c r="IB15" s="194"/>
      <c r="IC15" s="200"/>
      <c r="ID15" s="12"/>
      <c r="IE15" s="12"/>
      <c r="IF15" s="199"/>
      <c r="IG15" s="201"/>
      <c r="IH15" s="192"/>
      <c r="II15" s="194"/>
      <c r="IJ15" s="194"/>
      <c r="IK15" s="200"/>
      <c r="IL15" s="12"/>
      <c r="IM15" s="12"/>
      <c r="IN15" s="199"/>
      <c r="IO15" s="192"/>
      <c r="IP15" s="192"/>
      <c r="IQ15" s="194"/>
      <c r="IR15" s="194"/>
      <c r="IS15" s="200"/>
      <c r="IT15" s="12"/>
      <c r="IU15" s="12"/>
      <c r="IV15" s="199"/>
      <c r="IW15" s="192"/>
      <c r="IX15" s="192"/>
      <c r="IY15" s="194"/>
      <c r="IZ15" s="194"/>
      <c r="JA15" s="200"/>
      <c r="JB15" s="12"/>
      <c r="JC15" s="12"/>
      <c r="JD15" s="199"/>
      <c r="JE15" s="192"/>
      <c r="JF15" s="192"/>
      <c r="JG15" s="194"/>
      <c r="JH15" s="194"/>
      <c r="JI15" s="200"/>
      <c r="JJ15" s="12"/>
      <c r="JK15" s="12"/>
      <c r="JL15" s="199"/>
      <c r="JM15" s="192"/>
      <c r="JN15" s="192"/>
      <c r="JO15" s="192"/>
      <c r="JP15" s="194"/>
      <c r="JQ15" s="200"/>
      <c r="JR15" s="12"/>
      <c r="JS15" s="12"/>
      <c r="JT15" s="199"/>
      <c r="JU15" s="192"/>
      <c r="JV15" s="192"/>
      <c r="JW15" s="201"/>
      <c r="JX15" s="194"/>
      <c r="JY15" s="200"/>
      <c r="JZ15" s="12"/>
      <c r="KA15" s="12"/>
      <c r="KB15" s="199"/>
      <c r="KC15" s="192"/>
      <c r="KD15" s="192"/>
      <c r="KE15" s="201"/>
      <c r="KF15" s="194"/>
      <c r="KG15" s="200"/>
      <c r="KH15" s="12"/>
      <c r="KI15" s="12"/>
      <c r="KJ15" s="199"/>
      <c r="KK15" s="201"/>
      <c r="KL15" s="201"/>
      <c r="KM15" s="194"/>
      <c r="KN15" s="194"/>
      <c r="KO15" s="200"/>
      <c r="KP15" s="12"/>
      <c r="KQ15" s="12"/>
      <c r="KR15" s="199"/>
      <c r="KS15" s="192"/>
      <c r="KT15" s="192"/>
      <c r="KU15" s="194"/>
      <c r="KV15" s="194"/>
      <c r="KW15" s="200"/>
      <c r="KX15" s="12"/>
      <c r="KY15" s="12"/>
      <c r="KZ15" s="199"/>
      <c r="LA15" s="201"/>
      <c r="LB15" s="192"/>
      <c r="LC15" s="194"/>
      <c r="LD15" s="194"/>
      <c r="LE15" s="200"/>
      <c r="LF15" s="12"/>
      <c r="LG15" s="12"/>
      <c r="LH15" s="199"/>
      <c r="LI15" s="192"/>
      <c r="LJ15" s="192"/>
      <c r="LK15" s="194"/>
      <c r="LL15" s="194"/>
      <c r="LM15" s="198"/>
      <c r="LN15" s="12"/>
      <c r="LO15" s="12"/>
      <c r="LP15" s="199"/>
      <c r="LQ15" s="192"/>
      <c r="LR15" s="192"/>
      <c r="LS15" s="194"/>
      <c r="LT15" s="194"/>
      <c r="LU15" s="200"/>
      <c r="LV15" s="12"/>
      <c r="LW15" s="12"/>
      <c r="LX15" s="199"/>
      <c r="LY15" s="192"/>
      <c r="LZ15" s="192"/>
      <c r="MA15" s="194"/>
      <c r="MB15" s="194"/>
      <c r="MC15" s="200"/>
      <c r="MD15" s="12"/>
      <c r="ME15" s="12"/>
      <c r="MF15" s="199"/>
      <c r="MG15" s="192"/>
      <c r="MH15" s="192"/>
      <c r="MK15" s="194"/>
      <c r="ML15" s="203"/>
      <c r="MM15" s="12"/>
      <c r="MN15" s="12"/>
      <c r="MO15" s="199"/>
      <c r="MP15" s="192"/>
      <c r="MQ15" s="201"/>
      <c r="MR15" s="201"/>
      <c r="MT15" s="194"/>
      <c r="MU15" s="203"/>
      <c r="MV15" s="204"/>
      <c r="MX15" s="192"/>
      <c r="MY15" s="192"/>
      <c r="MZ15" s="192"/>
      <c r="NA15" s="192"/>
      <c r="NC15" s="194"/>
      <c r="ND15" s="203"/>
      <c r="NE15" s="204"/>
      <c r="NG15" s="192"/>
      <c r="NH15" s="192"/>
      <c r="NI15" s="192"/>
      <c r="NJ15" s="192"/>
      <c r="NK15" s="192"/>
      <c r="NM15" s="194"/>
      <c r="NN15" s="203"/>
      <c r="NQ15" s="192"/>
      <c r="NR15" s="192"/>
      <c r="NT15" s="194"/>
      <c r="NU15" s="194"/>
      <c r="NV15" s="203"/>
      <c r="NW15" s="205"/>
      <c r="NY15" s="192"/>
      <c r="NZ15" s="201"/>
      <c r="OA15" s="200"/>
      <c r="OB15" s="194"/>
      <c r="OC15" s="194"/>
      <c r="OD15" s="200"/>
      <c r="OE15" s="12"/>
      <c r="OF15" s="12"/>
      <c r="OG15" s="199"/>
      <c r="OH15" s="192"/>
      <c r="OI15" s="192"/>
      <c r="OJ15" s="194"/>
      <c r="OK15" s="194"/>
      <c r="OL15" s="200"/>
      <c r="OM15" s="12"/>
      <c r="ON15" s="12"/>
      <c r="OO15" s="199"/>
      <c r="OP15" s="192"/>
      <c r="OQ15" s="192"/>
      <c r="OT15" s="26"/>
      <c r="OU15" s="203"/>
      <c r="OW15" s="191"/>
      <c r="OX15" s="192"/>
    </row>
    <row r="16" s="8" customFormat="1" ht="17" customHeight="1" spans="1:425">
      <c r="A16" s="15"/>
      <c r="B16" s="15"/>
      <c r="C16" s="15"/>
      <c r="D16" s="138"/>
      <c r="E16" s="19"/>
      <c r="F16" s="19"/>
      <c r="G16" s="172"/>
      <c r="H16" s="18"/>
      <c r="I16" s="122"/>
      <c r="J16" s="122"/>
      <c r="K16" s="125">
        <f>C16</f>
        <v>0</v>
      </c>
      <c r="L16" s="125"/>
      <c r="M16" s="125"/>
      <c r="N16" s="125"/>
      <c r="O16" s="122"/>
      <c r="P16" s="18"/>
      <c r="Q16" s="122"/>
      <c r="R16" s="125"/>
      <c r="S16" s="125">
        <f>C16</f>
        <v>0</v>
      </c>
      <c r="T16" s="125"/>
      <c r="U16" s="125"/>
      <c r="V16" s="125"/>
      <c r="W16" s="122"/>
      <c r="X16" s="18"/>
      <c r="Y16" s="122"/>
      <c r="Z16" s="125"/>
      <c r="AA16" s="125">
        <f>S16</f>
        <v>0</v>
      </c>
      <c r="AB16" s="125"/>
      <c r="AC16" s="125"/>
      <c r="AD16" s="125"/>
      <c r="AE16" s="122"/>
      <c r="AF16" s="18"/>
      <c r="AG16" s="122"/>
      <c r="AH16" s="125"/>
      <c r="AI16" s="125">
        <f>C16</f>
        <v>0</v>
      </c>
      <c r="AJ16" s="125"/>
      <c r="AK16" s="125"/>
      <c r="AL16" s="125"/>
      <c r="AM16" s="122"/>
      <c r="AN16" s="18"/>
      <c r="AO16" s="18"/>
      <c r="AP16" s="125"/>
      <c r="AQ16" s="125">
        <f>C16</f>
        <v>0</v>
      </c>
      <c r="AR16" s="145"/>
      <c r="AS16" s="125"/>
      <c r="AT16" s="125"/>
      <c r="AU16" s="122"/>
      <c r="AV16" s="18"/>
      <c r="AW16" s="18"/>
      <c r="AX16" s="17"/>
      <c r="AY16" s="138"/>
      <c r="AZ16" s="125">
        <f>C16</f>
        <v>0</v>
      </c>
      <c r="BA16" s="125"/>
      <c r="BB16" s="138"/>
      <c r="BC16" s="125"/>
      <c r="BD16" s="122"/>
      <c r="BE16" s="18"/>
      <c r="BF16" s="18"/>
      <c r="BG16" s="74"/>
      <c r="BH16" s="194">
        <f>C16</f>
        <v>0</v>
      </c>
      <c r="BI16" s="194"/>
      <c r="BJ16" s="195"/>
      <c r="BK16" s="195"/>
      <c r="BL16" s="196"/>
      <c r="BM16" s="197"/>
      <c r="BN16" s="192"/>
      <c r="BO16" s="194"/>
      <c r="BP16" s="194">
        <f>C16</f>
        <v>0</v>
      </c>
      <c r="BQ16" s="198"/>
      <c r="BR16" s="12"/>
      <c r="BS16" s="12"/>
      <c r="BT16" s="199"/>
      <c r="BU16" s="192"/>
      <c r="BV16" s="192"/>
      <c r="BW16" s="194"/>
      <c r="BX16" s="194">
        <f>C16</f>
        <v>0</v>
      </c>
      <c r="BY16" s="200"/>
      <c r="BZ16" s="12"/>
      <c r="CA16" s="12"/>
      <c r="CB16" s="199"/>
      <c r="CC16" s="192"/>
      <c r="CD16" s="201"/>
      <c r="CE16" s="194"/>
      <c r="CF16" s="194">
        <f>C16</f>
        <v>0</v>
      </c>
      <c r="CG16" s="200"/>
      <c r="CH16" s="12"/>
      <c r="CI16" s="12"/>
      <c r="CJ16" s="199"/>
      <c r="CK16" s="192"/>
      <c r="CL16" s="201"/>
      <c r="CM16" s="194"/>
      <c r="CN16" s="194">
        <f>C16</f>
        <v>0</v>
      </c>
      <c r="CO16" s="200"/>
      <c r="CP16" s="12"/>
      <c r="CQ16" s="12"/>
      <c r="CR16" s="199"/>
      <c r="CS16" s="201"/>
      <c r="CT16" s="201"/>
      <c r="CU16" s="194"/>
      <c r="CV16" s="194">
        <f>C16</f>
        <v>0</v>
      </c>
      <c r="CW16" s="200"/>
      <c r="CX16" s="12"/>
      <c r="CY16" s="12"/>
      <c r="CZ16" s="199"/>
      <c r="DA16" s="192"/>
      <c r="DB16" s="192"/>
      <c r="DC16" s="202"/>
      <c r="DD16" s="194">
        <f>C16</f>
        <v>0</v>
      </c>
      <c r="DE16" s="200"/>
      <c r="DF16" s="12"/>
      <c r="DG16" s="12"/>
      <c r="DH16" s="199"/>
      <c r="DI16" s="192"/>
      <c r="DJ16" s="192"/>
      <c r="DK16" s="194"/>
      <c r="DL16" s="194">
        <f t="shared" si="7"/>
        <v>0</v>
      </c>
      <c r="DM16" s="200"/>
      <c r="DN16" s="12"/>
      <c r="DO16" s="12"/>
      <c r="DP16" s="199"/>
      <c r="DQ16" s="192"/>
      <c r="DR16" s="192"/>
      <c r="DS16" s="194"/>
      <c r="DT16" s="194">
        <f>C16</f>
        <v>0</v>
      </c>
      <c r="DU16" s="200"/>
      <c r="DV16" s="12"/>
      <c r="DW16" s="12"/>
      <c r="DX16" s="199"/>
      <c r="DY16" s="192"/>
      <c r="DZ16" s="192"/>
      <c r="EA16" s="194"/>
      <c r="EB16" s="194">
        <f>C16</f>
        <v>0</v>
      </c>
      <c r="EC16" s="200"/>
      <c r="ED16" s="12"/>
      <c r="EE16" s="12"/>
      <c r="EF16" s="199"/>
      <c r="EG16" s="192"/>
      <c r="EH16" s="192"/>
      <c r="EI16" s="194"/>
      <c r="EJ16" s="194">
        <f>C16</f>
        <v>0</v>
      </c>
      <c r="EK16" s="200"/>
      <c r="EL16" s="12"/>
      <c r="EM16" s="12"/>
      <c r="EN16" s="199"/>
      <c r="EO16" s="192"/>
      <c r="EP16" s="192"/>
      <c r="EQ16" s="194"/>
      <c r="ER16" s="194">
        <f>C16</f>
        <v>0</v>
      </c>
      <c r="ES16" s="203"/>
      <c r="ET16" s="12"/>
      <c r="EU16" s="12"/>
      <c r="EV16" s="199"/>
      <c r="EW16" s="192"/>
      <c r="EX16" s="192"/>
      <c r="EY16" s="194"/>
      <c r="EZ16" s="194">
        <f>C16</f>
        <v>0</v>
      </c>
      <c r="FA16" s="200"/>
      <c r="FB16" s="12"/>
      <c r="FC16" s="12"/>
      <c r="FD16" s="199"/>
      <c r="FE16" s="192"/>
      <c r="FF16" s="192"/>
      <c r="FG16" s="192"/>
      <c r="FH16" s="194">
        <f>C16</f>
        <v>0</v>
      </c>
      <c r="FI16" s="198"/>
      <c r="FJ16" s="12"/>
      <c r="FK16" s="12"/>
      <c r="FL16" s="199"/>
      <c r="FM16" s="201"/>
      <c r="FN16" s="201"/>
      <c r="FO16" s="194"/>
      <c r="FP16" s="194">
        <f>C16</f>
        <v>0</v>
      </c>
      <c r="FQ16" s="200"/>
      <c r="FR16" s="12"/>
      <c r="FS16" s="12"/>
      <c r="FT16" s="199"/>
      <c r="FU16" s="192"/>
      <c r="FV16" s="192"/>
      <c r="FW16" s="194"/>
      <c r="FX16" s="194">
        <f>C16</f>
        <v>0</v>
      </c>
      <c r="FY16" s="200"/>
      <c r="FZ16" s="12"/>
      <c r="GA16" s="12"/>
      <c r="GB16" s="199"/>
      <c r="GC16" s="192"/>
      <c r="GD16" s="192"/>
      <c r="GE16" s="194"/>
      <c r="GF16" s="194">
        <f>C16</f>
        <v>0</v>
      </c>
      <c r="GG16" s="200"/>
      <c r="GH16" s="12"/>
      <c r="GI16" s="12"/>
      <c r="GJ16" s="199"/>
      <c r="GK16" s="192"/>
      <c r="GL16" s="192"/>
      <c r="GM16" s="194"/>
      <c r="GN16" s="194">
        <f>C16</f>
        <v>0</v>
      </c>
      <c r="GO16" s="200"/>
      <c r="GP16" s="12"/>
      <c r="GQ16" s="12"/>
      <c r="GR16" s="199"/>
      <c r="GS16" s="192"/>
      <c r="GT16" s="192"/>
      <c r="GU16" s="194"/>
      <c r="GV16" s="194">
        <f>C16</f>
        <v>0</v>
      </c>
      <c r="GW16" s="200"/>
      <c r="GX16" s="12"/>
      <c r="GY16" s="12"/>
      <c r="GZ16" s="199"/>
      <c r="HA16" s="192"/>
      <c r="HB16" s="192"/>
      <c r="HC16" s="194"/>
      <c r="HD16" s="194">
        <f>C16</f>
        <v>0</v>
      </c>
      <c r="HE16" s="200"/>
      <c r="HF16" s="12"/>
      <c r="HG16" s="12"/>
      <c r="HH16" s="199"/>
      <c r="HI16" s="201"/>
      <c r="HJ16" s="192"/>
      <c r="HK16" s="194"/>
      <c r="HL16" s="194">
        <f>C16</f>
        <v>0</v>
      </c>
      <c r="HM16" s="200"/>
      <c r="HN16" s="12"/>
      <c r="HO16" s="12"/>
      <c r="HP16" s="199"/>
      <c r="HQ16" s="192"/>
      <c r="HR16" s="192"/>
      <c r="HS16" s="194"/>
      <c r="HT16" s="194">
        <f>C16</f>
        <v>0</v>
      </c>
      <c r="HU16" s="200"/>
      <c r="HV16" s="12"/>
      <c r="HW16" s="12"/>
      <c r="HX16" s="199"/>
      <c r="HY16" s="192"/>
      <c r="HZ16" s="192"/>
      <c r="IA16" s="194"/>
      <c r="IB16" s="194">
        <f>C16</f>
        <v>0</v>
      </c>
      <c r="IC16" s="200"/>
      <c r="ID16" s="12"/>
      <c r="IE16" s="12"/>
      <c r="IF16" s="199"/>
      <c r="IG16" s="201"/>
      <c r="IH16" s="192"/>
      <c r="II16" s="194"/>
      <c r="IJ16" s="194">
        <f>C16</f>
        <v>0</v>
      </c>
      <c r="IK16" s="200"/>
      <c r="IL16" s="12"/>
      <c r="IM16" s="12"/>
      <c r="IN16" s="199"/>
      <c r="IO16" s="192"/>
      <c r="IP16" s="192"/>
      <c r="IQ16" s="194"/>
      <c r="IR16" s="194">
        <f>C16</f>
        <v>0</v>
      </c>
      <c r="IS16" s="200"/>
      <c r="IT16" s="12"/>
      <c r="IU16" s="12"/>
      <c r="IV16" s="199"/>
      <c r="IW16" s="192"/>
      <c r="IX16" s="192"/>
      <c r="IY16" s="194"/>
      <c r="IZ16" s="194">
        <f>C16</f>
        <v>0</v>
      </c>
      <c r="JA16" s="200"/>
      <c r="JB16" s="12"/>
      <c r="JC16" s="12"/>
      <c r="JD16" s="199"/>
      <c r="JE16" s="192"/>
      <c r="JF16" s="192"/>
      <c r="JG16" s="194"/>
      <c r="JH16" s="194">
        <f>C16</f>
        <v>0</v>
      </c>
      <c r="JI16" s="200"/>
      <c r="JJ16" s="12"/>
      <c r="JK16" s="12"/>
      <c r="JL16" s="199"/>
      <c r="JM16" s="192"/>
      <c r="JN16" s="192"/>
      <c r="JO16" s="192"/>
      <c r="JP16" s="194">
        <f>C16</f>
        <v>0</v>
      </c>
      <c r="JQ16" s="200"/>
      <c r="JR16" s="12"/>
      <c r="JS16" s="12"/>
      <c r="JT16" s="199"/>
      <c r="JU16" s="192"/>
      <c r="JV16" s="192"/>
      <c r="JW16" s="201"/>
      <c r="JX16" s="194">
        <f>C16</f>
        <v>0</v>
      </c>
      <c r="JY16" s="200"/>
      <c r="JZ16" s="12"/>
      <c r="KA16" s="12"/>
      <c r="KB16" s="199"/>
      <c r="KC16" s="192"/>
      <c r="KD16" s="192"/>
      <c r="KE16" s="201"/>
      <c r="KF16" s="194">
        <f>C16</f>
        <v>0</v>
      </c>
      <c r="KG16" s="200"/>
      <c r="KH16" s="12"/>
      <c r="KI16" s="12"/>
      <c r="KJ16" s="199"/>
      <c r="KK16" s="201"/>
      <c r="KL16" s="201"/>
      <c r="KM16" s="194"/>
      <c r="KN16" s="194">
        <f>C16</f>
        <v>0</v>
      </c>
      <c r="KO16" s="200"/>
      <c r="KP16" s="12"/>
      <c r="KQ16" s="12"/>
      <c r="KR16" s="199"/>
      <c r="KS16" s="192"/>
      <c r="KT16" s="192"/>
      <c r="KU16" s="194"/>
      <c r="KV16" s="194">
        <f>C16</f>
        <v>0</v>
      </c>
      <c r="KW16" s="200"/>
      <c r="KX16" s="12"/>
      <c r="KY16" s="12"/>
      <c r="KZ16" s="199"/>
      <c r="LA16" s="201"/>
      <c r="LB16" s="192"/>
      <c r="LC16" s="194"/>
      <c r="LD16" s="194">
        <f>C16</f>
        <v>0</v>
      </c>
      <c r="LE16" s="200"/>
      <c r="LF16" s="12"/>
      <c r="LG16" s="12"/>
      <c r="LH16" s="199"/>
      <c r="LI16" s="192"/>
      <c r="LJ16" s="192"/>
      <c r="LK16" s="194"/>
      <c r="LL16" s="194">
        <f>C16</f>
        <v>0</v>
      </c>
      <c r="LM16" s="198"/>
      <c r="LN16" s="12"/>
      <c r="LO16" s="12"/>
      <c r="LP16" s="199"/>
      <c r="LQ16" s="192"/>
      <c r="LR16" s="192"/>
      <c r="LS16" s="194"/>
      <c r="LT16" s="194">
        <f>C16</f>
        <v>0</v>
      </c>
      <c r="LU16" s="200"/>
      <c r="LV16" s="12"/>
      <c r="LW16" s="12"/>
      <c r="LX16" s="199"/>
      <c r="LY16" s="192"/>
      <c r="LZ16" s="192"/>
      <c r="MA16" s="194"/>
      <c r="MB16" s="194">
        <f>C16</f>
        <v>0</v>
      </c>
      <c r="MC16" s="200"/>
      <c r="MD16" s="12"/>
      <c r="ME16" s="12"/>
      <c r="MF16" s="199"/>
      <c r="MG16" s="192"/>
      <c r="MH16" s="192"/>
      <c r="MK16" s="194">
        <f>C16</f>
        <v>0</v>
      </c>
      <c r="ML16" s="203"/>
      <c r="MM16" s="12"/>
      <c r="MN16" s="12"/>
      <c r="MO16" s="199"/>
      <c r="MP16" s="192"/>
      <c r="MQ16" s="201"/>
      <c r="MR16" s="201"/>
      <c r="MT16" s="194">
        <f>C16</f>
        <v>0</v>
      </c>
      <c r="MU16" s="203"/>
      <c r="MV16" s="204"/>
      <c r="MX16" s="192"/>
      <c r="MY16" s="192"/>
      <c r="MZ16" s="192"/>
      <c r="NA16" s="192"/>
      <c r="NC16" s="194">
        <f>C16</f>
        <v>0</v>
      </c>
      <c r="ND16" s="203"/>
      <c r="NE16" s="204"/>
      <c r="NG16" s="192"/>
      <c r="NH16" s="192"/>
      <c r="NI16" s="192"/>
      <c r="NJ16" s="192"/>
      <c r="NK16" s="192"/>
      <c r="NM16" s="194">
        <f>C16</f>
        <v>0</v>
      </c>
      <c r="NN16" s="203"/>
      <c r="NQ16" s="192"/>
      <c r="NR16" s="192"/>
      <c r="NT16" s="194"/>
      <c r="NU16" s="194">
        <f>C16</f>
        <v>0</v>
      </c>
      <c r="NV16" s="203"/>
      <c r="NW16" s="205"/>
      <c r="NY16" s="192"/>
      <c r="NZ16" s="201"/>
      <c r="OA16" s="200"/>
      <c r="OB16" s="194"/>
      <c r="OC16" s="194">
        <f>C16</f>
        <v>0</v>
      </c>
      <c r="OD16" s="200"/>
      <c r="OE16" s="12"/>
      <c r="OF16" s="12"/>
      <c r="OG16" s="199"/>
      <c r="OH16" s="192"/>
      <c r="OI16" s="192"/>
      <c r="OJ16" s="194"/>
      <c r="OK16" s="194">
        <f>C16</f>
        <v>0</v>
      </c>
      <c r="OL16" s="200"/>
      <c r="OM16" s="12"/>
      <c r="ON16" s="12"/>
      <c r="OO16" s="199"/>
      <c r="OP16" s="192"/>
      <c r="OQ16" s="192"/>
      <c r="OT16" s="26">
        <f>OK16</f>
        <v>0</v>
      </c>
      <c r="OU16"/>
      <c r="OW16" s="191"/>
      <c r="OX16" s="192"/>
    </row>
    <row r="17" s="8" customFormat="1" ht="17" customHeight="1" spans="1:415">
      <c r="A17" s="15"/>
      <c r="B17" s="15"/>
      <c r="C17" s="15"/>
      <c r="D17" s="138"/>
      <c r="E17" s="19"/>
      <c r="F17" s="19"/>
      <c r="G17" s="172"/>
      <c r="H17" s="18"/>
      <c r="I17" s="122"/>
      <c r="J17" s="122"/>
      <c r="K17" s="125">
        <f>C17</f>
        <v>0</v>
      </c>
      <c r="L17" s="125"/>
      <c r="M17" s="125"/>
      <c r="N17" s="125"/>
      <c r="O17" s="122"/>
      <c r="P17" s="18"/>
      <c r="Q17" s="122"/>
      <c r="R17" s="125"/>
      <c r="S17" s="125">
        <f>C17</f>
        <v>0</v>
      </c>
      <c r="T17" s="125"/>
      <c r="U17" s="125"/>
      <c r="V17" s="125"/>
      <c r="W17" s="122"/>
      <c r="X17" s="18"/>
      <c r="Y17" s="122"/>
      <c r="Z17" s="125"/>
      <c r="AA17" s="125">
        <f>S17</f>
        <v>0</v>
      </c>
      <c r="AB17" s="125"/>
      <c r="AC17" s="125"/>
      <c r="AD17" s="125"/>
      <c r="AE17" s="122"/>
      <c r="AF17" s="18"/>
      <c r="AG17" s="122"/>
      <c r="AH17" s="125"/>
      <c r="AI17" s="125">
        <f>C17</f>
        <v>0</v>
      </c>
      <c r="AJ17" s="125"/>
      <c r="AK17" s="125"/>
      <c r="AL17" s="125"/>
      <c r="AM17" s="122"/>
      <c r="AN17" s="18"/>
      <c r="AO17" s="18"/>
      <c r="AP17" s="125"/>
      <c r="AQ17" s="125">
        <f>C17</f>
        <v>0</v>
      </c>
      <c r="AR17" s="145"/>
      <c r="AS17" s="125"/>
      <c r="AT17" s="125"/>
      <c r="AU17" s="122"/>
      <c r="AV17" s="18"/>
      <c r="AW17" s="18"/>
      <c r="AX17" s="17"/>
      <c r="AY17" s="138"/>
      <c r="AZ17" s="125">
        <f>C17</f>
        <v>0</v>
      </c>
      <c r="BA17" s="125"/>
      <c r="BB17" s="138"/>
      <c r="BC17" s="125"/>
      <c r="BD17" s="122"/>
      <c r="BE17" s="18"/>
      <c r="BF17" s="18"/>
      <c r="BG17" s="74"/>
      <c r="BH17" s="194">
        <f>C17</f>
        <v>0</v>
      </c>
      <c r="BI17" s="194"/>
      <c r="BJ17" s="195"/>
      <c r="BK17" s="195"/>
      <c r="BL17" s="196"/>
      <c r="BM17" s="197"/>
      <c r="BN17" s="192"/>
      <c r="BO17" s="194"/>
      <c r="BP17" s="194">
        <f>C17</f>
        <v>0</v>
      </c>
      <c r="BQ17" s="198"/>
      <c r="BR17" s="12"/>
      <c r="BS17" s="12"/>
      <c r="BT17" s="199"/>
      <c r="BU17" s="192"/>
      <c r="BV17" s="192"/>
      <c r="BW17" s="194"/>
      <c r="BX17" s="194">
        <f>C17</f>
        <v>0</v>
      </c>
      <c r="BY17" s="200"/>
      <c r="BZ17" s="12"/>
      <c r="CA17" s="12"/>
      <c r="CB17" s="199"/>
      <c r="CC17" s="192"/>
      <c r="CD17" s="201"/>
      <c r="CE17" s="194"/>
      <c r="CF17" s="194">
        <f>C17</f>
        <v>0</v>
      </c>
      <c r="CG17" s="200"/>
      <c r="CH17" s="12"/>
      <c r="CI17" s="12"/>
      <c r="CJ17" s="199"/>
      <c r="CK17" s="192"/>
      <c r="CL17" s="201"/>
      <c r="CM17" s="194"/>
      <c r="CN17" s="194">
        <f>C17</f>
        <v>0</v>
      </c>
      <c r="CO17" s="200"/>
      <c r="CP17" s="12"/>
      <c r="CQ17" s="12"/>
      <c r="CR17" s="199"/>
      <c r="CS17" s="201"/>
      <c r="CT17" s="201"/>
      <c r="CU17" s="194"/>
      <c r="CV17" s="194">
        <f>C17</f>
        <v>0</v>
      </c>
      <c r="CW17" s="200"/>
      <c r="CX17" s="12"/>
      <c r="CY17" s="12"/>
      <c r="CZ17" s="199"/>
      <c r="DA17" s="192"/>
      <c r="DB17" s="192"/>
      <c r="DC17" s="202"/>
      <c r="DD17" s="194">
        <f>C17</f>
        <v>0</v>
      </c>
      <c r="DE17" s="200"/>
      <c r="DF17" s="12"/>
      <c r="DG17" s="12"/>
      <c r="DH17" s="199"/>
      <c r="DI17" s="192"/>
      <c r="DJ17" s="192"/>
      <c r="DK17" s="194"/>
      <c r="DL17" s="194">
        <f t="shared" si="7"/>
        <v>0</v>
      </c>
      <c r="DM17" s="200"/>
      <c r="DN17" s="12"/>
      <c r="DO17" s="12"/>
      <c r="DP17" s="199"/>
      <c r="DQ17" s="192"/>
      <c r="DR17" s="192"/>
      <c r="DS17" s="194"/>
      <c r="DT17" s="194">
        <f>C17</f>
        <v>0</v>
      </c>
      <c r="DU17" s="200"/>
      <c r="DV17" s="12"/>
      <c r="DW17" s="12"/>
      <c r="DX17" s="199"/>
      <c r="DY17" s="192"/>
      <c r="DZ17" s="192"/>
      <c r="EA17" s="194"/>
      <c r="EB17" s="194">
        <f>C17</f>
        <v>0</v>
      </c>
      <c r="EC17" s="200"/>
      <c r="ED17" s="12"/>
      <c r="EE17" s="12"/>
      <c r="EF17" s="199"/>
      <c r="EG17" s="192"/>
      <c r="EH17" s="192"/>
      <c r="EI17" s="194"/>
      <c r="EJ17" s="194">
        <f>C17</f>
        <v>0</v>
      </c>
      <c r="EK17" s="200"/>
      <c r="EL17" s="12"/>
      <c r="EM17" s="12"/>
      <c r="EN17" s="199"/>
      <c r="EO17" s="192"/>
      <c r="EP17" s="192"/>
      <c r="EQ17" s="194"/>
      <c r="ER17" s="194">
        <f>C17</f>
        <v>0</v>
      </c>
      <c r="ES17" s="203"/>
      <c r="ET17" s="12"/>
      <c r="EU17" s="12"/>
      <c r="EV17" s="199"/>
      <c r="EW17" s="192"/>
      <c r="EX17" s="192"/>
      <c r="EY17" s="194"/>
      <c r="EZ17" s="194">
        <f>C17</f>
        <v>0</v>
      </c>
      <c r="FA17" s="200"/>
      <c r="FB17" s="12"/>
      <c r="FC17" s="12"/>
      <c r="FD17" s="199"/>
      <c r="FE17" s="192"/>
      <c r="FF17" s="192"/>
      <c r="FG17" s="192"/>
      <c r="FH17" s="194">
        <f>C17</f>
        <v>0</v>
      </c>
      <c r="FI17" s="198"/>
      <c r="FJ17" s="12"/>
      <c r="FK17" s="12"/>
      <c r="FL17" s="199"/>
      <c r="FM17" s="201"/>
      <c r="FN17" s="201"/>
      <c r="FO17" s="194"/>
      <c r="FP17" s="194">
        <f>C17</f>
        <v>0</v>
      </c>
      <c r="FQ17" s="200"/>
      <c r="FR17" s="12"/>
      <c r="FS17" s="12"/>
      <c r="FT17" s="199"/>
      <c r="FU17" s="192"/>
      <c r="FV17" s="192"/>
      <c r="FW17" s="194"/>
      <c r="FX17" s="194">
        <f>C17</f>
        <v>0</v>
      </c>
      <c r="FY17" s="200"/>
      <c r="FZ17" s="12"/>
      <c r="GA17" s="12"/>
      <c r="GB17" s="199"/>
      <c r="GC17" s="192"/>
      <c r="GD17" s="192"/>
      <c r="GE17" s="194"/>
      <c r="GF17" s="194">
        <f>C17</f>
        <v>0</v>
      </c>
      <c r="GG17" s="200"/>
      <c r="GH17" s="12"/>
      <c r="GI17" s="12"/>
      <c r="GJ17" s="199"/>
      <c r="GK17" s="192"/>
      <c r="GL17" s="192"/>
      <c r="GM17" s="194"/>
      <c r="GN17" s="194">
        <f>C17</f>
        <v>0</v>
      </c>
      <c r="GO17" s="200"/>
      <c r="GP17" s="12"/>
      <c r="GQ17" s="12"/>
      <c r="GR17" s="199"/>
      <c r="GS17" s="192"/>
      <c r="GT17" s="192"/>
      <c r="GU17" s="194"/>
      <c r="GV17" s="194">
        <f>C17</f>
        <v>0</v>
      </c>
      <c r="GW17" s="200"/>
      <c r="GX17" s="12"/>
      <c r="GY17" s="12"/>
      <c r="GZ17" s="199"/>
      <c r="HA17" s="192"/>
      <c r="HB17" s="192"/>
      <c r="HC17" s="194"/>
      <c r="HD17" s="194">
        <f>C17</f>
        <v>0</v>
      </c>
      <c r="HE17" s="200"/>
      <c r="HF17" s="12"/>
      <c r="HG17" s="12"/>
      <c r="HH17" s="199"/>
      <c r="HI17" s="201"/>
      <c r="HJ17" s="192"/>
      <c r="HK17" s="194"/>
      <c r="HL17" s="194">
        <f>C17</f>
        <v>0</v>
      </c>
      <c r="HM17" s="200"/>
      <c r="HN17" s="12"/>
      <c r="HO17" s="12"/>
      <c r="HP17" s="199"/>
      <c r="HQ17" s="192"/>
      <c r="HR17" s="192"/>
      <c r="HS17" s="194"/>
      <c r="HT17" s="194">
        <f>C17</f>
        <v>0</v>
      </c>
      <c r="HU17" s="200"/>
      <c r="HV17" s="12"/>
      <c r="HW17" s="12"/>
      <c r="HX17" s="199"/>
      <c r="HY17" s="192"/>
      <c r="HZ17" s="192"/>
      <c r="IA17" s="194"/>
      <c r="IB17" s="194">
        <f>C17</f>
        <v>0</v>
      </c>
      <c r="IC17" s="200"/>
      <c r="ID17" s="12"/>
      <c r="IE17" s="12"/>
      <c r="IF17" s="199"/>
      <c r="IG17" s="201"/>
      <c r="IH17" s="192"/>
      <c r="II17" s="194"/>
      <c r="IJ17" s="194">
        <f>C17</f>
        <v>0</v>
      </c>
      <c r="IK17" s="200"/>
      <c r="IL17" s="12"/>
      <c r="IM17" s="12"/>
      <c r="IN17" s="199"/>
      <c r="IO17" s="192"/>
      <c r="IP17" s="192"/>
      <c r="IQ17" s="194"/>
      <c r="IR17" s="194">
        <f>C17</f>
        <v>0</v>
      </c>
      <c r="IS17" s="200"/>
      <c r="IT17" s="12"/>
      <c r="IU17" s="12"/>
      <c r="IV17" s="199"/>
      <c r="IW17" s="192"/>
      <c r="IX17" s="192"/>
      <c r="IY17" s="194"/>
      <c r="IZ17" s="194">
        <f>C17</f>
        <v>0</v>
      </c>
      <c r="JA17" s="200"/>
      <c r="JB17" s="12"/>
      <c r="JC17" s="12"/>
      <c r="JD17" s="199"/>
      <c r="JE17" s="192"/>
      <c r="JF17" s="192"/>
      <c r="JG17" s="194"/>
      <c r="JH17" s="194">
        <f>C17</f>
        <v>0</v>
      </c>
      <c r="JI17" s="200"/>
      <c r="JJ17" s="12"/>
      <c r="JK17" s="12"/>
      <c r="JL17" s="199"/>
      <c r="JM17" s="192"/>
      <c r="JN17" s="192"/>
      <c r="JO17" s="192"/>
      <c r="JP17" s="194">
        <f>C17</f>
        <v>0</v>
      </c>
      <c r="JQ17" s="200"/>
      <c r="JR17" s="12"/>
      <c r="JS17" s="12"/>
      <c r="JT17" s="199"/>
      <c r="JU17" s="192"/>
      <c r="JV17" s="192"/>
      <c r="JW17" s="201"/>
      <c r="JX17" s="194">
        <f>C17</f>
        <v>0</v>
      </c>
      <c r="JY17" s="200"/>
      <c r="JZ17" s="12"/>
      <c r="KA17" s="12"/>
      <c r="KB17" s="199"/>
      <c r="KC17" s="192"/>
      <c r="KD17" s="192"/>
      <c r="KE17" s="201"/>
      <c r="KF17" s="194">
        <f>C17</f>
        <v>0</v>
      </c>
      <c r="KG17" s="200"/>
      <c r="KH17" s="12"/>
      <c r="KI17" s="12"/>
      <c r="KJ17" s="199"/>
      <c r="KK17" s="201"/>
      <c r="KL17" s="201"/>
      <c r="KM17" s="194"/>
      <c r="KN17" s="194">
        <f>C17</f>
        <v>0</v>
      </c>
      <c r="KO17" s="200"/>
      <c r="KP17" s="12"/>
      <c r="KQ17" s="12"/>
      <c r="KR17" s="199"/>
      <c r="KS17" s="192"/>
      <c r="KT17" s="192"/>
      <c r="KU17" s="194"/>
      <c r="KV17" s="194">
        <f>C17</f>
        <v>0</v>
      </c>
      <c r="KW17" s="200"/>
      <c r="KX17" s="12"/>
      <c r="KY17" s="12"/>
      <c r="KZ17" s="199"/>
      <c r="LA17" s="201"/>
      <c r="LB17" s="192"/>
      <c r="LC17" s="194"/>
      <c r="LD17" s="194">
        <f>C17</f>
        <v>0</v>
      </c>
      <c r="LE17" s="200"/>
      <c r="LF17" s="12"/>
      <c r="LG17" s="12"/>
      <c r="LH17" s="199"/>
      <c r="LI17" s="192"/>
      <c r="LJ17" s="192"/>
      <c r="LK17" s="194"/>
      <c r="LL17" s="194">
        <f>C17</f>
        <v>0</v>
      </c>
      <c r="LM17" s="198"/>
      <c r="LN17" s="12"/>
      <c r="LO17" s="12"/>
      <c r="LP17" s="199"/>
      <c r="LQ17" s="192"/>
      <c r="LR17" s="192"/>
      <c r="LS17" s="194"/>
      <c r="LT17" s="194">
        <f>C17</f>
        <v>0</v>
      </c>
      <c r="LU17" s="200"/>
      <c r="LV17" s="12"/>
      <c r="LW17" s="12"/>
      <c r="LX17" s="199"/>
      <c r="LY17" s="192"/>
      <c r="LZ17" s="192"/>
      <c r="MA17" s="194"/>
      <c r="MB17" s="194">
        <f>C17</f>
        <v>0</v>
      </c>
      <c r="MC17" s="200"/>
      <c r="MD17" s="12"/>
      <c r="ME17" s="12"/>
      <c r="MF17" s="199"/>
      <c r="MG17" s="192"/>
      <c r="MH17" s="192"/>
      <c r="MK17" s="194">
        <f>C17</f>
        <v>0</v>
      </c>
      <c r="ML17" s="203"/>
      <c r="MM17" s="12"/>
      <c r="MN17" s="12"/>
      <c r="MO17" s="199"/>
      <c r="MP17" s="192"/>
      <c r="MQ17" s="201"/>
      <c r="MR17" s="201"/>
      <c r="MT17" s="194">
        <f>C17</f>
        <v>0</v>
      </c>
      <c r="MU17" s="203"/>
      <c r="MV17" s="204"/>
      <c r="MX17" s="192"/>
      <c r="MY17" s="192"/>
      <c r="MZ17" s="192"/>
      <c r="NA17" s="192"/>
      <c r="NC17" s="194">
        <f>C17</f>
        <v>0</v>
      </c>
      <c r="ND17" s="203"/>
      <c r="NE17" s="204"/>
      <c r="NG17" s="192"/>
      <c r="NH17" s="192"/>
      <c r="NI17" s="192"/>
      <c r="NJ17" s="192"/>
      <c r="NK17" s="192"/>
      <c r="NM17" s="194">
        <f>C17</f>
        <v>0</v>
      </c>
      <c r="NN17" s="203"/>
      <c r="NQ17" s="192"/>
      <c r="NR17" s="192"/>
      <c r="NT17" s="194"/>
      <c r="NU17" s="194">
        <f>C17</f>
        <v>0</v>
      </c>
      <c r="NV17" s="203"/>
      <c r="NW17" s="205"/>
      <c r="NY17" s="192"/>
      <c r="NZ17" s="201"/>
      <c r="OA17" s="200"/>
      <c r="OB17" s="194"/>
      <c r="OC17" s="194">
        <f>C17</f>
        <v>0</v>
      </c>
      <c r="OD17" s="200"/>
      <c r="OE17" s="12"/>
      <c r="OF17" s="12"/>
      <c r="OG17" s="199"/>
      <c r="OH17" s="192"/>
      <c r="OI17" s="192"/>
      <c r="OJ17" s="194"/>
      <c r="OK17" s="194">
        <f>C17</f>
        <v>0</v>
      </c>
      <c r="OL17" s="200"/>
      <c r="OM17" s="12"/>
      <c r="ON17" s="12"/>
      <c r="OO17" s="199"/>
      <c r="OP17" s="192"/>
      <c r="OQ17" s="192"/>
      <c r="OT17" s="26">
        <f>OK17</f>
        <v>0</v>
      </c>
      <c r="OU17"/>
      <c r="OW17" s="191"/>
      <c r="OX17" s="192"/>
    </row>
    <row r="18" s="8" customFormat="1" ht="17" customHeight="1" spans="1:415">
      <c r="A18" s="15"/>
      <c r="B18" s="15"/>
      <c r="C18" s="15" t="s">
        <v>444</v>
      </c>
      <c r="D18" s="138">
        <v>2848188.77</v>
      </c>
      <c r="E18" s="19">
        <f>D19</f>
        <v>2790498.77</v>
      </c>
      <c r="F18" s="19">
        <f>D18-E18</f>
        <v>57690</v>
      </c>
      <c r="G18" s="172">
        <f>F18/E18</f>
        <v>0.0206737235006916</v>
      </c>
      <c r="H18" s="18"/>
      <c r="I18" s="122"/>
      <c r="J18" s="122"/>
      <c r="K18" s="125" t="str">
        <f>C18</f>
        <v>2026//6/8</v>
      </c>
      <c r="L18" s="125">
        <v>2229994.4</v>
      </c>
      <c r="M18" s="125">
        <f>L19</f>
        <v>2199574.4</v>
      </c>
      <c r="N18" s="125">
        <f>L18-M18</f>
        <v>30420</v>
      </c>
      <c r="O18" s="122">
        <f>N18/M18</f>
        <v>0.0138299481936142</v>
      </c>
      <c r="P18" s="18"/>
      <c r="Q18" s="122"/>
      <c r="R18" s="125"/>
      <c r="S18" s="125" t="str">
        <f>C18</f>
        <v>2026//6/8</v>
      </c>
      <c r="T18" s="125">
        <v>811506.68</v>
      </c>
      <c r="U18" s="125">
        <f>T19</f>
        <v>766146.68</v>
      </c>
      <c r="V18" s="125">
        <f>T18-U18</f>
        <v>45360</v>
      </c>
      <c r="W18" s="122">
        <f>V18/U18</f>
        <v>0.0592053730494531</v>
      </c>
      <c r="X18" s="18"/>
      <c r="Y18" s="122"/>
      <c r="Z18" s="125"/>
      <c r="AA18" s="125" t="str">
        <f>S18</f>
        <v>2026//6/8</v>
      </c>
      <c r="AB18" s="125">
        <v>459336.86</v>
      </c>
      <c r="AC18" s="125">
        <f>AB19</f>
        <v>449336.86</v>
      </c>
      <c r="AD18" s="125">
        <f>AB18-AC18</f>
        <v>10000</v>
      </c>
      <c r="AE18" s="122">
        <f>AD18/AC18</f>
        <v>0.0222550182061627</v>
      </c>
      <c r="AF18" s="18"/>
      <c r="AG18" s="122"/>
      <c r="AH18" s="125"/>
      <c r="AI18" s="125" t="str">
        <f>C18</f>
        <v>2026//6/8</v>
      </c>
      <c r="AJ18" s="125">
        <v>422321.76</v>
      </c>
      <c r="AK18" s="125">
        <f>AJ19</f>
        <v>335921.76</v>
      </c>
      <c r="AL18" s="125">
        <f>AJ18-AK18</f>
        <v>86400</v>
      </c>
      <c r="AM18" s="122">
        <f>AL18/AK18</f>
        <v>0.25720274864004</v>
      </c>
      <c r="AN18" s="18"/>
      <c r="AO18" s="18"/>
      <c r="AP18" s="125"/>
      <c r="AQ18" s="125" t="str">
        <f>C18</f>
        <v>2026//6/8</v>
      </c>
      <c r="AR18" s="145">
        <v>1082645.4936</v>
      </c>
      <c r="AS18" s="125">
        <f>AR19</f>
        <v>1066745.4936</v>
      </c>
      <c r="AT18" s="125">
        <f>AR18-AS18</f>
        <v>15900</v>
      </c>
      <c r="AU18" s="122">
        <f>AT18/AS18</f>
        <v>0.0149051485057991</v>
      </c>
      <c r="AV18" s="18"/>
      <c r="AW18" s="18"/>
      <c r="AX18" s="17"/>
      <c r="AY18" s="138"/>
      <c r="AZ18" s="125" t="str">
        <f>C18</f>
        <v>2026//6/8</v>
      </c>
      <c r="BA18" s="125">
        <v>1252101.6676</v>
      </c>
      <c r="BB18" s="138">
        <f>BA19</f>
        <v>1229421.6676</v>
      </c>
      <c r="BC18" s="125">
        <f>BA18-BB18</f>
        <v>22680</v>
      </c>
      <c r="BD18" s="122">
        <f>BC18/BB18</f>
        <v>0.0184476982940072</v>
      </c>
      <c r="BE18" s="18"/>
      <c r="BF18" s="18"/>
      <c r="BG18" s="74"/>
      <c r="BH18" s="194" t="str">
        <f>C18</f>
        <v>2026//6/8</v>
      </c>
      <c r="BI18" s="194">
        <v>1349726.5525</v>
      </c>
      <c r="BJ18" s="195">
        <f>BI19</f>
        <v>1359726.5525</v>
      </c>
      <c r="BK18" s="195">
        <f>BI18-BJ18</f>
        <v>-10000</v>
      </c>
      <c r="BL18" s="196">
        <f>BK18/BJ18</f>
        <v>-0.00735441988803848</v>
      </c>
      <c r="BM18" s="197"/>
      <c r="BN18" s="192"/>
      <c r="BO18" s="194"/>
      <c r="BP18" s="194" t="str">
        <f>C18</f>
        <v>2026//6/8</v>
      </c>
      <c r="BQ18" s="198">
        <v>1174562.3921</v>
      </c>
      <c r="BR18" s="12">
        <f>BQ19</f>
        <v>1169962.3921</v>
      </c>
      <c r="BS18" s="12">
        <f>BQ18-BR18</f>
        <v>4600</v>
      </c>
      <c r="BT18" s="199">
        <f>BS18/BR18</f>
        <v>0.00393175031185688</v>
      </c>
      <c r="BU18" s="192"/>
      <c r="BV18" s="192"/>
      <c r="BW18" s="194"/>
      <c r="BX18" s="194" t="str">
        <f>C18</f>
        <v>2026//6/8</v>
      </c>
      <c r="BY18" s="200">
        <v>1966760.7019</v>
      </c>
      <c r="BZ18" s="12">
        <f>BY19</f>
        <v>2010160.7019</v>
      </c>
      <c r="CA18" s="12">
        <f>BY18-BZ18</f>
        <v>-43400</v>
      </c>
      <c r="CB18" s="199">
        <f>CA18/BZ18</f>
        <v>-0.0215903136296409</v>
      </c>
      <c r="CC18" s="192"/>
      <c r="CD18" s="201"/>
      <c r="CE18" s="194"/>
      <c r="CF18" s="194" t="str">
        <f>C18</f>
        <v>2026//6/8</v>
      </c>
      <c r="CG18" s="200">
        <v>1323303.9</v>
      </c>
      <c r="CH18" s="12">
        <f>CG19</f>
        <v>1324553.9</v>
      </c>
      <c r="CI18" s="12">
        <f>CG18-CH18</f>
        <v>-1250</v>
      </c>
      <c r="CJ18" s="199">
        <f>CI18/CH18</f>
        <v>-0.000943713955317334</v>
      </c>
      <c r="CK18" s="192"/>
      <c r="CL18" s="201"/>
      <c r="CM18" s="194"/>
      <c r="CN18" s="194" t="str">
        <f>C18</f>
        <v>2026//6/8</v>
      </c>
      <c r="CO18" s="200">
        <v>570246.48</v>
      </c>
      <c r="CP18" s="12">
        <f>CO19</f>
        <v>572446.48</v>
      </c>
      <c r="CQ18" s="12">
        <f>CO18-CP18</f>
        <v>-2200</v>
      </c>
      <c r="CR18" s="199">
        <f>CQ18/CP18</f>
        <v>-0.00384315403598953</v>
      </c>
      <c r="CS18" s="201"/>
      <c r="CT18" s="201"/>
      <c r="CU18" s="194"/>
      <c r="CV18" s="194" t="str">
        <f>C18</f>
        <v>2026//6/8</v>
      </c>
      <c r="CW18" s="200">
        <v>554890.4</v>
      </c>
      <c r="CX18" s="12">
        <f>CW19</f>
        <v>571090.4</v>
      </c>
      <c r="CY18" s="12">
        <f>CW18-CX18</f>
        <v>-16200</v>
      </c>
      <c r="CZ18" s="199">
        <f>CY18/CX18</f>
        <v>-0.0283667874648217</v>
      </c>
      <c r="DA18" s="192"/>
      <c r="DB18" s="192"/>
      <c r="DC18" s="202"/>
      <c r="DD18" s="194" t="str">
        <f>C18</f>
        <v>2026//6/8</v>
      </c>
      <c r="DE18" s="200">
        <v>1651517.9986</v>
      </c>
      <c r="DF18" s="12">
        <f>DE19</f>
        <v>1701117.9986</v>
      </c>
      <c r="DG18" s="12">
        <f>DE18-DF18</f>
        <v>-49600</v>
      </c>
      <c r="DH18" s="199">
        <f>DG18/DF18</f>
        <v>-0.0291572954026824</v>
      </c>
      <c r="DI18" s="192"/>
      <c r="DJ18" s="192"/>
      <c r="DK18" s="194"/>
      <c r="DL18" s="194" t="str">
        <f t="shared" si="7"/>
        <v>2026//6/8</v>
      </c>
      <c r="DM18" s="200">
        <v>845500.36</v>
      </c>
      <c r="DN18" s="12">
        <f>DM19</f>
        <v>847100.36</v>
      </c>
      <c r="DO18" s="12">
        <f>DM18-DN18</f>
        <v>-1600</v>
      </c>
      <c r="DP18" s="199">
        <f>DO18/DN18</f>
        <v>-0.00188879626966514</v>
      </c>
      <c r="DQ18" s="192"/>
      <c r="DR18" s="192"/>
      <c r="DS18" s="194"/>
      <c r="DT18" s="194" t="str">
        <f>C18</f>
        <v>2026//6/8</v>
      </c>
      <c r="DU18" s="200">
        <v>1277489.48</v>
      </c>
      <c r="DV18" s="12">
        <f>DU19</f>
        <v>1257989.48</v>
      </c>
      <c r="DW18" s="12">
        <f>DU18-DV18</f>
        <v>19500</v>
      </c>
      <c r="DX18" s="199">
        <f>DW18/DV18</f>
        <v>0.015500924538733</v>
      </c>
      <c r="DY18" s="192"/>
      <c r="DZ18" s="192"/>
      <c r="EA18" s="194"/>
      <c r="EB18" s="194" t="str">
        <f>C18</f>
        <v>2026//6/8</v>
      </c>
      <c r="EC18" s="200">
        <v>3441266.82</v>
      </c>
      <c r="ED18" s="12">
        <f>EC19</f>
        <v>3346466.82</v>
      </c>
      <c r="EE18" s="12">
        <f>EC18-ED18</f>
        <v>94800</v>
      </c>
      <c r="EF18" s="199">
        <f>EE18/ED18</f>
        <v>0.0283283848605438</v>
      </c>
      <c r="EG18" s="192"/>
      <c r="EH18" s="192"/>
      <c r="EI18" s="194"/>
      <c r="EJ18" s="194" t="str">
        <f>C18</f>
        <v>2026//6/8</v>
      </c>
      <c r="EK18" s="200">
        <v>1145122.9669</v>
      </c>
      <c r="EL18" s="12">
        <f>EK19</f>
        <v>1147122.9669</v>
      </c>
      <c r="EM18" s="12">
        <f>EK18-EL18</f>
        <v>-2000</v>
      </c>
      <c r="EN18" s="199">
        <f>EM18/EL18</f>
        <v>-0.00174349224774466</v>
      </c>
      <c r="EO18" s="192"/>
      <c r="EP18" s="192"/>
      <c r="EQ18" s="194"/>
      <c r="ER18" s="194" t="str">
        <f>C18</f>
        <v>2026//6/8</v>
      </c>
      <c r="ES18" s="203">
        <v>384347.02</v>
      </c>
      <c r="ET18" s="12">
        <f>ES19</f>
        <v>383297.02</v>
      </c>
      <c r="EU18" s="12">
        <f>ES18-ET18</f>
        <v>1050</v>
      </c>
      <c r="EV18" s="199">
        <f>EU18/ET18</f>
        <v>0.00273938993838251</v>
      </c>
      <c r="EW18" s="192"/>
      <c r="EX18" s="192"/>
      <c r="EY18" s="194"/>
      <c r="EZ18" s="194" t="str">
        <f>C18</f>
        <v>2026//6/8</v>
      </c>
      <c r="FA18" s="200">
        <v>566808</v>
      </c>
      <c r="FB18" s="12">
        <f>FA19</f>
        <v>560208</v>
      </c>
      <c r="FC18" s="12">
        <f>FA18-FB18</f>
        <v>6600</v>
      </c>
      <c r="FD18" s="199">
        <f>FC18/FB18</f>
        <v>0.0117813383600377</v>
      </c>
      <c r="FE18" s="192"/>
      <c r="FF18" s="192"/>
      <c r="FG18" s="192"/>
      <c r="FH18" s="194" t="str">
        <f>C18</f>
        <v>2026//6/8</v>
      </c>
      <c r="FI18" s="198">
        <v>1086995.3365</v>
      </c>
      <c r="FJ18" s="12">
        <f>FI19</f>
        <v>1071195.3365</v>
      </c>
      <c r="FK18" s="12">
        <f>FI18-FJ18</f>
        <v>15800</v>
      </c>
      <c r="FL18" s="199">
        <f>FK18/FJ18</f>
        <v>0.0147498775075184</v>
      </c>
      <c r="FM18" s="201"/>
      <c r="FN18" s="201"/>
      <c r="FO18" s="194"/>
      <c r="FP18" s="194" t="str">
        <f>C18</f>
        <v>2026//6/8</v>
      </c>
      <c r="FQ18" s="200">
        <v>1612468.73</v>
      </c>
      <c r="FR18" s="12">
        <f>FQ19</f>
        <v>1586518.73</v>
      </c>
      <c r="FS18" s="12">
        <f>FQ18-FR18</f>
        <v>25950</v>
      </c>
      <c r="FT18" s="199">
        <f>FS18/FR18</f>
        <v>0.0163565670605099</v>
      </c>
      <c r="FU18" s="192"/>
      <c r="FV18" s="192"/>
      <c r="FW18" s="194"/>
      <c r="FX18" s="194" t="str">
        <f>C18</f>
        <v>2026//6/8</v>
      </c>
      <c r="FY18" s="200">
        <v>8649782.05</v>
      </c>
      <c r="FZ18" s="12">
        <f>FY19</f>
        <v>8585382.05</v>
      </c>
      <c r="GA18" s="12">
        <f>FY18-FZ18</f>
        <v>64400</v>
      </c>
      <c r="GB18" s="199">
        <f>GA18/FZ18</f>
        <v>0.00750112221272669</v>
      </c>
      <c r="GC18" s="192"/>
      <c r="GD18" s="192"/>
      <c r="GE18" s="194"/>
      <c r="GF18" s="194" t="str">
        <f>C18</f>
        <v>2026//6/8</v>
      </c>
      <c r="GG18" s="200">
        <v>5115669.49</v>
      </c>
      <c r="GH18" s="12">
        <f>GG19</f>
        <v>5074569.49</v>
      </c>
      <c r="GI18" s="12">
        <f>GG18-GH18</f>
        <v>41100</v>
      </c>
      <c r="GJ18" s="199">
        <f>GI18/GH18</f>
        <v>0.00809920921981502</v>
      </c>
      <c r="GK18" s="192"/>
      <c r="GL18" s="192"/>
      <c r="GM18" s="194"/>
      <c r="GN18" s="194" t="str">
        <f>C18</f>
        <v>2026//6/8</v>
      </c>
      <c r="GO18" s="200">
        <v>1923958.1217</v>
      </c>
      <c r="GP18" s="12">
        <f>GO19</f>
        <v>1910098.1217</v>
      </c>
      <c r="GQ18" s="12">
        <f>GO18-GP18</f>
        <v>13860</v>
      </c>
      <c r="GR18" s="199">
        <f>GQ18/GP18</f>
        <v>0.00725617173408061</v>
      </c>
      <c r="GS18" s="192"/>
      <c r="GT18" s="192"/>
      <c r="GU18" s="194"/>
      <c r="GV18" s="194" t="str">
        <f>C18</f>
        <v>2026//6/8</v>
      </c>
      <c r="GW18" s="200">
        <v>734749.4</v>
      </c>
      <c r="GX18" s="12">
        <f>GW19</f>
        <v>731149.4</v>
      </c>
      <c r="GY18" s="12">
        <f>GW18-GX18</f>
        <v>3600</v>
      </c>
      <c r="GZ18" s="199">
        <f>GY18/GX18</f>
        <v>0.00492375429700141</v>
      </c>
      <c r="HA18" s="192"/>
      <c r="HB18" s="192"/>
      <c r="HC18" s="194"/>
      <c r="HD18" s="194" t="str">
        <f>C18</f>
        <v>2026//6/8</v>
      </c>
      <c r="HE18" s="200">
        <v>987464.6746</v>
      </c>
      <c r="HF18" s="12">
        <f>HE19</f>
        <v>995264.6746</v>
      </c>
      <c r="HG18" s="12">
        <f>HE18-HF18</f>
        <v>-7800</v>
      </c>
      <c r="HH18" s="199">
        <f>HG18/HF18</f>
        <v>-0.00783711127206926</v>
      </c>
      <c r="HI18" s="201"/>
      <c r="HJ18" s="192"/>
      <c r="HK18" s="194"/>
      <c r="HL18" s="194" t="str">
        <f>C18</f>
        <v>2026//6/8</v>
      </c>
      <c r="HM18" s="200">
        <v>118554.25</v>
      </c>
      <c r="HN18" s="12">
        <f>HM19</f>
        <v>119104.25</v>
      </c>
      <c r="HO18" s="12">
        <f>HM18-HN18</f>
        <v>-550</v>
      </c>
      <c r="HP18" s="199">
        <f>HO18/HN18</f>
        <v>-0.00461780331096497</v>
      </c>
      <c r="HQ18" s="192"/>
      <c r="HR18" s="192"/>
      <c r="HS18" s="194"/>
      <c r="HT18" s="194" t="str">
        <f>C18</f>
        <v>2026//6/8</v>
      </c>
      <c r="HU18" s="200">
        <v>162868.8265</v>
      </c>
      <c r="HV18" s="12">
        <f>HU19</f>
        <v>157568.8265</v>
      </c>
      <c r="HW18" s="12">
        <f>HU18-HV18</f>
        <v>5300</v>
      </c>
      <c r="HX18" s="199">
        <f>HW18/HV18</f>
        <v>0.0336360948908888</v>
      </c>
      <c r="HY18" s="192"/>
      <c r="HZ18" s="192"/>
      <c r="IA18" s="194"/>
      <c r="IB18" s="194" t="str">
        <f>C18</f>
        <v>2026//6/8</v>
      </c>
      <c r="IC18" s="200">
        <v>340884.79</v>
      </c>
      <c r="ID18" s="12">
        <f>IC19</f>
        <v>341234.79</v>
      </c>
      <c r="IE18" s="12">
        <f>IC18-ID18</f>
        <v>-350</v>
      </c>
      <c r="IF18" s="199">
        <f>IE18/ID18</f>
        <v>-0.00102568674196438</v>
      </c>
      <c r="IG18" s="201"/>
      <c r="IH18" s="192"/>
      <c r="II18" s="194"/>
      <c r="IJ18" s="194" t="str">
        <f>C18</f>
        <v>2026//6/8</v>
      </c>
      <c r="IK18" s="200">
        <v>958316.29</v>
      </c>
      <c r="IL18" s="12">
        <f>IK19</f>
        <v>979596.29</v>
      </c>
      <c r="IM18" s="12">
        <f>IK18-IL18</f>
        <v>-21280</v>
      </c>
      <c r="IN18" s="199">
        <f>IM18/IL18</f>
        <v>-0.0217232345786038</v>
      </c>
      <c r="IO18" s="192"/>
      <c r="IP18" s="192"/>
      <c r="IQ18" s="194"/>
      <c r="IR18" s="194" t="str">
        <f>C18</f>
        <v>2026//6/8</v>
      </c>
      <c r="IS18" s="200">
        <v>139489</v>
      </c>
      <c r="IT18" s="12">
        <f>IS19</f>
        <v>140989</v>
      </c>
      <c r="IU18" s="12">
        <f>IS18-IT18</f>
        <v>-1500</v>
      </c>
      <c r="IV18" s="199">
        <f>IU18/IT18</f>
        <v>-0.0106391278752243</v>
      </c>
      <c r="IW18" s="192"/>
      <c r="IX18" s="192"/>
      <c r="IY18" s="194"/>
      <c r="IZ18" s="194" t="str">
        <f>C18</f>
        <v>2026//6/8</v>
      </c>
      <c r="JA18" s="200">
        <v>5369929.15</v>
      </c>
      <c r="JB18" s="12">
        <f>JA19</f>
        <v>5322029.15</v>
      </c>
      <c r="JC18" s="12">
        <f>JA18-JB18</f>
        <v>47900</v>
      </c>
      <c r="JD18" s="199">
        <f>JC18/JB18</f>
        <v>0.00900032650140595</v>
      </c>
      <c r="JE18" s="192"/>
      <c r="JF18" s="192"/>
      <c r="JG18" s="194"/>
      <c r="JH18" s="194" t="str">
        <f>C18</f>
        <v>2026//6/8</v>
      </c>
      <c r="JI18" s="200">
        <v>1417947.99</v>
      </c>
      <c r="JJ18" s="12">
        <f>JI19</f>
        <v>1383507.99</v>
      </c>
      <c r="JK18" s="12">
        <f>JI18-JJ18</f>
        <v>34440</v>
      </c>
      <c r="JL18" s="199">
        <f>JK18/JJ18</f>
        <v>0.0248932425753465</v>
      </c>
      <c r="JM18" s="192"/>
      <c r="JN18" s="192"/>
      <c r="JO18" s="192"/>
      <c r="JP18" s="194" t="str">
        <f>C18</f>
        <v>2026//6/8</v>
      </c>
      <c r="JQ18" s="200">
        <v>1034190.4148</v>
      </c>
      <c r="JR18" s="12">
        <f>JQ19</f>
        <v>1038090.4148</v>
      </c>
      <c r="JS18" s="12">
        <f>JQ18-JR18</f>
        <v>-3900</v>
      </c>
      <c r="JT18" s="199">
        <f>JS18/JR18</f>
        <v>-0.00375689818959689</v>
      </c>
      <c r="JU18" s="192"/>
      <c r="JV18" s="192"/>
      <c r="JW18" s="201"/>
      <c r="JX18" s="194" t="str">
        <f>C18</f>
        <v>2026//6/8</v>
      </c>
      <c r="JY18" s="200">
        <v>1120198.8</v>
      </c>
      <c r="JZ18" s="12">
        <f>JY19</f>
        <v>1112848.8</v>
      </c>
      <c r="KA18" s="12">
        <f>JY18-JZ18</f>
        <v>7350</v>
      </c>
      <c r="KB18" s="199">
        <f>KA18/JZ18</f>
        <v>0.00660467082320617</v>
      </c>
      <c r="KC18" s="192"/>
      <c r="KD18" s="192"/>
      <c r="KE18" s="201"/>
      <c r="KF18" s="194" t="str">
        <f>C18</f>
        <v>2026//6/8</v>
      </c>
      <c r="KG18" s="200">
        <v>662755.9219</v>
      </c>
      <c r="KH18" s="12">
        <f>KG19</f>
        <v>663355.9219</v>
      </c>
      <c r="KI18" s="12">
        <f>KG18-KH18</f>
        <v>-600</v>
      </c>
      <c r="KJ18" s="199">
        <f>KI18/KH18</f>
        <v>-0.000904491812301103</v>
      </c>
      <c r="KK18" s="201"/>
      <c r="KL18" s="201"/>
      <c r="KM18" s="194"/>
      <c r="KN18" s="194" t="str">
        <f>C18</f>
        <v>2026//6/8</v>
      </c>
      <c r="KO18" s="200">
        <v>7553775.95</v>
      </c>
      <c r="KP18" s="12">
        <f>KO19</f>
        <v>7552875.95</v>
      </c>
      <c r="KQ18" s="12">
        <f>KO18-KP18</f>
        <v>900</v>
      </c>
      <c r="KR18" s="199">
        <f>KQ18/KP18</f>
        <v>0.000119159907558127</v>
      </c>
      <c r="KS18" s="192"/>
      <c r="KT18" s="192"/>
      <c r="KU18" s="194"/>
      <c r="KV18" s="194" t="str">
        <f>C18</f>
        <v>2026//6/8</v>
      </c>
      <c r="KW18" s="200">
        <v>1079772.9726</v>
      </c>
      <c r="KX18" s="12">
        <f>KW19</f>
        <v>1079772.9726</v>
      </c>
      <c r="KY18" s="12">
        <f>KW18-KX18</f>
        <v>0</v>
      </c>
      <c r="KZ18" s="199">
        <f>KY18/KX18</f>
        <v>0</v>
      </c>
      <c r="LA18" s="201"/>
      <c r="LB18" s="192"/>
      <c r="LC18" s="194"/>
      <c r="LD18" s="194" t="str">
        <f>C18</f>
        <v>2026//6/8</v>
      </c>
      <c r="LE18" s="200">
        <v>409007.7</v>
      </c>
      <c r="LF18" s="12">
        <f>LE19</f>
        <v>412107.7</v>
      </c>
      <c r="LG18" s="12">
        <f>LE18-LF18</f>
        <v>-3100</v>
      </c>
      <c r="LH18" s="199">
        <f>LG18/LF18</f>
        <v>-0.00752230545558843</v>
      </c>
      <c r="LI18" s="192"/>
      <c r="LJ18" s="192"/>
      <c r="LK18" s="194"/>
      <c r="LL18" s="194" t="str">
        <f>C18</f>
        <v>2026//6/8</v>
      </c>
      <c r="LM18" s="198">
        <v>3434335.02</v>
      </c>
      <c r="LN18" s="12">
        <f>LM19</f>
        <v>3428935.02</v>
      </c>
      <c r="LO18" s="12">
        <f>LM18-LN18</f>
        <v>5400</v>
      </c>
      <c r="LP18" s="199">
        <f>LO18/LN18</f>
        <v>0.00157483299289819</v>
      </c>
      <c r="LQ18" s="192"/>
      <c r="LR18" s="192"/>
      <c r="LS18" s="194"/>
      <c r="LT18" s="194" t="str">
        <f>C18</f>
        <v>2026//6/8</v>
      </c>
      <c r="LU18" s="200">
        <v>2378262.904</v>
      </c>
      <c r="LV18" s="12">
        <f>LU19</f>
        <v>2378662.904</v>
      </c>
      <c r="LW18" s="12">
        <f>LU18-LV18</f>
        <v>-400</v>
      </c>
      <c r="LX18" s="199">
        <f>LW18/LV18</f>
        <v>-0.000168161700982242</v>
      </c>
      <c r="LY18" s="192"/>
      <c r="LZ18" s="192"/>
      <c r="MA18" s="194"/>
      <c r="MB18" s="194" t="str">
        <f>C18</f>
        <v>2026//6/8</v>
      </c>
      <c r="MC18" s="200">
        <v>1186167.69</v>
      </c>
      <c r="MD18" s="12">
        <f>MC19</f>
        <v>1151267.69</v>
      </c>
      <c r="ME18" s="12">
        <f>MC18-MD18</f>
        <v>34900</v>
      </c>
      <c r="MF18" s="199">
        <f>ME18/MD18</f>
        <v>0.030314409327339</v>
      </c>
      <c r="MG18" s="192"/>
      <c r="MH18" s="192"/>
      <c r="MK18" s="194" t="str">
        <f>C18</f>
        <v>2026//6/8</v>
      </c>
      <c r="ML18" s="203">
        <v>171825.5354</v>
      </c>
      <c r="MM18" s="12">
        <f>ML19</f>
        <v>171705.5354</v>
      </c>
      <c r="MN18" s="12">
        <f>ML18-MM18</f>
        <v>120</v>
      </c>
      <c r="MO18" s="199">
        <f>MN18/MM18</f>
        <v>0.000698870888002834</v>
      </c>
      <c r="MP18" s="192"/>
      <c r="MQ18" s="201"/>
      <c r="MR18" s="201"/>
      <c r="MT18" s="194" t="str">
        <f>C18</f>
        <v>2026//6/8</v>
      </c>
      <c r="MU18" s="203">
        <v>156714.8</v>
      </c>
      <c r="MV18" s="204">
        <f>MU19</f>
        <v>157614.8</v>
      </c>
      <c r="MW18" s="8">
        <f>MU18-MV18</f>
        <v>-900</v>
      </c>
      <c r="MX18" s="192">
        <f>MW18/MV18</f>
        <v>-0.0057101236685895</v>
      </c>
      <c r="MY18" s="192"/>
      <c r="MZ18" s="192"/>
      <c r="NA18" s="192"/>
      <c r="NC18" s="194" t="str">
        <f>C18</f>
        <v>2026//6/8</v>
      </c>
      <c r="ND18" s="203">
        <v>40091.48</v>
      </c>
      <c r="NE18" s="204">
        <f>ND19</f>
        <v>39891.48</v>
      </c>
      <c r="NF18" s="8">
        <f>ND18-NE18</f>
        <v>200</v>
      </c>
      <c r="NG18" s="192">
        <f>NF18/NE18</f>
        <v>0.00501360190196002</v>
      </c>
      <c r="NH18" s="192"/>
      <c r="NI18" s="192"/>
      <c r="NJ18" s="192"/>
      <c r="NK18" s="192"/>
      <c r="NM18" s="194" t="str">
        <f>C18</f>
        <v>2026//6/8</v>
      </c>
      <c r="NN18" s="203">
        <v>2847211.08</v>
      </c>
      <c r="NO18" s="8">
        <f>NN19</f>
        <v>2838911.08</v>
      </c>
      <c r="NP18" s="8">
        <f>NN18-NO18</f>
        <v>8300</v>
      </c>
      <c r="NQ18" s="192">
        <f>NP18/NO18</f>
        <v>0.00292365620694256</v>
      </c>
      <c r="NR18" s="192"/>
      <c r="NT18" s="194"/>
      <c r="NU18" s="194" t="str">
        <f>C18</f>
        <v>2026//6/8</v>
      </c>
      <c r="NV18" s="203">
        <v>267276.5</v>
      </c>
      <c r="NW18" s="205">
        <f>NV19</f>
        <v>269326.5</v>
      </c>
      <c r="NX18" s="8">
        <f>NV18-NW18</f>
        <v>-2050</v>
      </c>
      <c r="NY18" s="192">
        <f>NX18/NW18</f>
        <v>-0.00761157925417662</v>
      </c>
      <c r="NZ18" s="201"/>
      <c r="OA18" s="200"/>
      <c r="OB18" s="194"/>
      <c r="OC18" s="194" t="str">
        <f>C18</f>
        <v>2026//6/8</v>
      </c>
      <c r="OD18" s="200">
        <v>17855.97</v>
      </c>
      <c r="OE18" s="12">
        <f>OD19</f>
        <v>17586.97</v>
      </c>
      <c r="OF18" s="12">
        <f>OD18-OE18</f>
        <v>269</v>
      </c>
      <c r="OG18" s="199">
        <f>OF18/OE18</f>
        <v>0.0152954147303373</v>
      </c>
      <c r="OH18" s="192"/>
      <c r="OI18" s="192"/>
      <c r="OJ18" s="194"/>
      <c r="OK18" s="194" t="str">
        <f>C18</f>
        <v>2026//6/8</v>
      </c>
      <c r="OL18" s="200">
        <v>15358.65</v>
      </c>
      <c r="OM18" s="12">
        <f>OL19</f>
        <v>15428.65</v>
      </c>
      <c r="ON18" s="12">
        <f>OL18-OM18</f>
        <v>-70</v>
      </c>
      <c r="OO18" s="199">
        <f>ON18/OM18</f>
        <v>-0.0045370139318735</v>
      </c>
      <c r="OP18" s="192"/>
      <c r="OQ18" s="192"/>
      <c r="OT18" s="26" t="str">
        <f>OK18</f>
        <v>2026//6/8</v>
      </c>
      <c r="OU18">
        <v>149112.4066</v>
      </c>
      <c r="OV18" s="8">
        <f>OU19</f>
        <v>148992.4066</v>
      </c>
      <c r="OW18" s="191">
        <f>OU18-OV18</f>
        <v>120</v>
      </c>
      <c r="OX18" s="192">
        <f>OW18/OV18</f>
        <v>0.000805410173165161</v>
      </c>
    </row>
    <row r="19" s="8" customFormat="1" ht="17" customHeight="1" spans="1:415">
      <c r="A19" s="15"/>
      <c r="B19" s="15"/>
      <c r="C19" s="15" t="s">
        <v>445</v>
      </c>
      <c r="D19" s="138">
        <v>2790498.77</v>
      </c>
      <c r="E19" s="19">
        <f t="shared" ref="E19:E81" si="8">D20</f>
        <v>2804718.77</v>
      </c>
      <c r="F19" s="19">
        <f t="shared" ref="F19:F81" si="9">D19-E19</f>
        <v>-14220</v>
      </c>
      <c r="G19" s="172">
        <f t="shared" ref="G19:G81" si="10">F19/E19</f>
        <v>-0.00507002703875369</v>
      </c>
      <c r="H19" s="18"/>
      <c r="I19" s="122"/>
      <c r="J19" s="122"/>
      <c r="K19" s="125" t="str">
        <f t="shared" ref="K19:K76" si="11">C19</f>
        <v>2026//6/05</v>
      </c>
      <c r="L19" s="125">
        <v>2199574.4</v>
      </c>
      <c r="M19" s="125">
        <f t="shared" ref="M19:M81" si="12">L20</f>
        <v>2204974.4</v>
      </c>
      <c r="N19" s="125">
        <f t="shared" ref="N19:N81" si="13">L19-M19</f>
        <v>-5400</v>
      </c>
      <c r="O19" s="122">
        <f t="shared" ref="O19:O81" si="14">N19/M19</f>
        <v>-0.00244900802476437</v>
      </c>
      <c r="P19" s="18"/>
      <c r="Q19" s="122"/>
      <c r="R19" s="125"/>
      <c r="S19" s="125" t="str">
        <f t="shared" ref="S19:S76" si="15">C19</f>
        <v>2026//6/05</v>
      </c>
      <c r="T19" s="125">
        <v>766146.68</v>
      </c>
      <c r="U19" s="125">
        <f t="shared" ref="U19:U81" si="16">T20</f>
        <v>815286.68</v>
      </c>
      <c r="V19" s="125">
        <f t="shared" ref="V19:V81" si="17">T19-U19</f>
        <v>-49140</v>
      </c>
      <c r="W19" s="122">
        <f t="shared" ref="W19:W81" si="18">V19/U19</f>
        <v>-0.0602732771250476</v>
      </c>
      <c r="X19" s="18"/>
      <c r="Y19" s="122"/>
      <c r="Z19" s="125"/>
      <c r="AA19" s="125" t="str">
        <f t="shared" ref="AA19:AA76" si="19">S19</f>
        <v>2026//6/05</v>
      </c>
      <c r="AB19" s="125">
        <v>449336.86</v>
      </c>
      <c r="AC19" s="125">
        <f t="shared" ref="AC19:AC81" si="20">AB20</f>
        <v>470096.86</v>
      </c>
      <c r="AD19" s="125">
        <f t="shared" ref="AD19:AD81" si="21">AB19-AC19</f>
        <v>-20760</v>
      </c>
      <c r="AE19" s="122">
        <f t="shared" ref="AE19:AE81" si="22">AD19/AC19</f>
        <v>-0.0441611118185303</v>
      </c>
      <c r="AF19" s="18"/>
      <c r="AG19" s="122"/>
      <c r="AH19" s="125"/>
      <c r="AI19" s="125" t="str">
        <f t="shared" ref="AI19:AI76" si="23">C19</f>
        <v>2026//6/05</v>
      </c>
      <c r="AJ19" s="125">
        <v>335921.76</v>
      </c>
      <c r="AK19" s="125">
        <f t="shared" ref="AK19:AK81" si="24">AJ20</f>
        <v>372721.76</v>
      </c>
      <c r="AL19" s="125">
        <f t="shared" ref="AL19:AL81" si="25">AJ19-AK19</f>
        <v>-36800</v>
      </c>
      <c r="AM19" s="122">
        <f t="shared" ref="AM19:AM81" si="26">AL19/AK19</f>
        <v>-0.0987331676047033</v>
      </c>
      <c r="AN19" s="18"/>
      <c r="AO19" s="18"/>
      <c r="AP19" s="125"/>
      <c r="AQ19" s="125" t="str">
        <f t="shared" ref="AQ19:AQ76" si="27">C19</f>
        <v>2026//6/05</v>
      </c>
      <c r="AR19" s="145">
        <v>1066745.4936</v>
      </c>
      <c r="AS19" s="125">
        <f t="shared" ref="AS19:AS81" si="28">AR20</f>
        <v>1007145.4936</v>
      </c>
      <c r="AT19" s="125">
        <f t="shared" ref="AT19:AT81" si="29">AR19-AS19</f>
        <v>59599.9999999999</v>
      </c>
      <c r="AU19" s="122">
        <f t="shared" ref="AU19:AU81" si="30">AT19/AS19</f>
        <v>0.0591771500530297</v>
      </c>
      <c r="AV19" s="18"/>
      <c r="AW19" s="18"/>
      <c r="AX19" s="17"/>
      <c r="AY19" s="138"/>
      <c r="AZ19" s="125" t="str">
        <f t="shared" ref="AZ19:AZ76" si="31">C19</f>
        <v>2026//6/05</v>
      </c>
      <c r="BA19" s="125">
        <v>1229421.6676</v>
      </c>
      <c r="BB19" s="138">
        <f t="shared" ref="BB19:BB81" si="32">BA20</f>
        <v>1231581.6676</v>
      </c>
      <c r="BC19" s="125">
        <f t="shared" ref="BC19:BC82" si="33">BA19-BB19</f>
        <v>-2160</v>
      </c>
      <c r="BD19" s="122">
        <f t="shared" ref="BD19:BD82" si="34">BC19/BB19</f>
        <v>-0.00175384228007325</v>
      </c>
      <c r="BE19" s="18"/>
      <c r="BF19" s="18"/>
      <c r="BG19" s="74"/>
      <c r="BH19" s="194" t="str">
        <f t="shared" ref="BH19:BH76" si="35">C19</f>
        <v>2026//6/05</v>
      </c>
      <c r="BI19" s="194">
        <v>1359726.5525</v>
      </c>
      <c r="BJ19" s="195">
        <f t="shared" ref="BJ19:BJ81" si="36">BI20</f>
        <v>1418226.5525</v>
      </c>
      <c r="BK19" s="195">
        <f t="shared" ref="BK19:BK81" si="37">BI19-BJ19</f>
        <v>-58500</v>
      </c>
      <c r="BL19" s="196">
        <f t="shared" ref="BL19:BL81" si="38">BK19/BJ19</f>
        <v>-0.0412486988745756</v>
      </c>
      <c r="BM19" s="197"/>
      <c r="BN19" s="192"/>
      <c r="BO19" s="194"/>
      <c r="BP19" s="194" t="str">
        <f t="shared" ref="BP19:BP76" si="39">C19</f>
        <v>2026//6/05</v>
      </c>
      <c r="BQ19" s="198">
        <v>1169962.3921</v>
      </c>
      <c r="BR19" s="12">
        <f t="shared" ref="BR19:BR81" si="40">BQ20</f>
        <v>1159262.3921</v>
      </c>
      <c r="BS19" s="12">
        <f t="shared" ref="BS19:BS81" si="41">BQ19-BR19</f>
        <v>10700</v>
      </c>
      <c r="BT19" s="199">
        <f t="shared" ref="BT19:BT81" si="42">BS19/BR19</f>
        <v>0.00923000700524493</v>
      </c>
      <c r="BU19" s="192"/>
      <c r="BV19" s="192"/>
      <c r="BW19" s="194"/>
      <c r="BX19" s="194" t="str">
        <f t="shared" ref="BX19:BX76" si="43">C19</f>
        <v>2026//6/05</v>
      </c>
      <c r="BY19" s="200">
        <v>2010160.7019</v>
      </c>
      <c r="BZ19" s="12">
        <f t="shared" ref="BZ19:BZ81" si="44">BY20</f>
        <v>2128210.7019</v>
      </c>
      <c r="CA19" s="12">
        <f t="shared" ref="CA19:CA81" si="45">BY19-BZ19</f>
        <v>-118050</v>
      </c>
      <c r="CB19" s="199">
        <f t="shared" ref="CB19:CB81" si="46">CA19/BZ19</f>
        <v>-0.0554691318367156</v>
      </c>
      <c r="CC19" s="192"/>
      <c r="CD19" s="201"/>
      <c r="CE19" s="194"/>
      <c r="CF19" s="194" t="str">
        <f t="shared" ref="CF19:CF76" si="47">C19</f>
        <v>2026//6/05</v>
      </c>
      <c r="CG19" s="200">
        <v>1324553.9</v>
      </c>
      <c r="CH19" s="12">
        <f t="shared" ref="CH19:CH81" si="48">CG20</f>
        <v>1312553.9</v>
      </c>
      <c r="CI19" s="12">
        <f t="shared" ref="CI19:CI81" si="49">CG19-CH19</f>
        <v>12000</v>
      </c>
      <c r="CJ19" s="199">
        <f t="shared" ref="CJ19:CJ81" si="50">CI19/CH19</f>
        <v>0.00914248169160901</v>
      </c>
      <c r="CK19" s="192"/>
      <c r="CL19" s="201"/>
      <c r="CM19" s="194"/>
      <c r="CN19" s="194" t="str">
        <f t="shared" ref="CN19:CN76" si="51">C19</f>
        <v>2026//6/05</v>
      </c>
      <c r="CO19" s="200">
        <v>572446.48</v>
      </c>
      <c r="CP19" s="12">
        <f t="shared" ref="CP19:CP81" si="52">CO20</f>
        <v>568846.48</v>
      </c>
      <c r="CQ19" s="12">
        <f t="shared" ref="CQ19:CQ81" si="53">CO19-CP19</f>
        <v>3600</v>
      </c>
      <c r="CR19" s="199">
        <f t="shared" ref="CR19:CR81" si="54">CQ19/CP19</f>
        <v>0.00632859677711287</v>
      </c>
      <c r="CS19" s="201"/>
      <c r="CT19" s="201"/>
      <c r="CU19" s="194"/>
      <c r="CV19" s="194" t="str">
        <f t="shared" ref="CV19:CV76" si="55">C19</f>
        <v>2026//6/05</v>
      </c>
      <c r="CW19" s="200">
        <v>571090.4</v>
      </c>
      <c r="CX19" s="12">
        <f t="shared" ref="CX19:CX81" si="56">CW20</f>
        <v>574090.4</v>
      </c>
      <c r="CY19" s="12">
        <f t="shared" ref="CY19:CY81" si="57">CW19-CX19</f>
        <v>-3000</v>
      </c>
      <c r="CZ19" s="199">
        <f t="shared" ref="CZ19:CZ81" si="58">CY19/CX19</f>
        <v>-0.0052256578406467</v>
      </c>
      <c r="DA19" s="192"/>
      <c r="DB19" s="192"/>
      <c r="DC19" s="202"/>
      <c r="DD19" s="194" t="str">
        <f t="shared" ref="DD19:DD76" si="59">C19</f>
        <v>2026//6/05</v>
      </c>
      <c r="DE19" s="200">
        <v>1701117.9986</v>
      </c>
      <c r="DF19" s="12">
        <f t="shared" ref="DF19:DF81" si="60">DE20</f>
        <v>1759117.9986</v>
      </c>
      <c r="DG19" s="12">
        <f t="shared" ref="DG19:DG81" si="61">DE19-DF19</f>
        <v>-58000</v>
      </c>
      <c r="DH19" s="199">
        <f t="shared" ref="DH19:DH81" si="62">DG19/DF19</f>
        <v>-0.0329710684821368</v>
      </c>
      <c r="DI19" s="192"/>
      <c r="DJ19" s="192"/>
      <c r="DK19" s="194"/>
      <c r="DL19" s="194" t="str">
        <f t="shared" ref="DL19:DL76" si="63">C19</f>
        <v>2026//6/05</v>
      </c>
      <c r="DM19" s="200">
        <v>847100.36</v>
      </c>
      <c r="DN19" s="12">
        <f t="shared" ref="DN19:DN81" si="64">DM20</f>
        <v>842100.36</v>
      </c>
      <c r="DO19" s="12">
        <f t="shared" ref="DO19:DO81" si="65">DM19-DN19</f>
        <v>5000</v>
      </c>
      <c r="DP19" s="199">
        <f t="shared" ref="DP19:DP81" si="66">DO19/DN19</f>
        <v>0.00593753457129504</v>
      </c>
      <c r="DQ19" s="192"/>
      <c r="DR19" s="192"/>
      <c r="DS19" s="194"/>
      <c r="DT19" s="194" t="str">
        <f t="shared" ref="DT19:DT76" si="67">C19</f>
        <v>2026//6/05</v>
      </c>
      <c r="DU19" s="200">
        <v>1257989.48</v>
      </c>
      <c r="DV19" s="12">
        <f t="shared" ref="DV19:DV81" si="68">DU20</f>
        <v>1269089.48</v>
      </c>
      <c r="DW19" s="12">
        <f t="shared" ref="DW19:DW81" si="69">DU19-DV19</f>
        <v>-11100</v>
      </c>
      <c r="DX19" s="199">
        <f t="shared" ref="DX19:DX81" si="70">DW19/DV19</f>
        <v>-0.00874642818723862</v>
      </c>
      <c r="DY19" s="192"/>
      <c r="DZ19" s="192"/>
      <c r="EA19" s="194"/>
      <c r="EB19" s="194" t="str">
        <f t="shared" ref="EB19:EB76" si="71">C19</f>
        <v>2026//6/05</v>
      </c>
      <c r="EC19" s="200">
        <v>3346466.82</v>
      </c>
      <c r="ED19" s="12">
        <f t="shared" ref="ED19:ED81" si="72">EC20</f>
        <v>3331766.82</v>
      </c>
      <c r="EE19" s="12">
        <f t="shared" ref="EE19:EE81" si="73">EC19-ED19</f>
        <v>14700</v>
      </c>
      <c r="EF19" s="199">
        <f t="shared" ref="EF19:EF81" si="74">EE19/ED19</f>
        <v>0.00441207347157626</v>
      </c>
      <c r="EG19" s="192"/>
      <c r="EH19" s="192"/>
      <c r="EI19" s="194"/>
      <c r="EJ19" s="194" t="str">
        <f t="shared" ref="EJ19:EJ76" si="75">C19</f>
        <v>2026//6/05</v>
      </c>
      <c r="EK19" s="200">
        <v>1147122.9669</v>
      </c>
      <c r="EL19" s="12">
        <f t="shared" ref="EL19:EL81" si="76">EK20</f>
        <v>1171922.9669</v>
      </c>
      <c r="EM19" s="12">
        <f t="shared" ref="EM19:EM81" si="77">EK19-EL19</f>
        <v>-24800</v>
      </c>
      <c r="EN19" s="199">
        <f t="shared" ref="EN19:EN81" si="78">EM19/EL19</f>
        <v>-0.0211618004770412</v>
      </c>
      <c r="EO19" s="192"/>
      <c r="EP19" s="192"/>
      <c r="EQ19" s="194"/>
      <c r="ER19" s="194" t="str">
        <f t="shared" ref="ER19:ER76" si="79">C19</f>
        <v>2026//6/05</v>
      </c>
      <c r="ES19" s="203">
        <v>383297.02</v>
      </c>
      <c r="ET19" s="12">
        <f t="shared" ref="ET19:ET81" si="80">ES20</f>
        <v>385097.02</v>
      </c>
      <c r="EU19" s="12">
        <f t="shared" ref="EU19:EU81" si="81">ES19-ET19</f>
        <v>-1800</v>
      </c>
      <c r="EV19" s="199">
        <f t="shared" ref="EV19:EV81" si="82">EU19/ET19</f>
        <v>-0.00467414679033351</v>
      </c>
      <c r="EW19" s="192"/>
      <c r="EX19" s="192"/>
      <c r="EY19" s="194"/>
      <c r="EZ19" s="194" t="str">
        <f t="shared" ref="EZ19:EZ76" si="83">C19</f>
        <v>2026//6/05</v>
      </c>
      <c r="FA19" s="200">
        <v>560208</v>
      </c>
      <c r="FB19" s="12">
        <f t="shared" ref="FB19:FB81" si="84">FA20</f>
        <v>568208</v>
      </c>
      <c r="FC19" s="12">
        <f t="shared" ref="FC19:FC81" si="85">FA19-FB19</f>
        <v>-8000</v>
      </c>
      <c r="FD19" s="199">
        <f t="shared" ref="FD19:FD81" si="86">FC19/FB19</f>
        <v>-0.0140793512234956</v>
      </c>
      <c r="FE19" s="192"/>
      <c r="FF19" s="192"/>
      <c r="FG19" s="192"/>
      <c r="FH19" s="194" t="str">
        <f t="shared" ref="FH19:FH76" si="87">C19</f>
        <v>2026//6/05</v>
      </c>
      <c r="FI19" s="198">
        <v>1071195.3365</v>
      </c>
      <c r="FJ19" s="12">
        <f t="shared" ref="FJ19:FJ81" si="88">FI20</f>
        <v>1042895.3365</v>
      </c>
      <c r="FK19" s="12">
        <f t="shared" ref="FK19:FK81" si="89">FI19-FJ19</f>
        <v>28300</v>
      </c>
      <c r="FL19" s="199">
        <f t="shared" ref="FL19:FL81" si="90">FK19/FJ19</f>
        <v>0.0271359924716664</v>
      </c>
      <c r="FM19" s="201"/>
      <c r="FN19" s="201"/>
      <c r="FO19" s="194"/>
      <c r="FP19" s="194" t="str">
        <f t="shared" ref="FP19:FP76" si="91">C19</f>
        <v>2026//6/05</v>
      </c>
      <c r="FQ19" s="200">
        <v>1586518.73</v>
      </c>
      <c r="FR19" s="12">
        <f t="shared" ref="FR19:FR81" si="92">FQ20</f>
        <v>1606018.73</v>
      </c>
      <c r="FS19" s="12">
        <f t="shared" ref="FS19:FS81" si="93">FQ19-FR19</f>
        <v>-19500</v>
      </c>
      <c r="FT19" s="199">
        <f t="shared" ref="FT19:FT81" si="94">FS19/FR19</f>
        <v>-0.0121418260171847</v>
      </c>
      <c r="FU19" s="192"/>
      <c r="FV19" s="192"/>
      <c r="FW19" s="194"/>
      <c r="FX19" s="194" t="str">
        <f t="shared" ref="FX19:FX76" si="95">C19</f>
        <v>2026//6/05</v>
      </c>
      <c r="FY19" s="200">
        <v>8585382.05</v>
      </c>
      <c r="FZ19" s="12">
        <f t="shared" ref="FZ19:FZ81" si="96">FY20</f>
        <v>8512182.05</v>
      </c>
      <c r="GA19" s="12">
        <f t="shared" ref="GA19:GA81" si="97">FY19-FZ19</f>
        <v>73200</v>
      </c>
      <c r="GB19" s="199">
        <f t="shared" ref="GB19:GB81" si="98">GA19/FZ19</f>
        <v>0.00859944014002849</v>
      </c>
      <c r="GC19" s="192"/>
      <c r="GD19" s="192"/>
      <c r="GE19" s="194"/>
      <c r="GF19" s="194" t="str">
        <f t="shared" ref="GF19:GF76" si="99">C19</f>
        <v>2026//6/05</v>
      </c>
      <c r="GG19" s="200">
        <v>5074569.49</v>
      </c>
      <c r="GH19" s="12">
        <f t="shared" ref="GH19:GH81" si="100">GG20</f>
        <v>5089069.49</v>
      </c>
      <c r="GI19" s="12">
        <f t="shared" ref="GI19:GI81" si="101">GG19-GH19</f>
        <v>-14500</v>
      </c>
      <c r="GJ19" s="199">
        <f t="shared" ref="GJ19:GJ81" si="102">GI19/GH19</f>
        <v>-0.00284924386049207</v>
      </c>
      <c r="GK19" s="192"/>
      <c r="GL19" s="192"/>
      <c r="GM19" s="194"/>
      <c r="GN19" s="194" t="str">
        <f t="shared" ref="GN19:GN76" si="103">C19</f>
        <v>2026//6/05</v>
      </c>
      <c r="GO19" s="200">
        <v>1910098.1217</v>
      </c>
      <c r="GP19" s="12">
        <f t="shared" ref="GP19:GP81" si="104">GO20</f>
        <v>1927738.1217</v>
      </c>
      <c r="GQ19" s="12">
        <f t="shared" ref="GQ19:GQ81" si="105">GO19-GP19</f>
        <v>-17640</v>
      </c>
      <c r="GR19" s="199">
        <f t="shared" ref="GR19:GR81" si="106">GQ19/GP19</f>
        <v>-0.00915062051293769</v>
      </c>
      <c r="GS19" s="192"/>
      <c r="GT19" s="192"/>
      <c r="GU19" s="194"/>
      <c r="GV19" s="194" t="str">
        <f t="shared" ref="GV19:GV76" si="107">C19</f>
        <v>2026//6/05</v>
      </c>
      <c r="GW19" s="200">
        <v>731149.4</v>
      </c>
      <c r="GX19" s="12">
        <f t="shared" ref="GX19:GX81" si="108">GW20</f>
        <v>753749.4</v>
      </c>
      <c r="GY19" s="12">
        <f t="shared" ref="GY19:GY81" si="109">GW19-GX19</f>
        <v>-22600</v>
      </c>
      <c r="GZ19" s="199">
        <f t="shared" ref="GZ19:GZ81" si="110">GY19/GX19</f>
        <v>-0.029983440119488</v>
      </c>
      <c r="HA19" s="192"/>
      <c r="HB19" s="192"/>
      <c r="HC19" s="194"/>
      <c r="HD19" s="194" t="str">
        <f t="shared" ref="HD19:HD76" si="111">C19</f>
        <v>2026//6/05</v>
      </c>
      <c r="HE19" s="200">
        <v>995264.6746</v>
      </c>
      <c r="HF19" s="12">
        <f t="shared" ref="HF19:HF81" si="112">HE20</f>
        <v>1091664.6746</v>
      </c>
      <c r="HG19" s="12">
        <f t="shared" ref="HG19:HG81" si="113">HE19-HF19</f>
        <v>-96400</v>
      </c>
      <c r="HH19" s="199">
        <f t="shared" ref="HH19:HH81" si="114">HG19/HF19</f>
        <v>-0.088305504650796</v>
      </c>
      <c r="HI19" s="201"/>
      <c r="HJ19" s="192"/>
      <c r="HK19" s="194"/>
      <c r="HL19" s="194" t="str">
        <f t="shared" ref="HL19:HL76" si="115">C19</f>
        <v>2026//6/05</v>
      </c>
      <c r="HM19" s="200">
        <v>119104.25</v>
      </c>
      <c r="HN19" s="12">
        <f t="shared" ref="HN19:HN81" si="116">HM20</f>
        <v>120154.25</v>
      </c>
      <c r="HO19" s="12">
        <f t="shared" ref="HO19:HO81" si="117">HM19-HN19</f>
        <v>-1050</v>
      </c>
      <c r="HP19" s="199">
        <f t="shared" ref="HP19:HP81" si="118">HO19/HN19</f>
        <v>-0.00873876704319656</v>
      </c>
      <c r="HQ19" s="192"/>
      <c r="HR19" s="192"/>
      <c r="HS19" s="194"/>
      <c r="HT19" s="194" t="str">
        <f t="shared" ref="HT19:HT76" si="119">C19</f>
        <v>2026//6/05</v>
      </c>
      <c r="HU19" s="200">
        <v>157568.8265</v>
      </c>
      <c r="HV19" s="12">
        <f t="shared" ref="HV19:HV81" si="120">HU20</f>
        <v>161168.8265</v>
      </c>
      <c r="HW19" s="12">
        <f t="shared" ref="HW19:HW81" si="121">HU19-HV19</f>
        <v>-3600</v>
      </c>
      <c r="HX19" s="199">
        <f t="shared" ref="HX19:HX81" si="122">HW19/HV19</f>
        <v>-0.0223368257880813</v>
      </c>
      <c r="HY19" s="192"/>
      <c r="HZ19" s="192"/>
      <c r="IA19" s="194"/>
      <c r="IB19" s="194" t="str">
        <f t="shared" ref="IB19:IB76" si="123">C19</f>
        <v>2026//6/05</v>
      </c>
      <c r="IC19" s="200">
        <v>341234.79</v>
      </c>
      <c r="ID19" s="12">
        <f t="shared" ref="ID19:ID81" si="124">IC20</f>
        <v>340759.79</v>
      </c>
      <c r="IE19" s="12">
        <f t="shared" ref="IE19:IE81" si="125">IC19-ID19</f>
        <v>475</v>
      </c>
      <c r="IF19" s="199">
        <f t="shared" ref="IF19:IF81" si="126">IE19/ID19</f>
        <v>0.00139394381009567</v>
      </c>
      <c r="IG19" s="201"/>
      <c r="IH19" s="192"/>
      <c r="II19" s="194"/>
      <c r="IJ19" s="194" t="str">
        <f t="shared" ref="IJ19:IJ76" si="127">C19</f>
        <v>2026//6/05</v>
      </c>
      <c r="IK19" s="200">
        <v>979596.29</v>
      </c>
      <c r="IL19" s="12">
        <f t="shared" ref="IL19:IL81" si="128">IK20</f>
        <v>950236.29</v>
      </c>
      <c r="IM19" s="12">
        <f t="shared" ref="IM19:IM81" si="129">IK19-IL19</f>
        <v>29360</v>
      </c>
      <c r="IN19" s="199">
        <f t="shared" ref="IN19:IN81" si="130">IM19/IL19</f>
        <v>0.0308975781171228</v>
      </c>
      <c r="IO19" s="192"/>
      <c r="IP19" s="192"/>
      <c r="IQ19" s="194"/>
      <c r="IR19" s="194" t="str">
        <f t="shared" ref="IR19:IR76" si="131">C19</f>
        <v>2026//6/05</v>
      </c>
      <c r="IS19" s="200">
        <v>140989</v>
      </c>
      <c r="IT19" s="12">
        <f t="shared" ref="IT19:IT81" si="132">IS20</f>
        <v>144289</v>
      </c>
      <c r="IU19" s="12">
        <f t="shared" ref="IU19:IU81" si="133">IS19-IT19</f>
        <v>-3300</v>
      </c>
      <c r="IV19" s="199">
        <f t="shared" ref="IV19:IV81" si="134">IU19/IT19</f>
        <v>-0.0228707663092821</v>
      </c>
      <c r="IW19" s="192"/>
      <c r="IX19" s="192"/>
      <c r="IY19" s="194"/>
      <c r="IZ19" s="194" t="str">
        <f t="shared" ref="IZ19:IZ76" si="135">C19</f>
        <v>2026//6/05</v>
      </c>
      <c r="JA19" s="200">
        <v>5322029.15</v>
      </c>
      <c r="JB19" s="12">
        <f t="shared" ref="JB19:JB81" si="136">JA20</f>
        <v>5279129.15</v>
      </c>
      <c r="JC19" s="12">
        <f t="shared" ref="JC19:JC81" si="137">JA19-JB19</f>
        <v>42900</v>
      </c>
      <c r="JD19" s="199">
        <f t="shared" ref="JD19:JD81" si="138">JC19/JB19</f>
        <v>0.00812634030747287</v>
      </c>
      <c r="JE19" s="192"/>
      <c r="JF19" s="192"/>
      <c r="JG19" s="194"/>
      <c r="JH19" s="194" t="str">
        <f t="shared" ref="JH19:JH76" si="139">C19</f>
        <v>2026//6/05</v>
      </c>
      <c r="JI19" s="200">
        <v>1383507.99</v>
      </c>
      <c r="JJ19" s="12">
        <f t="shared" ref="JJ19:JJ81" si="140">JI20</f>
        <v>1371327.99</v>
      </c>
      <c r="JK19" s="12">
        <f t="shared" ref="JK19:JK81" si="141">JI19-JJ19</f>
        <v>12180</v>
      </c>
      <c r="JL19" s="199">
        <f t="shared" ref="JL19:JL81" si="142">JK19/JJ19</f>
        <v>0.00888190140420017</v>
      </c>
      <c r="JM19" s="192"/>
      <c r="JN19" s="192"/>
      <c r="JO19" s="192"/>
      <c r="JP19" s="194" t="str">
        <f t="shared" ref="JP19:JP76" si="143">C19</f>
        <v>2026//6/05</v>
      </c>
      <c r="JQ19" s="200">
        <v>1038090.4148</v>
      </c>
      <c r="JR19" s="12">
        <f t="shared" ref="JR19:JR81" si="144">JQ20</f>
        <v>1040890.4148</v>
      </c>
      <c r="JS19" s="12">
        <f t="shared" ref="JS19:JS81" si="145">JQ19-JR19</f>
        <v>-2800</v>
      </c>
      <c r="JT19" s="199">
        <f t="shared" ref="JT19:JT81" si="146">JS19/JR19</f>
        <v>-0.00269000459624561</v>
      </c>
      <c r="JU19" s="192"/>
      <c r="JV19" s="192"/>
      <c r="JW19" s="201"/>
      <c r="JX19" s="194" t="str">
        <f t="shared" ref="JX19:JX76" si="147">C19</f>
        <v>2026//6/05</v>
      </c>
      <c r="JY19" s="200">
        <v>1112848.8</v>
      </c>
      <c r="JZ19" s="12">
        <f t="shared" ref="JZ19:JZ81" si="148">JY20</f>
        <v>1112848.8</v>
      </c>
      <c r="KA19" s="12">
        <f t="shared" ref="KA19:KA81" si="149">JY19-JZ19</f>
        <v>0</v>
      </c>
      <c r="KB19" s="199">
        <f t="shared" ref="KB19:KB81" si="150">KA19/JZ19</f>
        <v>0</v>
      </c>
      <c r="KC19" s="192"/>
      <c r="KD19" s="192"/>
      <c r="KE19" s="201"/>
      <c r="KF19" s="194" t="str">
        <f t="shared" ref="KF19:KF76" si="151">C19</f>
        <v>2026//6/05</v>
      </c>
      <c r="KG19" s="200">
        <v>663355.9219</v>
      </c>
      <c r="KH19" s="12">
        <f t="shared" ref="KH19:KH81" si="152">KG20</f>
        <v>665755.9219</v>
      </c>
      <c r="KI19" s="12">
        <f t="shared" ref="KI19:KI81" si="153">KG19-KH19</f>
        <v>-2400</v>
      </c>
      <c r="KJ19" s="199">
        <f t="shared" ref="KJ19:KJ81" si="154">KI19/KH19</f>
        <v>-0.00360492474952479</v>
      </c>
      <c r="KK19" s="201"/>
      <c r="KL19" s="201"/>
      <c r="KM19" s="194"/>
      <c r="KN19" s="194" t="str">
        <f t="shared" ref="KN19:KN76" si="155">C19</f>
        <v>2026//6/05</v>
      </c>
      <c r="KO19" s="200">
        <v>7552875.95</v>
      </c>
      <c r="KP19" s="12">
        <f t="shared" ref="KP19:KP81" si="156">KO20</f>
        <v>7552975.95</v>
      </c>
      <c r="KQ19" s="12">
        <f t="shared" ref="KQ19:KQ81" si="157">KO19-KP19</f>
        <v>-100</v>
      </c>
      <c r="KR19" s="199">
        <f t="shared" ref="KR19:KR81" si="158">KQ19/KP19</f>
        <v>-1.32398144336737e-5</v>
      </c>
      <c r="KS19" s="192"/>
      <c r="KT19" s="192"/>
      <c r="KU19" s="194"/>
      <c r="KV19" s="194" t="str">
        <f t="shared" ref="KV19:KV76" si="159">C19</f>
        <v>2026//6/05</v>
      </c>
      <c r="KW19" s="200">
        <v>1079772.9726</v>
      </c>
      <c r="KX19" s="12">
        <f t="shared" ref="KX19:KX81" si="160">KW20</f>
        <v>1079772.9726</v>
      </c>
      <c r="KY19" s="12">
        <f t="shared" ref="KY19:KY81" si="161">KW19-KX19</f>
        <v>0</v>
      </c>
      <c r="KZ19" s="199">
        <f t="shared" ref="KZ19:KZ81" si="162">KY19/KX19</f>
        <v>0</v>
      </c>
      <c r="LA19" s="201"/>
      <c r="LB19" s="192"/>
      <c r="LC19" s="194"/>
      <c r="LD19" s="194" t="str">
        <f t="shared" ref="LD19:LD76" si="163">C19</f>
        <v>2026//6/05</v>
      </c>
      <c r="LE19" s="200">
        <v>412107.7</v>
      </c>
      <c r="LF19" s="12">
        <f t="shared" ref="LF19:LF81" si="164">LE20</f>
        <v>414257.7</v>
      </c>
      <c r="LG19" s="12">
        <f t="shared" ref="LG19:LG81" si="165">LE19-LF19</f>
        <v>-2150</v>
      </c>
      <c r="LH19" s="199">
        <f t="shared" ref="LH19:LH81" si="166">LG19/LF19</f>
        <v>-0.00519000612420723</v>
      </c>
      <c r="LI19" s="192"/>
      <c r="LJ19" s="192"/>
      <c r="LK19" s="194"/>
      <c r="LL19" s="194" t="str">
        <f t="shared" ref="LL19:LL76" si="167">C19</f>
        <v>2026//6/05</v>
      </c>
      <c r="LM19" s="198">
        <v>3428935.02</v>
      </c>
      <c r="LN19" s="12">
        <f t="shared" ref="LN19:LN81" si="168">LM20</f>
        <v>3440995.02</v>
      </c>
      <c r="LO19" s="12">
        <f t="shared" ref="LO19:LO81" si="169">LM19-LN19</f>
        <v>-12060</v>
      </c>
      <c r="LP19" s="199">
        <f t="shared" ref="LP19:LP81" si="170">LO19/LN19</f>
        <v>-0.00350480019003341</v>
      </c>
      <c r="LQ19" s="192"/>
      <c r="LR19" s="192"/>
      <c r="LS19" s="194"/>
      <c r="LT19" s="194" t="str">
        <f t="shared" ref="LT19:LT76" si="171">C19</f>
        <v>2026//6/05</v>
      </c>
      <c r="LU19" s="200">
        <v>2378662.904</v>
      </c>
      <c r="LV19" s="12">
        <f t="shared" ref="LV19:LV81" si="172">LU20</f>
        <v>2380662.904</v>
      </c>
      <c r="LW19" s="12">
        <f t="shared" ref="LW19:LW81" si="173">LU19-LV19</f>
        <v>-2000</v>
      </c>
      <c r="LX19" s="199">
        <f t="shared" ref="LX19:LX81" si="174">LW19/LV19</f>
        <v>-0.000840102139887</v>
      </c>
      <c r="LY19" s="192"/>
      <c r="LZ19" s="192"/>
      <c r="MA19" s="194"/>
      <c r="MB19" s="194" t="str">
        <f t="shared" ref="MB19:MB76" si="175">C19</f>
        <v>2026//6/05</v>
      </c>
      <c r="MC19" s="200">
        <v>1151267.69</v>
      </c>
      <c r="MD19" s="12">
        <f t="shared" ref="MD19:MD81" si="176">MC20</f>
        <v>1066867.69</v>
      </c>
      <c r="ME19" s="12">
        <f t="shared" ref="ME19:ME81" si="177">MC19-MD19</f>
        <v>84400</v>
      </c>
      <c r="MF19" s="199">
        <f t="shared" ref="MF19:MF81" si="178">ME19/MD19</f>
        <v>0.0791100909617012</v>
      </c>
      <c r="MG19" s="192"/>
      <c r="MH19" s="192"/>
      <c r="MK19" s="194" t="str">
        <f t="shared" ref="MK19:MK76" si="179">C19</f>
        <v>2026//6/05</v>
      </c>
      <c r="ML19" s="203">
        <v>171705.5354</v>
      </c>
      <c r="MM19" s="12">
        <f t="shared" ref="MM19:MM81" si="180">ML20</f>
        <v>173865.5354</v>
      </c>
      <c r="MN19" s="12">
        <f t="shared" ref="MN19:MN81" si="181">ML19-MM19</f>
        <v>-2160</v>
      </c>
      <c r="MO19" s="199">
        <f t="shared" ref="MO19:MO81" si="182">MN19/MM19</f>
        <v>-0.0124233937164755</v>
      </c>
      <c r="MP19" s="192"/>
      <c r="MQ19" s="201"/>
      <c r="MR19" s="201"/>
      <c r="MT19" s="194" t="str">
        <f t="shared" ref="MT19:MT76" si="183">C19</f>
        <v>2026//6/05</v>
      </c>
      <c r="MU19" s="203">
        <v>157614.8</v>
      </c>
      <c r="MV19" s="204">
        <f t="shared" ref="MV19:MV81" si="184">MU20</f>
        <v>160314.8</v>
      </c>
      <c r="MW19" s="8">
        <f t="shared" ref="MW19:MW82" si="185">MU19-MV19</f>
        <v>-2700</v>
      </c>
      <c r="MX19" s="192">
        <f t="shared" ref="MX19:MX82" si="186">MW19/MV19</f>
        <v>-0.0168418636333015</v>
      </c>
      <c r="MY19" s="192"/>
      <c r="MZ19" s="192"/>
      <c r="NA19" s="192"/>
      <c r="NC19" s="194" t="str">
        <f t="shared" ref="NC19:NC76" si="187">C19</f>
        <v>2026//6/05</v>
      </c>
      <c r="ND19" s="203">
        <v>39891.48</v>
      </c>
      <c r="NE19" s="204">
        <f t="shared" ref="NE19:NE81" si="188">ND20</f>
        <v>40091.48</v>
      </c>
      <c r="NF19" s="8">
        <f t="shared" ref="NF19:NF82" si="189">ND19-NE19</f>
        <v>-200</v>
      </c>
      <c r="NG19" s="192">
        <f t="shared" ref="NG19:NG82" si="190">NF19/NE19</f>
        <v>-0.0049885910921722</v>
      </c>
      <c r="NH19" s="192"/>
      <c r="NI19" s="192"/>
      <c r="NJ19" s="192"/>
      <c r="NK19" s="192"/>
      <c r="NM19" s="194" t="str">
        <f t="shared" ref="NM19:NM76" si="191">C19</f>
        <v>2026//6/05</v>
      </c>
      <c r="NN19" s="203">
        <v>2838911.08</v>
      </c>
      <c r="NO19" s="8">
        <f t="shared" ref="NO19:NO81" si="192">NN20</f>
        <v>2802711.08</v>
      </c>
      <c r="NP19" s="8">
        <f t="shared" ref="NP19:NP79" si="193">NN19-NO19</f>
        <v>36200</v>
      </c>
      <c r="NQ19" s="192">
        <f t="shared" ref="NQ19:NQ79" si="194">NP19/NO19</f>
        <v>0.0129160655403696</v>
      </c>
      <c r="NR19" s="192"/>
      <c r="NT19" s="194"/>
      <c r="NU19" s="194" t="str">
        <f t="shared" ref="NU19:NU76" si="195">C19</f>
        <v>2026//6/05</v>
      </c>
      <c r="NV19" s="203">
        <v>269326.5</v>
      </c>
      <c r="NW19" s="205">
        <f t="shared" ref="NW19:NW81" si="196">NV20</f>
        <v>269426.5</v>
      </c>
      <c r="NX19" s="8">
        <f t="shared" ref="NX19:NX79" si="197">NV19-NW19</f>
        <v>-100</v>
      </c>
      <c r="NY19" s="192">
        <f t="shared" ref="NY19:NY79" si="198">NX19/NW19</f>
        <v>-0.0003711587390253</v>
      </c>
      <c r="NZ19" s="201"/>
      <c r="OA19" s="200"/>
      <c r="OB19" s="194"/>
      <c r="OC19" s="194" t="str">
        <f t="shared" ref="OC19:OC76" si="199">C19</f>
        <v>2026//6/05</v>
      </c>
      <c r="OD19" s="200">
        <v>17586.97</v>
      </c>
      <c r="OE19" s="12">
        <f t="shared" ref="OE19:OE81" si="200">OD20</f>
        <v>17304.97</v>
      </c>
      <c r="OF19" s="12">
        <f t="shared" ref="OF19:OF81" si="201">OD19-OE19</f>
        <v>282</v>
      </c>
      <c r="OG19" s="199">
        <f t="shared" ref="OG19:OG81" si="202">OF19/OE19</f>
        <v>0.0162958964967868</v>
      </c>
      <c r="OH19" s="192"/>
      <c r="OI19" s="192"/>
      <c r="OJ19" s="194"/>
      <c r="OK19" s="194" t="str">
        <f t="shared" ref="OK19:OK76" si="203">C19</f>
        <v>2026//6/05</v>
      </c>
      <c r="OL19" s="200">
        <v>15428.65</v>
      </c>
      <c r="OM19" s="12">
        <f t="shared" ref="OM19:OM81" si="204">OL20</f>
        <v>15325.65</v>
      </c>
      <c r="ON19" s="12">
        <f t="shared" ref="ON19:ON81" si="205">OL19-OM19</f>
        <v>103</v>
      </c>
      <c r="OO19" s="199">
        <f t="shared" ref="OO19:OO81" si="206">ON19/OM19</f>
        <v>0.00672075898901515</v>
      </c>
      <c r="OP19" s="192"/>
      <c r="OQ19" s="192"/>
      <c r="OT19" s="26" t="str">
        <f t="shared" ref="OT19:OT65" si="207">OK19</f>
        <v>2026//6/05</v>
      </c>
      <c r="OU19">
        <v>148992.4066</v>
      </c>
      <c r="OV19" s="8">
        <f t="shared" ref="OV19:OV81" si="208">OU20</f>
        <v>0</v>
      </c>
      <c r="OW19" s="191">
        <f t="shared" ref="OW19:OW81" si="209">OU19-OV19</f>
        <v>148992.4066</v>
      </c>
      <c r="OX19" s="192" t="e">
        <f t="shared" ref="OX19:OX81" si="210">OW19/OV19</f>
        <v>#DIV/0!</v>
      </c>
    </row>
    <row r="20" s="8" customFormat="1" ht="17" customHeight="1" spans="1:415">
      <c r="A20" s="15"/>
      <c r="B20" s="15"/>
      <c r="C20" s="15" t="s">
        <v>446</v>
      </c>
      <c r="D20" s="138">
        <v>2804718.77</v>
      </c>
      <c r="E20" s="19">
        <f t="shared" si="8"/>
        <v>2824158.77</v>
      </c>
      <c r="F20" s="19">
        <f t="shared" si="9"/>
        <v>-19440</v>
      </c>
      <c r="G20" s="172">
        <f t="shared" si="10"/>
        <v>-0.00688346569127202</v>
      </c>
      <c r="H20" s="18"/>
      <c r="I20" s="122"/>
      <c r="J20" s="122"/>
      <c r="K20" s="125" t="str">
        <f t="shared" si="11"/>
        <v>2026//6/03</v>
      </c>
      <c r="L20" s="125">
        <v>2204974.4</v>
      </c>
      <c r="M20" s="125">
        <f t="shared" si="12"/>
        <v>2210014.4</v>
      </c>
      <c r="N20" s="125">
        <f t="shared" si="13"/>
        <v>-5040</v>
      </c>
      <c r="O20" s="122">
        <f t="shared" si="14"/>
        <v>-0.00228052812687555</v>
      </c>
      <c r="P20" s="18"/>
      <c r="Q20" s="122"/>
      <c r="R20" s="125"/>
      <c r="S20" s="125" t="str">
        <f t="shared" si="15"/>
        <v>2026//6/03</v>
      </c>
      <c r="T20" s="125">
        <v>815286.68</v>
      </c>
      <c r="U20" s="125">
        <f t="shared" si="16"/>
        <v>849486.68</v>
      </c>
      <c r="V20" s="125">
        <f t="shared" si="17"/>
        <v>-34200</v>
      </c>
      <c r="W20" s="122">
        <f t="shared" si="18"/>
        <v>-0.0402596071312148</v>
      </c>
      <c r="X20" s="18"/>
      <c r="Y20" s="122"/>
      <c r="Z20" s="125"/>
      <c r="AA20" s="125" t="str">
        <f t="shared" si="19"/>
        <v>2026//6/03</v>
      </c>
      <c r="AB20" s="125">
        <v>470096.86</v>
      </c>
      <c r="AC20" s="125">
        <f t="shared" si="20"/>
        <v>474296.86</v>
      </c>
      <c r="AD20" s="125">
        <f t="shared" si="21"/>
        <v>-4200</v>
      </c>
      <c r="AE20" s="122">
        <f t="shared" si="22"/>
        <v>-0.00885521358922764</v>
      </c>
      <c r="AF20" s="18"/>
      <c r="AG20" s="122"/>
      <c r="AH20" s="125"/>
      <c r="AI20" s="125" t="str">
        <f t="shared" si="23"/>
        <v>2026//6/03</v>
      </c>
      <c r="AJ20" s="125">
        <v>372721.76</v>
      </c>
      <c r="AK20" s="125">
        <f t="shared" si="24"/>
        <v>451321.76</v>
      </c>
      <c r="AL20" s="125">
        <f t="shared" si="25"/>
        <v>-78600</v>
      </c>
      <c r="AM20" s="122">
        <f t="shared" si="26"/>
        <v>-0.174155130477201</v>
      </c>
      <c r="AN20" s="18"/>
      <c r="AO20" s="18"/>
      <c r="AP20" s="125"/>
      <c r="AQ20" s="125" t="str">
        <f t="shared" si="27"/>
        <v>2026//6/03</v>
      </c>
      <c r="AR20" s="145">
        <v>1007145.4936</v>
      </c>
      <c r="AS20" s="125">
        <f t="shared" si="28"/>
        <v>1023445.4936</v>
      </c>
      <c r="AT20" s="125">
        <f t="shared" si="29"/>
        <v>-16300</v>
      </c>
      <c r="AU20" s="122">
        <f t="shared" si="30"/>
        <v>-0.0159265931619517</v>
      </c>
      <c r="AV20" s="18"/>
      <c r="AW20" s="18"/>
      <c r="AX20" s="17"/>
      <c r="AY20" s="138"/>
      <c r="AZ20" s="125" t="str">
        <f t="shared" si="31"/>
        <v>2026//6/03</v>
      </c>
      <c r="BA20" s="125">
        <v>1231581.6676</v>
      </c>
      <c r="BB20" s="138">
        <f t="shared" si="32"/>
        <v>1242111.6676</v>
      </c>
      <c r="BC20" s="125">
        <f t="shared" si="33"/>
        <v>-10530</v>
      </c>
      <c r="BD20" s="122">
        <f t="shared" si="34"/>
        <v>-0.00847749866189245</v>
      </c>
      <c r="BE20" s="18"/>
      <c r="BF20" s="18"/>
      <c r="BG20" s="74"/>
      <c r="BH20" s="194" t="str">
        <f t="shared" si="35"/>
        <v>2026//6/03</v>
      </c>
      <c r="BI20" s="194">
        <v>1418226.5525</v>
      </c>
      <c r="BJ20" s="195">
        <f t="shared" si="36"/>
        <v>1422826.5525</v>
      </c>
      <c r="BK20" s="195">
        <f t="shared" si="37"/>
        <v>-4600</v>
      </c>
      <c r="BL20" s="196">
        <f t="shared" si="38"/>
        <v>-0.00323300123399967</v>
      </c>
      <c r="BM20" s="197"/>
      <c r="BN20" s="192"/>
      <c r="BO20" s="194"/>
      <c r="BP20" s="194" t="str">
        <f t="shared" si="39"/>
        <v>2026//6/03</v>
      </c>
      <c r="BQ20" s="198">
        <v>1159262.3921</v>
      </c>
      <c r="BR20" s="12">
        <f t="shared" si="40"/>
        <v>1149962.3921</v>
      </c>
      <c r="BS20" s="12">
        <f t="shared" si="41"/>
        <v>9300</v>
      </c>
      <c r="BT20" s="199">
        <f t="shared" si="42"/>
        <v>0.0080872209942595</v>
      </c>
      <c r="BU20" s="192"/>
      <c r="BV20" s="192"/>
      <c r="BW20" s="194"/>
      <c r="BX20" s="194" t="str">
        <f t="shared" si="43"/>
        <v>2026//6/03</v>
      </c>
      <c r="BY20" s="200">
        <v>2128210.7019</v>
      </c>
      <c r="BZ20" s="12">
        <f t="shared" si="44"/>
        <v>2150210.7019</v>
      </c>
      <c r="CA20" s="12">
        <f t="shared" si="45"/>
        <v>-22000</v>
      </c>
      <c r="CB20" s="199">
        <f t="shared" si="46"/>
        <v>-0.0102315554380601</v>
      </c>
      <c r="CC20" s="192"/>
      <c r="CD20" s="201"/>
      <c r="CE20" s="194"/>
      <c r="CF20" s="194" t="str">
        <f t="shared" si="47"/>
        <v>2026//6/03</v>
      </c>
      <c r="CG20" s="200">
        <v>1312553.9</v>
      </c>
      <c r="CH20" s="12">
        <f t="shared" si="48"/>
        <v>1307603.9</v>
      </c>
      <c r="CI20" s="12">
        <f t="shared" si="49"/>
        <v>4950</v>
      </c>
      <c r="CJ20" s="199">
        <f t="shared" si="50"/>
        <v>0.00378555004309791</v>
      </c>
      <c r="CK20" s="192"/>
      <c r="CL20" s="201"/>
      <c r="CM20" s="194"/>
      <c r="CN20" s="194" t="str">
        <f t="shared" si="51"/>
        <v>2026//6/03</v>
      </c>
      <c r="CO20" s="200">
        <v>568846.48</v>
      </c>
      <c r="CP20" s="12">
        <f t="shared" si="52"/>
        <v>572946.48</v>
      </c>
      <c r="CQ20" s="12">
        <f t="shared" si="53"/>
        <v>-4100</v>
      </c>
      <c r="CR20" s="199">
        <f t="shared" si="54"/>
        <v>-0.00715599125419184</v>
      </c>
      <c r="CS20" s="201"/>
      <c r="CT20" s="201"/>
      <c r="CU20" s="194"/>
      <c r="CV20" s="194" t="str">
        <f t="shared" si="55"/>
        <v>2026//6/03</v>
      </c>
      <c r="CW20" s="200">
        <v>574090.4</v>
      </c>
      <c r="CX20" s="12">
        <f t="shared" si="56"/>
        <v>577890.4</v>
      </c>
      <c r="CY20" s="12">
        <f t="shared" si="57"/>
        <v>-3800</v>
      </c>
      <c r="CZ20" s="199">
        <f t="shared" si="58"/>
        <v>-0.00657564133268177</v>
      </c>
      <c r="DA20" s="192"/>
      <c r="DB20" s="192"/>
      <c r="DC20" s="202"/>
      <c r="DD20" s="194" t="str">
        <f t="shared" si="59"/>
        <v>2026//6/03</v>
      </c>
      <c r="DE20" s="200">
        <v>1759117.9986</v>
      </c>
      <c r="DF20" s="12">
        <f t="shared" si="60"/>
        <v>1796317.9986</v>
      </c>
      <c r="DG20" s="12">
        <f t="shared" si="61"/>
        <v>-37200</v>
      </c>
      <c r="DH20" s="199">
        <f t="shared" si="62"/>
        <v>-0.0207090281503568</v>
      </c>
      <c r="DI20" s="192"/>
      <c r="DJ20" s="192"/>
      <c r="DK20" s="194"/>
      <c r="DL20" s="194" t="str">
        <f t="shared" si="63"/>
        <v>2026//6/03</v>
      </c>
      <c r="DM20" s="200">
        <v>842100.36</v>
      </c>
      <c r="DN20" s="12">
        <f t="shared" si="64"/>
        <v>853300.36</v>
      </c>
      <c r="DO20" s="12">
        <f t="shared" si="65"/>
        <v>-11200</v>
      </c>
      <c r="DP20" s="199">
        <f t="shared" si="66"/>
        <v>-0.0131255071778008</v>
      </c>
      <c r="DQ20" s="192"/>
      <c r="DR20" s="192"/>
      <c r="DS20" s="194"/>
      <c r="DT20" s="194" t="str">
        <f t="shared" si="67"/>
        <v>2026//6/03</v>
      </c>
      <c r="DU20" s="200">
        <v>1269089.48</v>
      </c>
      <c r="DV20" s="12">
        <f t="shared" si="68"/>
        <v>1319489.48</v>
      </c>
      <c r="DW20" s="12">
        <f t="shared" si="69"/>
        <v>-50400</v>
      </c>
      <c r="DX20" s="199">
        <f t="shared" si="70"/>
        <v>-0.0381965910027566</v>
      </c>
      <c r="DY20" s="192"/>
      <c r="DZ20" s="192"/>
      <c r="EA20" s="194"/>
      <c r="EB20" s="194" t="str">
        <f t="shared" si="71"/>
        <v>2026//6/03</v>
      </c>
      <c r="EC20" s="200">
        <v>3331766.82</v>
      </c>
      <c r="ED20" s="12">
        <f t="shared" si="72"/>
        <v>3439766.82</v>
      </c>
      <c r="EE20" s="12">
        <f t="shared" si="73"/>
        <v>-108000</v>
      </c>
      <c r="EF20" s="199">
        <f t="shared" si="74"/>
        <v>-0.0313974771115444</v>
      </c>
      <c r="EG20" s="192"/>
      <c r="EH20" s="192"/>
      <c r="EI20" s="194"/>
      <c r="EJ20" s="194" t="str">
        <f t="shared" si="75"/>
        <v>2026//6/03</v>
      </c>
      <c r="EK20" s="200">
        <v>1171922.9669</v>
      </c>
      <c r="EL20" s="12">
        <f t="shared" si="76"/>
        <v>1183922.9669</v>
      </c>
      <c r="EM20" s="12">
        <f t="shared" si="77"/>
        <v>-12000</v>
      </c>
      <c r="EN20" s="199">
        <f t="shared" si="78"/>
        <v>-0.0101357945875659</v>
      </c>
      <c r="EO20" s="192"/>
      <c r="EP20" s="192"/>
      <c r="EQ20" s="194"/>
      <c r="ER20" s="194" t="str">
        <f t="shared" si="79"/>
        <v>2026//6/03</v>
      </c>
      <c r="ES20" s="203">
        <v>385097.02</v>
      </c>
      <c r="ET20" s="12">
        <f t="shared" si="80"/>
        <v>391847.02</v>
      </c>
      <c r="EU20" s="12">
        <f t="shared" si="81"/>
        <v>-6750</v>
      </c>
      <c r="EV20" s="199">
        <f t="shared" si="82"/>
        <v>-0.0172261103325476</v>
      </c>
      <c r="EW20" s="192"/>
      <c r="EX20" s="192"/>
      <c r="EY20" s="194"/>
      <c r="EZ20" s="194" t="str">
        <f t="shared" si="83"/>
        <v>2026//6/03</v>
      </c>
      <c r="FA20" s="200">
        <v>568208</v>
      </c>
      <c r="FB20" s="12">
        <f t="shared" si="84"/>
        <v>592808</v>
      </c>
      <c r="FC20" s="12">
        <f t="shared" si="85"/>
        <v>-24600</v>
      </c>
      <c r="FD20" s="199">
        <f t="shared" si="86"/>
        <v>-0.0414974156893969</v>
      </c>
      <c r="FE20" s="192"/>
      <c r="FF20" s="192"/>
      <c r="FG20" s="192"/>
      <c r="FH20" s="194" t="str">
        <f t="shared" si="87"/>
        <v>2026//6/03</v>
      </c>
      <c r="FI20" s="198">
        <v>1042895.3365</v>
      </c>
      <c r="FJ20" s="12">
        <f t="shared" si="88"/>
        <v>1053795.3365</v>
      </c>
      <c r="FK20" s="12">
        <f t="shared" si="89"/>
        <v>-10900</v>
      </c>
      <c r="FL20" s="199">
        <f t="shared" si="90"/>
        <v>-0.0103435644687919</v>
      </c>
      <c r="FM20" s="201"/>
      <c r="FN20" s="201"/>
      <c r="FO20" s="194"/>
      <c r="FP20" s="194" t="str">
        <f t="shared" si="91"/>
        <v>2026//6/03</v>
      </c>
      <c r="FQ20" s="200">
        <v>1606018.73</v>
      </c>
      <c r="FR20" s="12">
        <f t="shared" si="92"/>
        <v>1605568.73</v>
      </c>
      <c r="FS20" s="12">
        <f t="shared" si="93"/>
        <v>450</v>
      </c>
      <c r="FT20" s="199">
        <f t="shared" si="94"/>
        <v>0.000280274516806266</v>
      </c>
      <c r="FU20" s="192"/>
      <c r="FV20" s="192"/>
      <c r="FW20" s="194"/>
      <c r="FX20" s="194" t="str">
        <f t="shared" si="95"/>
        <v>2026//6/03</v>
      </c>
      <c r="FY20" s="200">
        <v>8512182.05</v>
      </c>
      <c r="FZ20" s="12">
        <f t="shared" si="96"/>
        <v>8452282.05</v>
      </c>
      <c r="GA20" s="12">
        <f t="shared" si="97"/>
        <v>59900</v>
      </c>
      <c r="GB20" s="199">
        <f t="shared" si="98"/>
        <v>0.00708684348743426</v>
      </c>
      <c r="GC20" s="192"/>
      <c r="GD20" s="192"/>
      <c r="GE20" s="194"/>
      <c r="GF20" s="194" t="str">
        <f t="shared" si="99"/>
        <v>2026//6/03</v>
      </c>
      <c r="GG20" s="200">
        <v>5089069.49</v>
      </c>
      <c r="GH20" s="12">
        <f t="shared" si="100"/>
        <v>4998669.49</v>
      </c>
      <c r="GI20" s="12">
        <f t="shared" si="101"/>
        <v>90400</v>
      </c>
      <c r="GJ20" s="199">
        <f t="shared" si="102"/>
        <v>0.0180848124047505</v>
      </c>
      <c r="GK20" s="192"/>
      <c r="GL20" s="192"/>
      <c r="GM20" s="194"/>
      <c r="GN20" s="194" t="str">
        <f t="shared" si="103"/>
        <v>2026//6/03</v>
      </c>
      <c r="GO20" s="200">
        <v>1927738.1217</v>
      </c>
      <c r="GP20" s="12">
        <f t="shared" si="104"/>
        <v>1916278.1217</v>
      </c>
      <c r="GQ20" s="12">
        <f t="shared" si="105"/>
        <v>11460</v>
      </c>
      <c r="GR20" s="199">
        <f t="shared" si="106"/>
        <v>0.00598034276456354</v>
      </c>
      <c r="GS20" s="192"/>
      <c r="GT20" s="192"/>
      <c r="GU20" s="194"/>
      <c r="GV20" s="194" t="str">
        <f t="shared" si="107"/>
        <v>2026//6/03</v>
      </c>
      <c r="GW20" s="200">
        <v>753749.4</v>
      </c>
      <c r="GX20" s="12">
        <f t="shared" si="108"/>
        <v>754549.4</v>
      </c>
      <c r="GY20" s="12">
        <f t="shared" si="109"/>
        <v>-800</v>
      </c>
      <c r="GZ20" s="199">
        <f t="shared" si="110"/>
        <v>-0.00106023541997383</v>
      </c>
      <c r="HA20" s="192"/>
      <c r="HB20" s="192"/>
      <c r="HC20" s="194"/>
      <c r="HD20" s="194" t="str">
        <f t="shared" si="111"/>
        <v>2026//6/03</v>
      </c>
      <c r="HE20" s="200">
        <v>1091664.6746</v>
      </c>
      <c r="HF20" s="12">
        <f t="shared" si="112"/>
        <v>1103264.6746</v>
      </c>
      <c r="HG20" s="12">
        <f t="shared" si="113"/>
        <v>-11600</v>
      </c>
      <c r="HH20" s="199">
        <f t="shared" si="114"/>
        <v>-0.0105142494517063</v>
      </c>
      <c r="HI20" s="201"/>
      <c r="HJ20" s="192"/>
      <c r="HK20" s="194"/>
      <c r="HL20" s="194" t="str">
        <f t="shared" si="115"/>
        <v>2026//6/03</v>
      </c>
      <c r="HM20" s="200">
        <v>120154.25</v>
      </c>
      <c r="HN20" s="12">
        <f t="shared" si="116"/>
        <v>122954.25</v>
      </c>
      <c r="HO20" s="12">
        <f t="shared" si="117"/>
        <v>-2800</v>
      </c>
      <c r="HP20" s="199">
        <f t="shared" si="118"/>
        <v>-0.0227726979750598</v>
      </c>
      <c r="HQ20" s="192"/>
      <c r="HR20" s="192"/>
      <c r="HS20" s="194"/>
      <c r="HT20" s="194" t="str">
        <f t="shared" si="119"/>
        <v>2026//6/03</v>
      </c>
      <c r="HU20" s="200">
        <v>161168.8265</v>
      </c>
      <c r="HV20" s="12">
        <f t="shared" si="120"/>
        <v>163868.8265</v>
      </c>
      <c r="HW20" s="12">
        <f t="shared" si="121"/>
        <v>-2700</v>
      </c>
      <c r="HX20" s="199">
        <f t="shared" si="122"/>
        <v>-0.0164765932463671</v>
      </c>
      <c r="HY20" s="192"/>
      <c r="HZ20" s="192"/>
      <c r="IA20" s="194"/>
      <c r="IB20" s="194" t="str">
        <f t="shared" si="123"/>
        <v>2026//6/03</v>
      </c>
      <c r="IC20" s="200">
        <v>340759.79</v>
      </c>
      <c r="ID20" s="12">
        <f t="shared" si="124"/>
        <v>341659.79</v>
      </c>
      <c r="IE20" s="12">
        <f t="shared" si="125"/>
        <v>-900</v>
      </c>
      <c r="IF20" s="199">
        <f t="shared" si="126"/>
        <v>-0.00263419935954418</v>
      </c>
      <c r="IG20" s="201"/>
      <c r="IH20" s="192"/>
      <c r="II20" s="194"/>
      <c r="IJ20" s="194" t="str">
        <f t="shared" si="127"/>
        <v>2026//6/03</v>
      </c>
      <c r="IK20" s="200">
        <v>950236.29</v>
      </c>
      <c r="IL20" s="12">
        <f t="shared" si="128"/>
        <v>891276.29</v>
      </c>
      <c r="IM20" s="12">
        <f t="shared" si="129"/>
        <v>58960</v>
      </c>
      <c r="IN20" s="199">
        <f t="shared" si="130"/>
        <v>0.066152326345403</v>
      </c>
      <c r="IO20" s="192"/>
      <c r="IP20" s="192"/>
      <c r="IQ20" s="194"/>
      <c r="IR20" s="194" t="str">
        <f t="shared" si="131"/>
        <v>2026//6/03</v>
      </c>
      <c r="IS20" s="200">
        <v>144289</v>
      </c>
      <c r="IT20" s="12">
        <f t="shared" si="132"/>
        <v>145889</v>
      </c>
      <c r="IU20" s="12">
        <f t="shared" si="133"/>
        <v>-1600</v>
      </c>
      <c r="IV20" s="199">
        <f t="shared" si="134"/>
        <v>-0.0109672422183989</v>
      </c>
      <c r="IW20" s="192"/>
      <c r="IX20" s="192"/>
      <c r="IY20" s="194"/>
      <c r="IZ20" s="194" t="str">
        <f t="shared" si="135"/>
        <v>2026//6/03</v>
      </c>
      <c r="JA20" s="200">
        <v>5279129.15</v>
      </c>
      <c r="JB20" s="12">
        <f t="shared" si="136"/>
        <v>5252629.15</v>
      </c>
      <c r="JC20" s="12">
        <f t="shared" si="137"/>
        <v>26500</v>
      </c>
      <c r="JD20" s="199">
        <f t="shared" si="138"/>
        <v>0.00504509251333687</v>
      </c>
      <c r="JE20" s="192"/>
      <c r="JF20" s="192"/>
      <c r="JG20" s="194"/>
      <c r="JH20" s="194" t="str">
        <f t="shared" si="139"/>
        <v>2026//6/03</v>
      </c>
      <c r="JI20" s="200">
        <v>1371327.99</v>
      </c>
      <c r="JJ20" s="12">
        <f t="shared" si="140"/>
        <v>1370187.99</v>
      </c>
      <c r="JK20" s="12">
        <f t="shared" si="141"/>
        <v>1140</v>
      </c>
      <c r="JL20" s="199">
        <f t="shared" si="142"/>
        <v>0.00083200262177163</v>
      </c>
      <c r="JM20" s="192"/>
      <c r="JN20" s="192"/>
      <c r="JO20" s="192"/>
      <c r="JP20" s="194" t="str">
        <f t="shared" si="143"/>
        <v>2026//6/03</v>
      </c>
      <c r="JQ20" s="200">
        <v>1040890.4148</v>
      </c>
      <c r="JR20" s="12">
        <f t="shared" si="144"/>
        <v>1023690.4148</v>
      </c>
      <c r="JS20" s="12">
        <f t="shared" si="145"/>
        <v>17200</v>
      </c>
      <c r="JT20" s="199">
        <f t="shared" si="146"/>
        <v>0.0168019547231576</v>
      </c>
      <c r="JU20" s="192"/>
      <c r="JV20" s="192"/>
      <c r="JW20" s="201"/>
      <c r="JX20" s="194" t="str">
        <f t="shared" si="147"/>
        <v>2026//6/03</v>
      </c>
      <c r="JY20" s="200">
        <v>1112848.8</v>
      </c>
      <c r="JZ20" s="12">
        <f t="shared" si="148"/>
        <v>1112848.8</v>
      </c>
      <c r="KA20" s="12">
        <f t="shared" si="149"/>
        <v>0</v>
      </c>
      <c r="KB20" s="199">
        <f t="shared" si="150"/>
        <v>0</v>
      </c>
      <c r="KC20" s="192"/>
      <c r="KD20" s="192"/>
      <c r="KE20" s="201"/>
      <c r="KF20" s="194" t="str">
        <f t="shared" si="151"/>
        <v>2026//6/03</v>
      </c>
      <c r="KG20" s="200">
        <v>665755.9219</v>
      </c>
      <c r="KH20" s="12">
        <f t="shared" si="152"/>
        <v>668555.9219</v>
      </c>
      <c r="KI20" s="12">
        <f t="shared" si="153"/>
        <v>-2800</v>
      </c>
      <c r="KJ20" s="199">
        <f t="shared" si="154"/>
        <v>-0.0041881313264604</v>
      </c>
      <c r="KK20" s="201"/>
      <c r="KL20" s="201"/>
      <c r="KM20" s="194"/>
      <c r="KN20" s="194" t="str">
        <f t="shared" si="155"/>
        <v>2026//6/03</v>
      </c>
      <c r="KO20" s="200">
        <v>7552975.95</v>
      </c>
      <c r="KP20" s="12">
        <f t="shared" si="156"/>
        <v>7652375.95</v>
      </c>
      <c r="KQ20" s="12">
        <f t="shared" si="157"/>
        <v>-99400</v>
      </c>
      <c r="KR20" s="199">
        <f t="shared" si="158"/>
        <v>-0.0129894297731151</v>
      </c>
      <c r="KS20" s="192"/>
      <c r="KT20" s="192"/>
      <c r="KU20" s="194"/>
      <c r="KV20" s="194" t="str">
        <f t="shared" si="159"/>
        <v>2026//6/03</v>
      </c>
      <c r="KW20" s="200">
        <v>1079772.9726</v>
      </c>
      <c r="KX20" s="12">
        <f t="shared" si="160"/>
        <v>1080972.9726</v>
      </c>
      <c r="KY20" s="12">
        <f t="shared" si="161"/>
        <v>-1200</v>
      </c>
      <c r="KZ20" s="199">
        <f t="shared" si="162"/>
        <v>-0.00111011101148414</v>
      </c>
      <c r="LA20" s="201"/>
      <c r="LB20" s="192"/>
      <c r="LC20" s="194"/>
      <c r="LD20" s="194" t="str">
        <f t="shared" si="163"/>
        <v>2026//6/03</v>
      </c>
      <c r="LE20" s="200">
        <v>414257.7</v>
      </c>
      <c r="LF20" s="12">
        <f t="shared" si="164"/>
        <v>416307.7</v>
      </c>
      <c r="LG20" s="12">
        <f t="shared" si="165"/>
        <v>-2050</v>
      </c>
      <c r="LH20" s="199">
        <f t="shared" si="166"/>
        <v>-0.00492424233325495</v>
      </c>
      <c r="LI20" s="192"/>
      <c r="LJ20" s="192"/>
      <c r="LK20" s="194"/>
      <c r="LL20" s="194" t="str">
        <f t="shared" si="167"/>
        <v>2026//6/03</v>
      </c>
      <c r="LM20" s="198">
        <v>3440995.02</v>
      </c>
      <c r="LN20" s="12">
        <f t="shared" si="168"/>
        <v>3401755.02</v>
      </c>
      <c r="LO20" s="12">
        <f t="shared" si="169"/>
        <v>39240</v>
      </c>
      <c r="LP20" s="199">
        <f t="shared" si="170"/>
        <v>0.0115352221924552</v>
      </c>
      <c r="LQ20" s="192"/>
      <c r="LR20" s="192"/>
      <c r="LS20" s="194"/>
      <c r="LT20" s="194" t="str">
        <f t="shared" si="171"/>
        <v>2026//6/03</v>
      </c>
      <c r="LU20" s="200">
        <v>2380662.904</v>
      </c>
      <c r="LV20" s="12">
        <f t="shared" si="172"/>
        <v>2382462.904</v>
      </c>
      <c r="LW20" s="12">
        <f t="shared" si="173"/>
        <v>-1800</v>
      </c>
      <c r="LX20" s="199">
        <f t="shared" si="174"/>
        <v>-0.000755520682810178</v>
      </c>
      <c r="LY20" s="192"/>
      <c r="LZ20" s="192"/>
      <c r="MA20" s="194"/>
      <c r="MB20" s="194" t="str">
        <f t="shared" si="175"/>
        <v>2026//6/03</v>
      </c>
      <c r="MC20" s="200">
        <v>1066867.69</v>
      </c>
      <c r="MD20" s="12">
        <f t="shared" si="176"/>
        <v>1006567.69</v>
      </c>
      <c r="ME20" s="12">
        <f t="shared" si="177"/>
        <v>60300</v>
      </c>
      <c r="MF20" s="199">
        <f t="shared" si="178"/>
        <v>0.059906552335293</v>
      </c>
      <c r="MG20" s="192"/>
      <c r="MH20" s="192"/>
      <c r="MK20" s="194" t="str">
        <f t="shared" si="179"/>
        <v>2026//6/03</v>
      </c>
      <c r="ML20" s="203">
        <v>173865.5354</v>
      </c>
      <c r="MM20" s="12">
        <f t="shared" si="180"/>
        <v>172785.5354</v>
      </c>
      <c r="MN20" s="12">
        <f t="shared" si="181"/>
        <v>1080</v>
      </c>
      <c r="MO20" s="199">
        <f t="shared" si="182"/>
        <v>0.00625052321364627</v>
      </c>
      <c r="MP20" s="192"/>
      <c r="MQ20" s="201"/>
      <c r="MR20" s="201"/>
      <c r="MT20" s="194" t="str">
        <f t="shared" si="183"/>
        <v>2026//6/03</v>
      </c>
      <c r="MU20" s="203">
        <v>160314.8</v>
      </c>
      <c r="MV20" s="204">
        <f t="shared" si="184"/>
        <v>157714.8</v>
      </c>
      <c r="MW20" s="8">
        <f t="shared" si="185"/>
        <v>2600</v>
      </c>
      <c r="MX20" s="192">
        <f t="shared" si="186"/>
        <v>0.0164854534894633</v>
      </c>
      <c r="MY20" s="192"/>
      <c r="MZ20" s="192"/>
      <c r="NA20" s="192"/>
      <c r="NC20" s="194" t="str">
        <f t="shared" si="187"/>
        <v>2026//6/03</v>
      </c>
      <c r="ND20" s="203">
        <v>40091.48</v>
      </c>
      <c r="NE20" s="204">
        <f t="shared" si="188"/>
        <v>40291.48</v>
      </c>
      <c r="NF20" s="8">
        <f t="shared" si="189"/>
        <v>-200</v>
      </c>
      <c r="NG20" s="192">
        <f t="shared" si="190"/>
        <v>-0.00496382858112931</v>
      </c>
      <c r="NH20" s="192"/>
      <c r="NI20" s="192"/>
      <c r="NJ20" s="192"/>
      <c r="NK20" s="192"/>
      <c r="NM20" s="194" t="str">
        <f t="shared" si="191"/>
        <v>2026//6/03</v>
      </c>
      <c r="NN20" s="203">
        <v>2802711.08</v>
      </c>
      <c r="NO20" s="8">
        <f t="shared" si="192"/>
        <v>2773311.08</v>
      </c>
      <c r="NP20" s="8">
        <f t="shared" si="193"/>
        <v>29400</v>
      </c>
      <c r="NQ20" s="192">
        <f t="shared" si="194"/>
        <v>0.0106010466016672</v>
      </c>
      <c r="NR20" s="192"/>
      <c r="NT20" s="194"/>
      <c r="NU20" s="194" t="str">
        <f t="shared" si="195"/>
        <v>2026//6/03</v>
      </c>
      <c r="NV20" s="203">
        <v>269426.5</v>
      </c>
      <c r="NW20" s="205">
        <f t="shared" si="196"/>
        <v>268876.5</v>
      </c>
      <c r="NX20" s="8">
        <f t="shared" si="197"/>
        <v>550</v>
      </c>
      <c r="NY20" s="192">
        <f t="shared" si="198"/>
        <v>0.00204554879284727</v>
      </c>
      <c r="NZ20" s="201"/>
      <c r="OA20" s="200"/>
      <c r="OB20" s="194"/>
      <c r="OC20" s="194" t="str">
        <f t="shared" si="199"/>
        <v>2026//6/03</v>
      </c>
      <c r="OD20" s="200">
        <v>17304.97</v>
      </c>
      <c r="OE20" s="12">
        <f t="shared" si="200"/>
        <v>16804.97</v>
      </c>
      <c r="OF20" s="12">
        <f t="shared" si="201"/>
        <v>500</v>
      </c>
      <c r="OG20" s="199">
        <f t="shared" si="202"/>
        <v>0.0297531028023257</v>
      </c>
      <c r="OH20" s="192"/>
      <c r="OI20" s="192"/>
      <c r="OJ20" s="194"/>
      <c r="OK20" s="194" t="str">
        <f t="shared" si="203"/>
        <v>2026//6/03</v>
      </c>
      <c r="OL20" s="200">
        <v>15325.65</v>
      </c>
      <c r="OM20" s="12">
        <f t="shared" si="204"/>
        <v>15238.65</v>
      </c>
      <c r="ON20" s="12">
        <f t="shared" si="205"/>
        <v>87</v>
      </c>
      <c r="OO20" s="199">
        <f t="shared" si="206"/>
        <v>0.00570916715063342</v>
      </c>
      <c r="OP20" s="192"/>
      <c r="OQ20" s="192"/>
      <c r="OT20" s="26" t="str">
        <f t="shared" si="207"/>
        <v>2026//6/03</v>
      </c>
      <c r="OV20" s="8">
        <f t="shared" si="208"/>
        <v>0</v>
      </c>
      <c r="OW20" s="191">
        <f t="shared" si="209"/>
        <v>0</v>
      </c>
      <c r="OX20" s="192" t="e">
        <f t="shared" si="210"/>
        <v>#DIV/0!</v>
      </c>
    </row>
    <row r="21" s="8" customFormat="1" ht="17" customHeight="1" spans="1:415">
      <c r="A21" s="15"/>
      <c r="B21" s="15"/>
      <c r="C21" s="15" t="s">
        <v>447</v>
      </c>
      <c r="D21" s="138">
        <v>2824158.77</v>
      </c>
      <c r="E21" s="19">
        <f t="shared" si="8"/>
        <v>2819928.77</v>
      </c>
      <c r="F21" s="19">
        <f t="shared" si="9"/>
        <v>4230</v>
      </c>
      <c r="G21" s="172">
        <f t="shared" si="10"/>
        <v>0.00150003788925491</v>
      </c>
      <c r="H21" s="18"/>
      <c r="I21" s="122"/>
      <c r="J21" s="122"/>
      <c r="K21" s="125" t="str">
        <f t="shared" si="11"/>
        <v>2026//6/02</v>
      </c>
      <c r="L21" s="125">
        <v>2210014.4</v>
      </c>
      <c r="M21" s="125">
        <f t="shared" si="12"/>
        <v>2212264.4</v>
      </c>
      <c r="N21" s="125">
        <f t="shared" si="13"/>
        <v>-2250</v>
      </c>
      <c r="O21" s="122">
        <f t="shared" si="14"/>
        <v>-0.00101705745479609</v>
      </c>
      <c r="P21" s="18"/>
      <c r="Q21" s="122"/>
      <c r="R21" s="125"/>
      <c r="S21" s="125" t="str">
        <f t="shared" si="15"/>
        <v>2026//6/02</v>
      </c>
      <c r="T21" s="125">
        <v>849486.68</v>
      </c>
      <c r="U21" s="125">
        <f t="shared" si="16"/>
        <v>845166.68</v>
      </c>
      <c r="V21" s="125">
        <f t="shared" si="17"/>
        <v>4320</v>
      </c>
      <c r="W21" s="122">
        <f t="shared" si="18"/>
        <v>0.00511141778566093</v>
      </c>
      <c r="X21" s="18"/>
      <c r="Y21" s="122"/>
      <c r="Z21" s="125"/>
      <c r="AA21" s="125" t="str">
        <f t="shared" si="19"/>
        <v>2026//6/02</v>
      </c>
      <c r="AB21" s="125">
        <v>474296.86</v>
      </c>
      <c r="AC21" s="125">
        <f t="shared" si="20"/>
        <v>458576.86</v>
      </c>
      <c r="AD21" s="125">
        <f t="shared" si="21"/>
        <v>15720</v>
      </c>
      <c r="AE21" s="122">
        <f t="shared" si="22"/>
        <v>0.0342799678117208</v>
      </c>
      <c r="AF21" s="18"/>
      <c r="AG21" s="122"/>
      <c r="AH21" s="125"/>
      <c r="AI21" s="125" t="str">
        <f t="shared" si="23"/>
        <v>2026//6/02</v>
      </c>
      <c r="AJ21" s="125">
        <v>451321.76</v>
      </c>
      <c r="AK21" s="125">
        <f t="shared" si="24"/>
        <v>443521.76</v>
      </c>
      <c r="AL21" s="125">
        <f t="shared" si="25"/>
        <v>7800</v>
      </c>
      <c r="AM21" s="122">
        <f t="shared" si="26"/>
        <v>0.0175865102988408</v>
      </c>
      <c r="AN21" s="18"/>
      <c r="AO21" s="18"/>
      <c r="AP21" s="125"/>
      <c r="AQ21" s="125" t="str">
        <f t="shared" si="27"/>
        <v>2026//6/02</v>
      </c>
      <c r="AR21" s="145">
        <v>1023445.4936</v>
      </c>
      <c r="AS21" s="125">
        <f t="shared" si="28"/>
        <v>1060445.4936</v>
      </c>
      <c r="AT21" s="125">
        <f t="shared" si="29"/>
        <v>-36999.9999999999</v>
      </c>
      <c r="AU21" s="122">
        <f t="shared" si="30"/>
        <v>-0.0348909964946829</v>
      </c>
      <c r="AV21" s="18"/>
      <c r="AW21" s="18"/>
      <c r="AX21" s="17"/>
      <c r="AY21" s="138"/>
      <c r="AZ21" s="125" t="str">
        <f t="shared" si="31"/>
        <v>2026//6/02</v>
      </c>
      <c r="BA21" s="125">
        <v>1242111.6676</v>
      </c>
      <c r="BB21" s="138">
        <f t="shared" si="32"/>
        <v>1238151.6676</v>
      </c>
      <c r="BC21" s="125">
        <f t="shared" si="33"/>
        <v>3960</v>
      </c>
      <c r="BD21" s="122">
        <f t="shared" si="34"/>
        <v>0.00319831576665883</v>
      </c>
      <c r="BE21" s="18"/>
      <c r="BF21" s="18"/>
      <c r="BG21" s="74"/>
      <c r="BH21" s="194" t="str">
        <f t="shared" si="35"/>
        <v>2026//6/02</v>
      </c>
      <c r="BI21" s="194">
        <v>1422826.5525</v>
      </c>
      <c r="BJ21" s="195">
        <f t="shared" si="36"/>
        <v>1430726.5525</v>
      </c>
      <c r="BK21" s="195">
        <f t="shared" si="37"/>
        <v>-7900</v>
      </c>
      <c r="BL21" s="196">
        <f t="shared" si="38"/>
        <v>-0.00552167008167691</v>
      </c>
      <c r="BM21" s="197"/>
      <c r="BN21" s="192"/>
      <c r="BO21" s="194"/>
      <c r="BP21" s="194" t="str">
        <f t="shared" si="39"/>
        <v>2026//6/02</v>
      </c>
      <c r="BQ21" s="198">
        <v>1149962.3921</v>
      </c>
      <c r="BR21" s="12">
        <f t="shared" si="40"/>
        <v>1116462.3921</v>
      </c>
      <c r="BS21" s="12">
        <f t="shared" si="41"/>
        <v>33500</v>
      </c>
      <c r="BT21" s="199">
        <f t="shared" si="42"/>
        <v>0.0300054889775449</v>
      </c>
      <c r="BU21" s="192"/>
      <c r="BV21" s="192"/>
      <c r="BW21" s="194"/>
      <c r="BX21" s="194" t="str">
        <f t="shared" si="43"/>
        <v>2026//6/02</v>
      </c>
      <c r="BY21" s="200">
        <v>2150210.7019</v>
      </c>
      <c r="BZ21" s="12">
        <f t="shared" si="44"/>
        <v>2185860.7019</v>
      </c>
      <c r="CA21" s="12">
        <f t="shared" si="45"/>
        <v>-35650</v>
      </c>
      <c r="CB21" s="199">
        <f t="shared" si="46"/>
        <v>-0.0163093649879026</v>
      </c>
      <c r="CC21" s="192"/>
      <c r="CD21" s="201"/>
      <c r="CE21" s="194"/>
      <c r="CF21" s="194" t="str">
        <f t="shared" si="47"/>
        <v>2026//6/02</v>
      </c>
      <c r="CG21" s="200">
        <v>1307603.9</v>
      </c>
      <c r="CH21" s="12">
        <f t="shared" si="48"/>
        <v>1315953.9</v>
      </c>
      <c r="CI21" s="12">
        <f t="shared" si="49"/>
        <v>-8350</v>
      </c>
      <c r="CJ21" s="199">
        <f t="shared" si="50"/>
        <v>-0.00634520707754276</v>
      </c>
      <c r="CK21" s="192"/>
      <c r="CL21" s="201"/>
      <c r="CM21" s="194"/>
      <c r="CN21" s="194" t="str">
        <f t="shared" si="51"/>
        <v>2026//6/02</v>
      </c>
      <c r="CO21" s="200">
        <v>572946.48</v>
      </c>
      <c r="CP21" s="12">
        <f t="shared" si="52"/>
        <v>575746.48</v>
      </c>
      <c r="CQ21" s="12">
        <f t="shared" si="53"/>
        <v>-2800</v>
      </c>
      <c r="CR21" s="199">
        <f t="shared" si="54"/>
        <v>-0.00486325161727433</v>
      </c>
      <c r="CS21" s="201"/>
      <c r="CT21" s="201"/>
      <c r="CU21" s="194"/>
      <c r="CV21" s="194" t="str">
        <f t="shared" si="55"/>
        <v>2026//6/02</v>
      </c>
      <c r="CW21" s="200">
        <v>577890.4</v>
      </c>
      <c r="CX21" s="12">
        <f t="shared" si="56"/>
        <v>579140.4</v>
      </c>
      <c r="CY21" s="12">
        <f t="shared" si="57"/>
        <v>-1250</v>
      </c>
      <c r="CZ21" s="199">
        <f t="shared" si="58"/>
        <v>-0.00215837126886675</v>
      </c>
      <c r="DA21" s="192"/>
      <c r="DB21" s="192"/>
      <c r="DC21" s="202"/>
      <c r="DD21" s="194" t="str">
        <f t="shared" si="59"/>
        <v>2026//6/02</v>
      </c>
      <c r="DE21" s="200">
        <v>1796317.9986</v>
      </c>
      <c r="DF21" s="12">
        <f t="shared" si="60"/>
        <v>1897117.9986</v>
      </c>
      <c r="DG21" s="12">
        <f t="shared" si="61"/>
        <v>-100800</v>
      </c>
      <c r="DH21" s="199">
        <f t="shared" si="62"/>
        <v>-0.0531332263329885</v>
      </c>
      <c r="DI21" s="192"/>
      <c r="DJ21" s="192"/>
      <c r="DK21" s="194"/>
      <c r="DL21" s="194" t="str">
        <f t="shared" si="63"/>
        <v>2026//6/02</v>
      </c>
      <c r="DM21" s="200">
        <v>853300.36</v>
      </c>
      <c r="DN21" s="12">
        <f t="shared" si="64"/>
        <v>877100.36</v>
      </c>
      <c r="DO21" s="12">
        <f t="shared" si="65"/>
        <v>-23800</v>
      </c>
      <c r="DP21" s="199">
        <f t="shared" si="66"/>
        <v>-0.0271348651595583</v>
      </c>
      <c r="DQ21" s="192"/>
      <c r="DR21" s="192"/>
      <c r="DS21" s="194"/>
      <c r="DT21" s="194" t="str">
        <f t="shared" si="67"/>
        <v>2026//6/02</v>
      </c>
      <c r="DU21" s="200">
        <v>1319489.48</v>
      </c>
      <c r="DV21" s="12">
        <f t="shared" si="68"/>
        <v>1335089.48</v>
      </c>
      <c r="DW21" s="12">
        <f t="shared" si="69"/>
        <v>-15600</v>
      </c>
      <c r="DX21" s="199">
        <f t="shared" si="70"/>
        <v>-0.0116846100832133</v>
      </c>
      <c r="DY21" s="192"/>
      <c r="DZ21" s="192"/>
      <c r="EA21" s="194"/>
      <c r="EB21" s="194" t="str">
        <f t="shared" si="71"/>
        <v>2026//6/02</v>
      </c>
      <c r="EC21" s="200">
        <v>3439766.82</v>
      </c>
      <c r="ED21" s="12">
        <f t="shared" si="72"/>
        <v>3452666.82</v>
      </c>
      <c r="EE21" s="12">
        <f t="shared" si="73"/>
        <v>-12900</v>
      </c>
      <c r="EF21" s="199">
        <f t="shared" si="74"/>
        <v>-0.00373624235193363</v>
      </c>
      <c r="EG21" s="192"/>
      <c r="EH21" s="192"/>
      <c r="EI21" s="194"/>
      <c r="EJ21" s="194" t="str">
        <f t="shared" si="75"/>
        <v>2026//6/02</v>
      </c>
      <c r="EK21" s="200">
        <v>1183922.9669</v>
      </c>
      <c r="EL21" s="12">
        <f t="shared" si="76"/>
        <v>1200722.9669</v>
      </c>
      <c r="EM21" s="12">
        <f t="shared" si="77"/>
        <v>-16800</v>
      </c>
      <c r="EN21" s="199">
        <f t="shared" si="78"/>
        <v>-0.0139915704647292</v>
      </c>
      <c r="EO21" s="192"/>
      <c r="EP21" s="192"/>
      <c r="EQ21" s="194"/>
      <c r="ER21" s="194" t="str">
        <f t="shared" si="79"/>
        <v>2026//6/02</v>
      </c>
      <c r="ES21" s="203">
        <v>391847.02</v>
      </c>
      <c r="ET21" s="12">
        <f t="shared" si="80"/>
        <v>399647.02</v>
      </c>
      <c r="EU21" s="12">
        <f t="shared" si="81"/>
        <v>-7800</v>
      </c>
      <c r="EV21" s="199">
        <f t="shared" si="82"/>
        <v>-0.0195172229734129</v>
      </c>
      <c r="EW21" s="192"/>
      <c r="EX21" s="192"/>
      <c r="EY21" s="194"/>
      <c r="EZ21" s="194" t="str">
        <f t="shared" si="83"/>
        <v>2026//6/02</v>
      </c>
      <c r="FA21" s="200">
        <v>592808</v>
      </c>
      <c r="FB21" s="12">
        <f t="shared" si="84"/>
        <v>585008</v>
      </c>
      <c r="FC21" s="12">
        <f t="shared" si="85"/>
        <v>7800</v>
      </c>
      <c r="FD21" s="199">
        <f t="shared" si="86"/>
        <v>0.0133331509996444</v>
      </c>
      <c r="FE21" s="192"/>
      <c r="FF21" s="192"/>
      <c r="FG21" s="192"/>
      <c r="FH21" s="194" t="str">
        <f t="shared" si="87"/>
        <v>2026//6/02</v>
      </c>
      <c r="FI21" s="198">
        <v>1053795.3365</v>
      </c>
      <c r="FJ21" s="12">
        <f t="shared" si="88"/>
        <v>1069795.3365</v>
      </c>
      <c r="FK21" s="12">
        <f t="shared" si="89"/>
        <v>-16000</v>
      </c>
      <c r="FL21" s="199">
        <f t="shared" si="90"/>
        <v>-0.0149561317516549</v>
      </c>
      <c r="FM21" s="201"/>
      <c r="FN21" s="201"/>
      <c r="FO21" s="194"/>
      <c r="FP21" s="194" t="str">
        <f t="shared" si="91"/>
        <v>2026//6/02</v>
      </c>
      <c r="FQ21" s="200">
        <v>1605568.73</v>
      </c>
      <c r="FR21" s="12">
        <f t="shared" si="92"/>
        <v>1601218.73</v>
      </c>
      <c r="FS21" s="12">
        <f t="shared" si="93"/>
        <v>4350</v>
      </c>
      <c r="FT21" s="199">
        <f t="shared" si="94"/>
        <v>0.0027166806873412</v>
      </c>
      <c r="FU21" s="192"/>
      <c r="FV21" s="192"/>
      <c r="FW21" s="194"/>
      <c r="FX21" s="194" t="str">
        <f t="shared" si="95"/>
        <v>2026//6/02</v>
      </c>
      <c r="FY21" s="200">
        <v>8452282.05</v>
      </c>
      <c r="FZ21" s="12">
        <f t="shared" si="96"/>
        <v>8316182.05</v>
      </c>
      <c r="GA21" s="12">
        <f t="shared" si="97"/>
        <v>136100.000000001</v>
      </c>
      <c r="GB21" s="199">
        <f t="shared" si="98"/>
        <v>0.0163656830961271</v>
      </c>
      <c r="GC21" s="192"/>
      <c r="GD21" s="192"/>
      <c r="GE21" s="194"/>
      <c r="GF21" s="194" t="str">
        <f t="shared" si="99"/>
        <v>2026//6/02</v>
      </c>
      <c r="GG21" s="200">
        <v>4998669.49</v>
      </c>
      <c r="GH21" s="12">
        <f t="shared" si="100"/>
        <v>4941069.49</v>
      </c>
      <c r="GI21" s="12">
        <f t="shared" si="101"/>
        <v>57600</v>
      </c>
      <c r="GJ21" s="199">
        <f t="shared" si="102"/>
        <v>0.0116573952494645</v>
      </c>
      <c r="GK21" s="192"/>
      <c r="GL21" s="192"/>
      <c r="GM21" s="194"/>
      <c r="GN21" s="194" t="str">
        <f t="shared" si="103"/>
        <v>2026//6/02</v>
      </c>
      <c r="GO21" s="200">
        <v>1916278.1217</v>
      </c>
      <c r="GP21" s="12">
        <f t="shared" si="104"/>
        <v>1897798.1217</v>
      </c>
      <c r="GQ21" s="12">
        <f t="shared" si="105"/>
        <v>18480</v>
      </c>
      <c r="GR21" s="199">
        <f t="shared" si="106"/>
        <v>0.00973760053226635</v>
      </c>
      <c r="GS21" s="192"/>
      <c r="GT21" s="192"/>
      <c r="GU21" s="194"/>
      <c r="GV21" s="194" t="str">
        <f t="shared" si="107"/>
        <v>2026//6/02</v>
      </c>
      <c r="GW21" s="200">
        <v>754549.4</v>
      </c>
      <c r="GX21" s="12">
        <f t="shared" si="108"/>
        <v>765549.4</v>
      </c>
      <c r="GY21" s="12">
        <f t="shared" si="109"/>
        <v>-11000</v>
      </c>
      <c r="GZ21" s="199">
        <f t="shared" si="110"/>
        <v>-0.0143687657517595</v>
      </c>
      <c r="HA21" s="192"/>
      <c r="HB21" s="192"/>
      <c r="HC21" s="194"/>
      <c r="HD21" s="194" t="str">
        <f t="shared" si="111"/>
        <v>2026//6/02</v>
      </c>
      <c r="HE21" s="200">
        <v>1103264.6746</v>
      </c>
      <c r="HF21" s="12">
        <f t="shared" si="112"/>
        <v>1133564.6746</v>
      </c>
      <c r="HG21" s="12">
        <f t="shared" si="113"/>
        <v>-30300</v>
      </c>
      <c r="HH21" s="199">
        <f t="shared" si="114"/>
        <v>-0.02672983789892</v>
      </c>
      <c r="HI21" s="201"/>
      <c r="HJ21" s="192"/>
      <c r="HK21" s="194"/>
      <c r="HL21" s="194" t="str">
        <f t="shared" si="115"/>
        <v>2026//6/02</v>
      </c>
      <c r="HM21" s="200">
        <v>122954.25</v>
      </c>
      <c r="HN21" s="12">
        <f t="shared" si="116"/>
        <v>123154.25</v>
      </c>
      <c r="HO21" s="12">
        <f t="shared" si="117"/>
        <v>-200</v>
      </c>
      <c r="HP21" s="199">
        <f t="shared" si="118"/>
        <v>-0.00162397968401415</v>
      </c>
      <c r="HQ21" s="192"/>
      <c r="HR21" s="192"/>
      <c r="HS21" s="194"/>
      <c r="HT21" s="194" t="str">
        <f t="shared" si="119"/>
        <v>2026//6/02</v>
      </c>
      <c r="HU21" s="200">
        <v>163868.8265</v>
      </c>
      <c r="HV21" s="12">
        <f t="shared" si="120"/>
        <v>163768.8265</v>
      </c>
      <c r="HW21" s="12">
        <f t="shared" si="121"/>
        <v>100</v>
      </c>
      <c r="HX21" s="199">
        <f t="shared" si="122"/>
        <v>0.000610616819679049</v>
      </c>
      <c r="HY21" s="192"/>
      <c r="HZ21" s="192"/>
      <c r="IA21" s="194"/>
      <c r="IB21" s="194" t="str">
        <f t="shared" si="123"/>
        <v>2026//6/02</v>
      </c>
      <c r="IC21" s="200">
        <v>341659.79</v>
      </c>
      <c r="ID21" s="12">
        <f t="shared" si="124"/>
        <v>346509.79</v>
      </c>
      <c r="IE21" s="12">
        <f t="shared" si="125"/>
        <v>-4850</v>
      </c>
      <c r="IF21" s="199">
        <f t="shared" si="126"/>
        <v>-0.0139967185342729</v>
      </c>
      <c r="IG21" s="201"/>
      <c r="IH21" s="192"/>
      <c r="II21" s="194"/>
      <c r="IJ21" s="194" t="str">
        <f t="shared" si="127"/>
        <v>2026//6/02</v>
      </c>
      <c r="IK21" s="200">
        <v>891276.29</v>
      </c>
      <c r="IL21" s="12">
        <f t="shared" si="128"/>
        <v>835036.29</v>
      </c>
      <c r="IM21" s="12">
        <f t="shared" si="129"/>
        <v>56240</v>
      </c>
      <c r="IN21" s="199">
        <f t="shared" si="130"/>
        <v>0.0673503662936613</v>
      </c>
      <c r="IO21" s="192"/>
      <c r="IP21" s="192"/>
      <c r="IQ21" s="194"/>
      <c r="IR21" s="194" t="str">
        <f t="shared" si="131"/>
        <v>2026//6/02</v>
      </c>
      <c r="IS21" s="200">
        <v>145889</v>
      </c>
      <c r="IT21" s="12">
        <f t="shared" si="132"/>
        <v>147189</v>
      </c>
      <c r="IU21" s="12">
        <f t="shared" si="133"/>
        <v>-1300</v>
      </c>
      <c r="IV21" s="199">
        <f t="shared" si="134"/>
        <v>-0.0088321817527125</v>
      </c>
      <c r="IW21" s="192"/>
      <c r="IX21" s="192"/>
      <c r="IY21" s="194"/>
      <c r="IZ21" s="194" t="str">
        <f t="shared" si="135"/>
        <v>2026//6/02</v>
      </c>
      <c r="JA21" s="200">
        <v>5252629.15</v>
      </c>
      <c r="JB21" s="12">
        <f t="shared" si="136"/>
        <v>5224329.15</v>
      </c>
      <c r="JC21" s="12">
        <f t="shared" si="137"/>
        <v>28300</v>
      </c>
      <c r="JD21" s="199">
        <f t="shared" si="138"/>
        <v>0.00541696343921975</v>
      </c>
      <c r="JE21" s="192"/>
      <c r="JF21" s="192"/>
      <c r="JG21" s="194"/>
      <c r="JH21" s="194" t="str">
        <f t="shared" si="139"/>
        <v>2026//6/02</v>
      </c>
      <c r="JI21" s="200">
        <v>1370187.99</v>
      </c>
      <c r="JJ21" s="12">
        <f t="shared" si="140"/>
        <v>1364487.99</v>
      </c>
      <c r="JK21" s="12">
        <f t="shared" si="141"/>
        <v>5700</v>
      </c>
      <c r="JL21" s="199">
        <f t="shared" si="142"/>
        <v>0.00417739111063924</v>
      </c>
      <c r="JM21" s="192"/>
      <c r="JN21" s="192"/>
      <c r="JO21" s="192"/>
      <c r="JP21" s="194" t="str">
        <f t="shared" si="143"/>
        <v>2026//6/02</v>
      </c>
      <c r="JQ21" s="200">
        <v>1023690.4148</v>
      </c>
      <c r="JR21" s="12">
        <f t="shared" si="144"/>
        <v>1030790.4148</v>
      </c>
      <c r="JS21" s="12">
        <f t="shared" si="145"/>
        <v>-7100</v>
      </c>
      <c r="JT21" s="199">
        <f t="shared" si="146"/>
        <v>-0.00688791814326056</v>
      </c>
      <c r="JU21" s="192"/>
      <c r="JV21" s="192"/>
      <c r="JW21" s="201"/>
      <c r="JX21" s="194" t="str">
        <f t="shared" si="147"/>
        <v>2026//6/02</v>
      </c>
      <c r="JY21" s="200">
        <v>1112848.8</v>
      </c>
      <c r="JZ21" s="12">
        <f t="shared" si="148"/>
        <v>1117648.8</v>
      </c>
      <c r="KA21" s="12">
        <f t="shared" si="149"/>
        <v>-4800</v>
      </c>
      <c r="KB21" s="199">
        <f t="shared" si="150"/>
        <v>-0.00429473015136776</v>
      </c>
      <c r="KC21" s="192"/>
      <c r="KD21" s="192"/>
      <c r="KE21" s="201"/>
      <c r="KF21" s="194" t="str">
        <f t="shared" si="151"/>
        <v>2026//6/02</v>
      </c>
      <c r="KG21" s="200">
        <v>668555.9219</v>
      </c>
      <c r="KH21" s="12">
        <f t="shared" si="152"/>
        <v>671555.9219</v>
      </c>
      <c r="KI21" s="12">
        <f t="shared" si="153"/>
        <v>-3000</v>
      </c>
      <c r="KJ21" s="199">
        <f t="shared" si="154"/>
        <v>-0.00446723780130216</v>
      </c>
      <c r="KK21" s="201"/>
      <c r="KL21" s="201"/>
      <c r="KM21" s="194"/>
      <c r="KN21" s="194" t="str">
        <f t="shared" si="155"/>
        <v>2026//6/02</v>
      </c>
      <c r="KO21" s="200">
        <v>7652375.95</v>
      </c>
      <c r="KP21" s="12">
        <f t="shared" si="156"/>
        <v>7802375.95</v>
      </c>
      <c r="KQ21" s="12">
        <f t="shared" si="157"/>
        <v>-150000</v>
      </c>
      <c r="KR21" s="199">
        <f t="shared" si="158"/>
        <v>-0.0192249131496926</v>
      </c>
      <c r="KS21" s="192"/>
      <c r="KT21" s="192"/>
      <c r="KU21" s="194"/>
      <c r="KV21" s="194" t="str">
        <f t="shared" si="159"/>
        <v>2026//6/02</v>
      </c>
      <c r="KW21" s="200">
        <v>1080972.9726</v>
      </c>
      <c r="KX21" s="12">
        <f t="shared" si="160"/>
        <v>1087372.9726</v>
      </c>
      <c r="KY21" s="12">
        <f t="shared" si="161"/>
        <v>-6400</v>
      </c>
      <c r="KZ21" s="199">
        <f t="shared" si="162"/>
        <v>-0.00588574496632656</v>
      </c>
      <c r="LA21" s="201"/>
      <c r="LB21" s="192"/>
      <c r="LC21" s="194"/>
      <c r="LD21" s="194" t="str">
        <f t="shared" si="163"/>
        <v>2026//6/02</v>
      </c>
      <c r="LE21" s="200">
        <v>416307.7</v>
      </c>
      <c r="LF21" s="12">
        <f t="shared" si="164"/>
        <v>417907.7</v>
      </c>
      <c r="LG21" s="12">
        <f t="shared" si="165"/>
        <v>-1600</v>
      </c>
      <c r="LH21" s="199">
        <f t="shared" si="166"/>
        <v>-0.00382859660159408</v>
      </c>
      <c r="LI21" s="192"/>
      <c r="LJ21" s="192"/>
      <c r="LK21" s="194"/>
      <c r="LL21" s="194" t="str">
        <f t="shared" si="167"/>
        <v>2026//6/02</v>
      </c>
      <c r="LM21" s="198">
        <v>3401755.02</v>
      </c>
      <c r="LN21" s="12">
        <f t="shared" si="168"/>
        <v>3359095.02</v>
      </c>
      <c r="LO21" s="12">
        <f t="shared" si="169"/>
        <v>42660</v>
      </c>
      <c r="LP21" s="199">
        <f t="shared" si="170"/>
        <v>0.0126998491397245</v>
      </c>
      <c r="LQ21" s="192"/>
      <c r="LR21" s="192"/>
      <c r="LS21" s="194"/>
      <c r="LT21" s="194" t="str">
        <f t="shared" si="171"/>
        <v>2026//6/02</v>
      </c>
      <c r="LU21" s="200">
        <v>2382462.904</v>
      </c>
      <c r="LV21" s="12">
        <f t="shared" si="172"/>
        <v>2366862.904</v>
      </c>
      <c r="LW21" s="12">
        <f t="shared" si="173"/>
        <v>15600</v>
      </c>
      <c r="LX21" s="199">
        <f t="shared" si="174"/>
        <v>0.00659100278838964</v>
      </c>
      <c r="LY21" s="192"/>
      <c r="LZ21" s="192"/>
      <c r="MA21" s="194"/>
      <c r="MB21" s="194" t="str">
        <f t="shared" si="175"/>
        <v>2026//6/02</v>
      </c>
      <c r="MC21" s="200">
        <v>1006567.69</v>
      </c>
      <c r="MD21" s="12">
        <f t="shared" si="176"/>
        <v>990517.69</v>
      </c>
      <c r="ME21" s="12">
        <f t="shared" si="177"/>
        <v>16050</v>
      </c>
      <c r="MF21" s="199">
        <f t="shared" si="178"/>
        <v>0.0162036480135958</v>
      </c>
      <c r="MG21" s="192"/>
      <c r="MH21" s="192"/>
      <c r="MK21" s="194" t="str">
        <f t="shared" si="179"/>
        <v>2026//6/02</v>
      </c>
      <c r="ML21" s="203">
        <v>172785.5354</v>
      </c>
      <c r="MM21" s="12">
        <f t="shared" si="180"/>
        <v>171345.5354</v>
      </c>
      <c r="MN21" s="12">
        <f t="shared" si="181"/>
        <v>1440</v>
      </c>
      <c r="MO21" s="199">
        <f t="shared" si="182"/>
        <v>0.00840407073717078</v>
      </c>
      <c r="MP21" s="192"/>
      <c r="MQ21" s="201"/>
      <c r="MR21" s="201"/>
      <c r="MT21" s="194" t="str">
        <f t="shared" si="183"/>
        <v>2026//6/02</v>
      </c>
      <c r="MU21" s="203">
        <v>157714.8</v>
      </c>
      <c r="MV21" s="204">
        <f t="shared" si="184"/>
        <v>157614.8</v>
      </c>
      <c r="MW21" s="8">
        <f t="shared" si="185"/>
        <v>100</v>
      </c>
      <c r="MX21" s="192">
        <f t="shared" si="186"/>
        <v>0.000634458185398833</v>
      </c>
      <c r="MY21" s="192"/>
      <c r="MZ21" s="192"/>
      <c r="NA21" s="192"/>
      <c r="NC21" s="194" t="str">
        <f t="shared" si="187"/>
        <v>2026//6/02</v>
      </c>
      <c r="ND21" s="203">
        <v>40291.48</v>
      </c>
      <c r="NE21" s="204">
        <f t="shared" si="188"/>
        <v>40491.48</v>
      </c>
      <c r="NF21" s="8">
        <f t="shared" si="189"/>
        <v>-200</v>
      </c>
      <c r="NG21" s="192">
        <f t="shared" si="190"/>
        <v>-0.00493931068955741</v>
      </c>
      <c r="NH21" s="192"/>
      <c r="NI21" s="192"/>
      <c r="NJ21" s="192"/>
      <c r="NK21" s="192"/>
      <c r="NM21" s="194" t="str">
        <f t="shared" si="191"/>
        <v>2026//6/02</v>
      </c>
      <c r="NN21" s="203">
        <v>2773311.08</v>
      </c>
      <c r="NO21" s="8">
        <f t="shared" si="192"/>
        <v>2782711.08</v>
      </c>
      <c r="NP21" s="8">
        <f t="shared" si="193"/>
        <v>-9400</v>
      </c>
      <c r="NQ21" s="192">
        <f t="shared" si="194"/>
        <v>-0.00337800070857518</v>
      </c>
      <c r="NR21" s="192"/>
      <c r="NT21" s="194"/>
      <c r="NU21" s="194" t="str">
        <f t="shared" si="195"/>
        <v>2026//6/02</v>
      </c>
      <c r="NV21" s="203">
        <v>268876.5</v>
      </c>
      <c r="NW21" s="205">
        <f t="shared" si="196"/>
        <v>268576.5</v>
      </c>
      <c r="NX21" s="8">
        <f t="shared" si="197"/>
        <v>300</v>
      </c>
      <c r="NY21" s="192">
        <f t="shared" si="198"/>
        <v>0.00111700018430503</v>
      </c>
      <c r="NZ21" s="201"/>
      <c r="OA21" s="200"/>
      <c r="OB21" s="194"/>
      <c r="OC21" s="194" t="str">
        <f t="shared" si="199"/>
        <v>2026//6/02</v>
      </c>
      <c r="OD21" s="200">
        <v>16804.97</v>
      </c>
      <c r="OE21" s="12">
        <f t="shared" si="200"/>
        <v>16623.97</v>
      </c>
      <c r="OF21" s="12">
        <f t="shared" si="201"/>
        <v>181</v>
      </c>
      <c r="OG21" s="199">
        <f t="shared" si="202"/>
        <v>0.0108878926032711</v>
      </c>
      <c r="OH21" s="192"/>
      <c r="OI21" s="192"/>
      <c r="OJ21" s="194"/>
      <c r="OK21" s="194" t="str">
        <f t="shared" si="203"/>
        <v>2026//6/02</v>
      </c>
      <c r="OL21" s="200">
        <v>15238.65</v>
      </c>
      <c r="OM21" s="12">
        <f t="shared" si="204"/>
        <v>15125.65</v>
      </c>
      <c r="ON21" s="12">
        <f t="shared" si="205"/>
        <v>113</v>
      </c>
      <c r="OO21" s="199">
        <f t="shared" si="206"/>
        <v>0.00747075332299769</v>
      </c>
      <c r="OP21" s="192"/>
      <c r="OQ21" s="192"/>
      <c r="OT21" s="26" t="str">
        <f t="shared" si="207"/>
        <v>2026//6/02</v>
      </c>
      <c r="OV21" s="8">
        <f t="shared" si="208"/>
        <v>0</v>
      </c>
      <c r="OW21" s="191">
        <f t="shared" si="209"/>
        <v>0</v>
      </c>
      <c r="OX21" s="192" t="e">
        <f t="shared" si="210"/>
        <v>#DIV/0!</v>
      </c>
    </row>
    <row r="22" s="8" customFormat="1" ht="17" customHeight="1" spans="1:415">
      <c r="A22" s="15"/>
      <c r="B22" s="15"/>
      <c r="C22" s="15" t="s">
        <v>448</v>
      </c>
      <c r="D22" s="138">
        <v>2819928.77</v>
      </c>
      <c r="E22" s="19">
        <f t="shared" si="8"/>
        <v>2795628.77</v>
      </c>
      <c r="F22" s="19">
        <f t="shared" si="9"/>
        <v>24300</v>
      </c>
      <c r="G22" s="172">
        <f t="shared" si="10"/>
        <v>0.00869214119584268</v>
      </c>
      <c r="H22" s="18"/>
      <c r="I22" s="122"/>
      <c r="J22" s="122"/>
      <c r="K22" s="125" t="str">
        <f t="shared" si="11"/>
        <v>2026//6/01</v>
      </c>
      <c r="L22" s="125">
        <v>2212264.4</v>
      </c>
      <c r="M22" s="125">
        <f t="shared" si="12"/>
        <v>2210914.4</v>
      </c>
      <c r="N22" s="125">
        <f t="shared" si="13"/>
        <v>1350</v>
      </c>
      <c r="O22" s="122">
        <f t="shared" si="14"/>
        <v>0.000610607086371141</v>
      </c>
      <c r="P22" s="18"/>
      <c r="Q22" s="122"/>
      <c r="R22" s="125"/>
      <c r="S22" s="125" t="str">
        <f t="shared" si="15"/>
        <v>2026//6/01</v>
      </c>
      <c r="T22" s="125">
        <v>845166.68</v>
      </c>
      <c r="U22" s="125">
        <f t="shared" si="16"/>
        <v>781086.68</v>
      </c>
      <c r="V22" s="125">
        <f t="shared" si="17"/>
        <v>64080</v>
      </c>
      <c r="W22" s="122">
        <f t="shared" si="18"/>
        <v>0.0820395503351817</v>
      </c>
      <c r="X22" s="18"/>
      <c r="Y22" s="122"/>
      <c r="Z22" s="125"/>
      <c r="AA22" s="125" t="str">
        <f t="shared" si="19"/>
        <v>2026//6/01</v>
      </c>
      <c r="AB22" s="125">
        <v>458576.86</v>
      </c>
      <c r="AC22" s="125">
        <f t="shared" si="20"/>
        <v>433496.86</v>
      </c>
      <c r="AD22" s="125">
        <f t="shared" si="21"/>
        <v>25080</v>
      </c>
      <c r="AE22" s="122">
        <f t="shared" si="22"/>
        <v>0.0578550903459831</v>
      </c>
      <c r="AF22" s="18"/>
      <c r="AG22" s="122"/>
      <c r="AH22" s="125"/>
      <c r="AI22" s="125" t="str">
        <f t="shared" si="23"/>
        <v>2026//6/01</v>
      </c>
      <c r="AJ22" s="125">
        <v>443521.76</v>
      </c>
      <c r="AK22" s="125">
        <f t="shared" si="24"/>
        <v>362121.76</v>
      </c>
      <c r="AL22" s="125">
        <f t="shared" si="25"/>
        <v>81400</v>
      </c>
      <c r="AM22" s="122">
        <f t="shared" si="26"/>
        <v>0.224786270783617</v>
      </c>
      <c r="AN22" s="18"/>
      <c r="AO22" s="18"/>
      <c r="AP22" s="125"/>
      <c r="AQ22" s="125" t="str">
        <f t="shared" si="27"/>
        <v>2026//6/01</v>
      </c>
      <c r="AR22" s="145">
        <v>1060445.4936</v>
      </c>
      <c r="AS22" s="125">
        <f t="shared" si="28"/>
        <v>1055945.4936</v>
      </c>
      <c r="AT22" s="125">
        <f t="shared" si="29"/>
        <v>4500</v>
      </c>
      <c r="AU22" s="122">
        <f t="shared" si="30"/>
        <v>0.00426158360187541</v>
      </c>
      <c r="AV22" s="18"/>
      <c r="AW22" s="18"/>
      <c r="AX22" s="17"/>
      <c r="AY22" s="138"/>
      <c r="AZ22" s="125" t="str">
        <f t="shared" si="31"/>
        <v>2026//6/01</v>
      </c>
      <c r="BA22" s="125">
        <v>1238151.6676</v>
      </c>
      <c r="BB22" s="138">
        <f t="shared" si="32"/>
        <v>1235631.6676</v>
      </c>
      <c r="BC22" s="125">
        <f t="shared" si="33"/>
        <v>2520</v>
      </c>
      <c r="BD22" s="122">
        <f t="shared" si="34"/>
        <v>0.00203944271264483</v>
      </c>
      <c r="BE22" s="18"/>
      <c r="BF22" s="18"/>
      <c r="BG22" s="74"/>
      <c r="BH22" s="194" t="str">
        <f t="shared" si="35"/>
        <v>2026//6/01</v>
      </c>
      <c r="BI22" s="194">
        <v>1430726.5525</v>
      </c>
      <c r="BJ22" s="195">
        <f t="shared" si="36"/>
        <v>1432826.5525</v>
      </c>
      <c r="BK22" s="195">
        <f t="shared" si="37"/>
        <v>-2100</v>
      </c>
      <c r="BL22" s="196">
        <f t="shared" si="38"/>
        <v>-0.00146563448055587</v>
      </c>
      <c r="BM22" s="197"/>
      <c r="BN22" s="192"/>
      <c r="BO22" s="194"/>
      <c r="BP22" s="194" t="str">
        <f t="shared" si="39"/>
        <v>2026//6/01</v>
      </c>
      <c r="BQ22" s="198">
        <v>1116462.3921</v>
      </c>
      <c r="BR22" s="12">
        <f t="shared" si="40"/>
        <v>1110562.3921</v>
      </c>
      <c r="BS22" s="12">
        <f t="shared" si="41"/>
        <v>5900</v>
      </c>
      <c r="BT22" s="199">
        <f t="shared" si="42"/>
        <v>0.00531262362382314</v>
      </c>
      <c r="BU22" s="192"/>
      <c r="BV22" s="192"/>
      <c r="BW22" s="194"/>
      <c r="BX22" s="194" t="str">
        <f t="shared" si="43"/>
        <v>2026//6/01</v>
      </c>
      <c r="BY22" s="200">
        <v>2185860.7019</v>
      </c>
      <c r="BZ22" s="12">
        <f t="shared" si="44"/>
        <v>2201160.7019</v>
      </c>
      <c r="CA22" s="12">
        <f t="shared" si="45"/>
        <v>-15300</v>
      </c>
      <c r="CB22" s="199">
        <f t="shared" si="46"/>
        <v>-0.00695087822837893</v>
      </c>
      <c r="CC22" s="192"/>
      <c r="CD22" s="201"/>
      <c r="CE22" s="194"/>
      <c r="CF22" s="194" t="str">
        <f t="shared" si="47"/>
        <v>2026//6/01</v>
      </c>
      <c r="CG22" s="200">
        <v>1315953.9</v>
      </c>
      <c r="CH22" s="12">
        <f t="shared" si="48"/>
        <v>1315853.9</v>
      </c>
      <c r="CI22" s="12">
        <f t="shared" si="49"/>
        <v>100</v>
      </c>
      <c r="CJ22" s="199">
        <f t="shared" si="50"/>
        <v>7.59962789181991e-5</v>
      </c>
      <c r="CK22" s="192"/>
      <c r="CL22" s="201"/>
      <c r="CM22" s="194"/>
      <c r="CN22" s="194" t="str">
        <f t="shared" si="51"/>
        <v>2026//6/01</v>
      </c>
      <c r="CO22" s="200">
        <v>575746.48</v>
      </c>
      <c r="CP22" s="12">
        <f t="shared" si="52"/>
        <v>576146.48</v>
      </c>
      <c r="CQ22" s="12">
        <f t="shared" si="53"/>
        <v>-400</v>
      </c>
      <c r="CR22" s="199">
        <f t="shared" si="54"/>
        <v>-0.000694267888263415</v>
      </c>
      <c r="CS22" s="201"/>
      <c r="CT22" s="201"/>
      <c r="CU22" s="194"/>
      <c r="CV22" s="194" t="str">
        <f t="shared" si="55"/>
        <v>2026//6/01</v>
      </c>
      <c r="CW22" s="200">
        <v>579140.4</v>
      </c>
      <c r="CX22" s="12">
        <f t="shared" si="56"/>
        <v>579490.4</v>
      </c>
      <c r="CY22" s="12">
        <f t="shared" si="57"/>
        <v>-350</v>
      </c>
      <c r="CZ22" s="199">
        <f t="shared" si="58"/>
        <v>-0.000603978944258611</v>
      </c>
      <c r="DA22" s="192"/>
      <c r="DB22" s="192"/>
      <c r="DC22" s="202"/>
      <c r="DD22" s="194" t="str">
        <f t="shared" si="59"/>
        <v>2026//6/01</v>
      </c>
      <c r="DE22" s="200">
        <v>1897117.9986</v>
      </c>
      <c r="DF22" s="12">
        <f t="shared" si="60"/>
        <v>1948117.9986</v>
      </c>
      <c r="DG22" s="12">
        <f t="shared" si="61"/>
        <v>-51000</v>
      </c>
      <c r="DH22" s="199">
        <f t="shared" si="62"/>
        <v>-0.0261791123723772</v>
      </c>
      <c r="DI22" s="192"/>
      <c r="DJ22" s="192"/>
      <c r="DK22" s="194"/>
      <c r="DL22" s="194" t="str">
        <f t="shared" si="63"/>
        <v>2026//6/01</v>
      </c>
      <c r="DM22" s="200">
        <v>877100.36</v>
      </c>
      <c r="DN22" s="12">
        <f t="shared" si="64"/>
        <v>882100.36</v>
      </c>
      <c r="DO22" s="12">
        <f t="shared" si="65"/>
        <v>-5000</v>
      </c>
      <c r="DP22" s="199">
        <f t="shared" si="66"/>
        <v>-0.00566828926359354</v>
      </c>
      <c r="DQ22" s="192"/>
      <c r="DR22" s="192"/>
      <c r="DS22" s="194"/>
      <c r="DT22" s="194" t="str">
        <f t="shared" si="67"/>
        <v>2026//6/01</v>
      </c>
      <c r="DU22" s="200">
        <v>1335089.48</v>
      </c>
      <c r="DV22" s="12">
        <f t="shared" si="68"/>
        <v>1310489.48</v>
      </c>
      <c r="DW22" s="12">
        <f t="shared" si="69"/>
        <v>24600</v>
      </c>
      <c r="DX22" s="199">
        <f t="shared" si="70"/>
        <v>0.0187716119628828</v>
      </c>
      <c r="DY22" s="192"/>
      <c r="DZ22" s="192"/>
      <c r="EA22" s="194"/>
      <c r="EB22" s="194" t="str">
        <f t="shared" si="71"/>
        <v>2026//6/01</v>
      </c>
      <c r="EC22" s="200">
        <v>3452666.82</v>
      </c>
      <c r="ED22" s="12">
        <f t="shared" si="72"/>
        <v>3387866.82</v>
      </c>
      <c r="EE22" s="12">
        <f t="shared" si="73"/>
        <v>64800</v>
      </c>
      <c r="EF22" s="199">
        <f t="shared" si="74"/>
        <v>0.0191270800898838</v>
      </c>
      <c r="EG22" s="192"/>
      <c r="EH22" s="192"/>
      <c r="EI22" s="194"/>
      <c r="EJ22" s="194" t="str">
        <f t="shared" si="75"/>
        <v>2026//6/01</v>
      </c>
      <c r="EK22" s="200">
        <v>1200722.9669</v>
      </c>
      <c r="EL22" s="12">
        <f t="shared" si="76"/>
        <v>1213522.9669</v>
      </c>
      <c r="EM22" s="12">
        <f t="shared" si="77"/>
        <v>-12800</v>
      </c>
      <c r="EN22" s="199">
        <f t="shared" si="78"/>
        <v>-0.0105478020186945</v>
      </c>
      <c r="EO22" s="192"/>
      <c r="EP22" s="192"/>
      <c r="EQ22" s="194"/>
      <c r="ER22" s="194" t="str">
        <f t="shared" si="79"/>
        <v>2026//6/01</v>
      </c>
      <c r="ES22" s="203">
        <v>399647.02</v>
      </c>
      <c r="ET22" s="12">
        <f t="shared" si="80"/>
        <v>400397.02</v>
      </c>
      <c r="EU22" s="12">
        <f t="shared" si="81"/>
        <v>-750</v>
      </c>
      <c r="EV22" s="199">
        <f t="shared" si="82"/>
        <v>-0.00187314081408498</v>
      </c>
      <c r="EW22" s="192"/>
      <c r="EX22" s="192"/>
      <c r="EY22" s="194"/>
      <c r="EZ22" s="194" t="str">
        <f t="shared" si="83"/>
        <v>2026//6/01</v>
      </c>
      <c r="FA22" s="200">
        <v>585008</v>
      </c>
      <c r="FB22" s="12">
        <f t="shared" si="84"/>
        <v>590908</v>
      </c>
      <c r="FC22" s="12">
        <f t="shared" si="85"/>
        <v>-5900</v>
      </c>
      <c r="FD22" s="199">
        <f t="shared" si="86"/>
        <v>-0.00998463381778551</v>
      </c>
      <c r="FE22" s="192"/>
      <c r="FF22" s="192"/>
      <c r="FG22" s="192"/>
      <c r="FH22" s="194" t="str">
        <f t="shared" si="87"/>
        <v>2026//6/01</v>
      </c>
      <c r="FI22" s="198">
        <v>1069795.3365</v>
      </c>
      <c r="FJ22" s="12">
        <f t="shared" si="88"/>
        <v>1102595.3365</v>
      </c>
      <c r="FK22" s="12">
        <f t="shared" si="89"/>
        <v>-32800</v>
      </c>
      <c r="FL22" s="199">
        <f t="shared" si="90"/>
        <v>-0.0297479944946239</v>
      </c>
      <c r="FM22" s="201"/>
      <c r="FN22" s="201"/>
      <c r="FO22" s="194"/>
      <c r="FP22" s="194" t="str">
        <f t="shared" si="91"/>
        <v>2026//6/01</v>
      </c>
      <c r="FQ22" s="200">
        <v>1601218.73</v>
      </c>
      <c r="FR22" s="12">
        <f t="shared" si="92"/>
        <v>1621618.73</v>
      </c>
      <c r="FS22" s="12">
        <f t="shared" si="93"/>
        <v>-20400</v>
      </c>
      <c r="FT22" s="199">
        <f t="shared" si="94"/>
        <v>-0.0125800224322767</v>
      </c>
      <c r="FU22" s="192"/>
      <c r="FV22" s="192"/>
      <c r="FW22" s="194"/>
      <c r="FX22" s="194" t="str">
        <f t="shared" si="95"/>
        <v>2026//6/01</v>
      </c>
      <c r="FY22" s="200">
        <v>8316182.05</v>
      </c>
      <c r="FZ22" s="12">
        <f t="shared" si="96"/>
        <v>8250682.05</v>
      </c>
      <c r="GA22" s="12">
        <f t="shared" si="97"/>
        <v>65500</v>
      </c>
      <c r="GB22" s="199">
        <f t="shared" si="98"/>
        <v>0.0079387376223036</v>
      </c>
      <c r="GC22" s="192"/>
      <c r="GD22" s="192"/>
      <c r="GE22" s="194"/>
      <c r="GF22" s="194" t="str">
        <f t="shared" si="99"/>
        <v>2026//6/01</v>
      </c>
      <c r="GG22" s="200">
        <v>4941069.49</v>
      </c>
      <c r="GH22" s="12">
        <f t="shared" si="100"/>
        <v>4863369.49</v>
      </c>
      <c r="GI22" s="12">
        <f t="shared" si="101"/>
        <v>77700</v>
      </c>
      <c r="GJ22" s="199">
        <f t="shared" si="102"/>
        <v>0.0159765775888025</v>
      </c>
      <c r="GK22" s="192"/>
      <c r="GL22" s="192"/>
      <c r="GM22" s="194"/>
      <c r="GN22" s="194" t="str">
        <f t="shared" si="103"/>
        <v>2026//6/01</v>
      </c>
      <c r="GO22" s="200">
        <v>1897798.1217</v>
      </c>
      <c r="GP22" s="12">
        <f t="shared" si="104"/>
        <v>1847038.1217</v>
      </c>
      <c r="GQ22" s="12">
        <f t="shared" si="105"/>
        <v>50760</v>
      </c>
      <c r="GR22" s="199">
        <f t="shared" si="106"/>
        <v>0.0274818366787584</v>
      </c>
      <c r="GS22" s="192"/>
      <c r="GT22" s="192"/>
      <c r="GU22" s="194"/>
      <c r="GV22" s="194" t="str">
        <f t="shared" si="107"/>
        <v>2026//6/01</v>
      </c>
      <c r="GW22" s="200">
        <v>765549.4</v>
      </c>
      <c r="GX22" s="12">
        <f t="shared" si="108"/>
        <v>783349.4</v>
      </c>
      <c r="GY22" s="12">
        <f t="shared" si="109"/>
        <v>-17800</v>
      </c>
      <c r="GZ22" s="199">
        <f t="shared" si="110"/>
        <v>-0.0227229381933528</v>
      </c>
      <c r="HA22" s="192"/>
      <c r="HB22" s="192"/>
      <c r="HC22" s="194"/>
      <c r="HD22" s="194" t="str">
        <f t="shared" si="111"/>
        <v>2026//6/01</v>
      </c>
      <c r="HE22" s="200">
        <v>1133564.6746</v>
      </c>
      <c r="HF22" s="12">
        <f t="shared" si="112"/>
        <v>1146864.6746</v>
      </c>
      <c r="HG22" s="12">
        <f t="shared" si="113"/>
        <v>-13300</v>
      </c>
      <c r="HH22" s="199">
        <f t="shared" si="114"/>
        <v>-0.0115968346523872</v>
      </c>
      <c r="HI22" s="201"/>
      <c r="HJ22" s="192"/>
      <c r="HK22" s="194"/>
      <c r="HL22" s="194" t="str">
        <f t="shared" si="115"/>
        <v>2026//6/01</v>
      </c>
      <c r="HM22" s="200">
        <v>123154.25</v>
      </c>
      <c r="HN22" s="12">
        <f t="shared" si="116"/>
        <v>124354.25</v>
      </c>
      <c r="HO22" s="12">
        <f t="shared" si="117"/>
        <v>-1200</v>
      </c>
      <c r="HP22" s="199">
        <f t="shared" si="118"/>
        <v>-0.00964985113094245</v>
      </c>
      <c r="HQ22" s="192"/>
      <c r="HR22" s="192"/>
      <c r="HS22" s="194"/>
      <c r="HT22" s="194" t="str">
        <f t="shared" si="119"/>
        <v>2026//6/01</v>
      </c>
      <c r="HU22" s="200">
        <v>163768.8265</v>
      </c>
      <c r="HV22" s="12">
        <f t="shared" si="120"/>
        <v>167168.8265</v>
      </c>
      <c r="HW22" s="12">
        <f t="shared" si="121"/>
        <v>-3400</v>
      </c>
      <c r="HX22" s="199">
        <f t="shared" si="122"/>
        <v>-0.0203387202697149</v>
      </c>
      <c r="HY22" s="192"/>
      <c r="HZ22" s="192"/>
      <c r="IA22" s="194"/>
      <c r="IB22" s="194" t="str">
        <f t="shared" si="123"/>
        <v>2026//6/01</v>
      </c>
      <c r="IC22" s="200">
        <v>346509.79</v>
      </c>
      <c r="ID22" s="12">
        <f t="shared" si="124"/>
        <v>345459.79</v>
      </c>
      <c r="IE22" s="12">
        <f t="shared" si="125"/>
        <v>1050</v>
      </c>
      <c r="IF22" s="199">
        <f t="shared" si="126"/>
        <v>0.00303942754090136</v>
      </c>
      <c r="IG22" s="201"/>
      <c r="IH22" s="192"/>
      <c r="II22" s="194"/>
      <c r="IJ22" s="194" t="str">
        <f t="shared" si="127"/>
        <v>2026//6/01</v>
      </c>
      <c r="IK22" s="200">
        <v>835036.29</v>
      </c>
      <c r="IL22" s="12">
        <f t="shared" si="128"/>
        <v>764796.29</v>
      </c>
      <c r="IM22" s="12">
        <f t="shared" si="129"/>
        <v>70240</v>
      </c>
      <c r="IN22" s="199">
        <f t="shared" si="130"/>
        <v>0.0918414497015931</v>
      </c>
      <c r="IO22" s="192"/>
      <c r="IP22" s="192"/>
      <c r="IQ22" s="194"/>
      <c r="IR22" s="194" t="str">
        <f t="shared" si="131"/>
        <v>2026//6/01</v>
      </c>
      <c r="IS22" s="200">
        <v>147189</v>
      </c>
      <c r="IT22" s="12">
        <f t="shared" si="132"/>
        <v>147989</v>
      </c>
      <c r="IU22" s="12">
        <f t="shared" si="133"/>
        <v>-800</v>
      </c>
      <c r="IV22" s="199">
        <f t="shared" si="134"/>
        <v>-0.00540580718837211</v>
      </c>
      <c r="IW22" s="192"/>
      <c r="IX22" s="192"/>
      <c r="IY22" s="194"/>
      <c r="IZ22" s="194" t="str">
        <f t="shared" si="135"/>
        <v>2026//6/01</v>
      </c>
      <c r="JA22" s="200">
        <v>5224329.15</v>
      </c>
      <c r="JB22" s="12">
        <f t="shared" si="136"/>
        <v>5208629.15</v>
      </c>
      <c r="JC22" s="12">
        <f t="shared" si="137"/>
        <v>15700</v>
      </c>
      <c r="JD22" s="199">
        <f t="shared" si="138"/>
        <v>0.00301422880144961</v>
      </c>
      <c r="JE22" s="192"/>
      <c r="JF22" s="192"/>
      <c r="JG22" s="194"/>
      <c r="JH22" s="194" t="str">
        <f t="shared" si="139"/>
        <v>2026//6/01</v>
      </c>
      <c r="JI22" s="200">
        <v>1364487.99</v>
      </c>
      <c r="JJ22" s="12">
        <f t="shared" si="140"/>
        <v>1337067.99</v>
      </c>
      <c r="JK22" s="12">
        <f t="shared" si="141"/>
        <v>27420</v>
      </c>
      <c r="JL22" s="199">
        <f t="shared" si="142"/>
        <v>0.0205075584824972</v>
      </c>
      <c r="JM22" s="192"/>
      <c r="JN22" s="192"/>
      <c r="JO22" s="192"/>
      <c r="JP22" s="194" t="str">
        <f t="shared" si="143"/>
        <v>2026//6/01</v>
      </c>
      <c r="JQ22" s="200">
        <v>1030790.4148</v>
      </c>
      <c r="JR22" s="12">
        <f t="shared" si="144"/>
        <v>1047590.4148</v>
      </c>
      <c r="JS22" s="12">
        <f t="shared" si="145"/>
        <v>-16800</v>
      </c>
      <c r="JT22" s="199">
        <f t="shared" si="146"/>
        <v>-0.016036801943446</v>
      </c>
      <c r="JU22" s="192"/>
      <c r="JV22" s="192"/>
      <c r="JW22" s="201"/>
      <c r="JX22" s="194" t="str">
        <f t="shared" si="147"/>
        <v>2026//6/01</v>
      </c>
      <c r="JY22" s="200">
        <v>1117648.8</v>
      </c>
      <c r="JZ22" s="12">
        <f t="shared" si="148"/>
        <v>1123648.8</v>
      </c>
      <c r="KA22" s="12">
        <f t="shared" si="149"/>
        <v>-6000</v>
      </c>
      <c r="KB22" s="199">
        <f t="shared" si="150"/>
        <v>-0.00533974672513333</v>
      </c>
      <c r="KC22" s="192"/>
      <c r="KD22" s="192"/>
      <c r="KE22" s="201"/>
      <c r="KF22" s="194" t="str">
        <f t="shared" si="151"/>
        <v>2026//6/01</v>
      </c>
      <c r="KG22" s="200">
        <v>671555.9219</v>
      </c>
      <c r="KH22" s="12">
        <f t="shared" si="152"/>
        <v>681555.9219</v>
      </c>
      <c r="KI22" s="12">
        <f t="shared" si="153"/>
        <v>-10000</v>
      </c>
      <c r="KJ22" s="199">
        <f t="shared" si="154"/>
        <v>-0.0146723103397335</v>
      </c>
      <c r="KK22" s="201"/>
      <c r="KL22" s="201"/>
      <c r="KM22" s="194"/>
      <c r="KN22" s="194" t="str">
        <f t="shared" si="155"/>
        <v>2026//6/01</v>
      </c>
      <c r="KO22" s="200">
        <v>7802375.95</v>
      </c>
      <c r="KP22" s="12">
        <f t="shared" si="156"/>
        <v>7933075.95</v>
      </c>
      <c r="KQ22" s="12">
        <f t="shared" si="157"/>
        <v>-130700</v>
      </c>
      <c r="KR22" s="199">
        <f t="shared" si="158"/>
        <v>-0.0164753244294856</v>
      </c>
      <c r="KS22" s="192"/>
      <c r="KT22" s="192"/>
      <c r="KU22" s="194"/>
      <c r="KV22" s="194" t="str">
        <f t="shared" si="159"/>
        <v>2026//6/01</v>
      </c>
      <c r="KW22" s="200">
        <v>1087372.9726</v>
      </c>
      <c r="KX22" s="12">
        <f t="shared" si="160"/>
        <v>1087472.9726</v>
      </c>
      <c r="KY22" s="12">
        <f t="shared" si="161"/>
        <v>-100</v>
      </c>
      <c r="KZ22" s="199">
        <f t="shared" si="162"/>
        <v>-9.1956308358555e-5</v>
      </c>
      <c r="LA22" s="201"/>
      <c r="LB22" s="192"/>
      <c r="LC22" s="194"/>
      <c r="LD22" s="194" t="str">
        <f t="shared" si="163"/>
        <v>2026//6/01</v>
      </c>
      <c r="LE22" s="200">
        <v>417907.7</v>
      </c>
      <c r="LF22" s="12">
        <f t="shared" si="164"/>
        <v>418657.7</v>
      </c>
      <c r="LG22" s="12">
        <f t="shared" si="165"/>
        <v>-750</v>
      </c>
      <c r="LH22" s="199">
        <f t="shared" si="166"/>
        <v>-0.00179143964150188</v>
      </c>
      <c r="LI22" s="192"/>
      <c r="LJ22" s="192"/>
      <c r="LK22" s="194"/>
      <c r="LL22" s="194" t="str">
        <f t="shared" si="167"/>
        <v>2026//6/01</v>
      </c>
      <c r="LM22" s="198">
        <v>3359095.02</v>
      </c>
      <c r="LN22" s="12">
        <f t="shared" si="168"/>
        <v>3358195.02</v>
      </c>
      <c r="LO22" s="12">
        <f t="shared" si="169"/>
        <v>900</v>
      </c>
      <c r="LP22" s="199">
        <f t="shared" si="170"/>
        <v>0.000268001112097415</v>
      </c>
      <c r="LQ22" s="192"/>
      <c r="LR22" s="192"/>
      <c r="LS22" s="194"/>
      <c r="LT22" s="194" t="str">
        <f t="shared" si="171"/>
        <v>2026//6/01</v>
      </c>
      <c r="LU22" s="200">
        <v>2366862.904</v>
      </c>
      <c r="LV22" s="12">
        <f t="shared" si="172"/>
        <v>2363462.904</v>
      </c>
      <c r="LW22" s="12">
        <f t="shared" si="173"/>
        <v>3400</v>
      </c>
      <c r="LX22" s="199">
        <f t="shared" si="174"/>
        <v>0.00143856711025408</v>
      </c>
      <c r="LY22" s="192"/>
      <c r="LZ22" s="192"/>
      <c r="MA22" s="194"/>
      <c r="MB22" s="194" t="str">
        <f t="shared" si="175"/>
        <v>2026//6/01</v>
      </c>
      <c r="MC22" s="200">
        <v>990517.69</v>
      </c>
      <c r="MD22" s="12">
        <f t="shared" si="176"/>
        <v>939867.69</v>
      </c>
      <c r="ME22" s="12">
        <f t="shared" si="177"/>
        <v>50650</v>
      </c>
      <c r="MF22" s="199">
        <f t="shared" si="178"/>
        <v>0.0538905641069542</v>
      </c>
      <c r="MG22" s="192"/>
      <c r="MH22" s="192"/>
      <c r="MK22" s="194" t="str">
        <f t="shared" si="179"/>
        <v>2026//6/01</v>
      </c>
      <c r="ML22" s="203">
        <v>171345.5354</v>
      </c>
      <c r="MM22" s="12">
        <f t="shared" si="180"/>
        <v>168945.5354</v>
      </c>
      <c r="MN22" s="12">
        <f t="shared" si="181"/>
        <v>2400</v>
      </c>
      <c r="MO22" s="199">
        <f t="shared" si="182"/>
        <v>0.0142057616042809</v>
      </c>
      <c r="MP22" s="192"/>
      <c r="MQ22" s="201"/>
      <c r="MR22" s="201"/>
      <c r="MT22" s="194" t="str">
        <f t="shared" si="183"/>
        <v>2026//6/01</v>
      </c>
      <c r="MU22" s="203">
        <v>157614.8</v>
      </c>
      <c r="MV22" s="204">
        <f t="shared" si="184"/>
        <v>155214.8</v>
      </c>
      <c r="MW22" s="8">
        <f t="shared" si="185"/>
        <v>2400</v>
      </c>
      <c r="MX22" s="192">
        <f t="shared" si="186"/>
        <v>0.0154624430144548</v>
      </c>
      <c r="MY22" s="192"/>
      <c r="MZ22" s="192"/>
      <c r="NA22" s="192"/>
      <c r="NC22" s="194" t="str">
        <f t="shared" si="187"/>
        <v>2026//6/01</v>
      </c>
      <c r="ND22" s="203">
        <v>40491.48</v>
      </c>
      <c r="NE22" s="204">
        <f t="shared" si="188"/>
        <v>40691.48</v>
      </c>
      <c r="NF22" s="8">
        <f t="shared" si="189"/>
        <v>-200</v>
      </c>
      <c r="NG22" s="192">
        <f t="shared" si="190"/>
        <v>-0.00491503381051758</v>
      </c>
      <c r="NH22" s="192"/>
      <c r="NI22" s="192"/>
      <c r="NJ22" s="192"/>
      <c r="NK22" s="192"/>
      <c r="NM22" s="194" t="str">
        <f t="shared" si="191"/>
        <v>2026//6/01</v>
      </c>
      <c r="NN22" s="203">
        <v>2782711.08</v>
      </c>
      <c r="NO22" s="8">
        <f t="shared" si="192"/>
        <v>2774711.08</v>
      </c>
      <c r="NP22" s="8">
        <f t="shared" si="193"/>
        <v>8000</v>
      </c>
      <c r="NQ22" s="192">
        <f t="shared" si="194"/>
        <v>0.00288318306639695</v>
      </c>
      <c r="NR22" s="192"/>
      <c r="NT22" s="194"/>
      <c r="NU22" s="194" t="str">
        <f t="shared" si="195"/>
        <v>2026//6/01</v>
      </c>
      <c r="NV22" s="203">
        <v>268576.5</v>
      </c>
      <c r="NW22" s="205">
        <f t="shared" si="196"/>
        <v>266176.5</v>
      </c>
      <c r="NX22" s="8">
        <f t="shared" si="197"/>
        <v>2400</v>
      </c>
      <c r="NY22" s="192">
        <f t="shared" si="198"/>
        <v>0.00901657358932889</v>
      </c>
      <c r="NZ22" s="201"/>
      <c r="OA22" s="200"/>
      <c r="OB22" s="194"/>
      <c r="OC22" s="194" t="str">
        <f t="shared" si="199"/>
        <v>2026//6/01</v>
      </c>
      <c r="OD22" s="200">
        <v>16623.97</v>
      </c>
      <c r="OE22" s="12">
        <f t="shared" si="200"/>
        <v>16479.97</v>
      </c>
      <c r="OF22" s="12">
        <f t="shared" si="201"/>
        <v>144</v>
      </c>
      <c r="OG22" s="199">
        <f t="shared" si="202"/>
        <v>0.00873787998400482</v>
      </c>
      <c r="OH22" s="192"/>
      <c r="OI22" s="192"/>
      <c r="OJ22" s="194"/>
      <c r="OK22" s="194" t="str">
        <f t="shared" si="203"/>
        <v>2026//6/01</v>
      </c>
      <c r="OL22" s="200">
        <v>15125.65</v>
      </c>
      <c r="OM22" s="12">
        <f t="shared" si="204"/>
        <v>14830.65</v>
      </c>
      <c r="ON22" s="12">
        <f t="shared" si="205"/>
        <v>295</v>
      </c>
      <c r="OO22" s="199">
        <f t="shared" si="206"/>
        <v>0.0198912387521788</v>
      </c>
      <c r="OP22" s="192"/>
      <c r="OQ22" s="192"/>
      <c r="OT22" s="26" t="str">
        <f t="shared" si="207"/>
        <v>2026//6/01</v>
      </c>
      <c r="OV22" s="8">
        <f t="shared" si="208"/>
        <v>0</v>
      </c>
      <c r="OW22" s="191">
        <f t="shared" si="209"/>
        <v>0</v>
      </c>
      <c r="OX22" s="192" t="e">
        <f t="shared" si="210"/>
        <v>#DIV/0!</v>
      </c>
    </row>
    <row r="23" s="8" customFormat="1" ht="17" customHeight="1" spans="1:415">
      <c r="A23" s="15"/>
      <c r="B23" s="15"/>
      <c r="C23" s="15" t="s">
        <v>449</v>
      </c>
      <c r="D23" s="138">
        <v>2795628.77</v>
      </c>
      <c r="E23" s="19">
        <f t="shared" si="8"/>
        <v>2796888.77</v>
      </c>
      <c r="F23" s="19">
        <f t="shared" si="9"/>
        <v>-1260</v>
      </c>
      <c r="G23" s="172">
        <f t="shared" si="10"/>
        <v>-0.000450500575323201</v>
      </c>
      <c r="H23" s="18">
        <f>(D23-D28)/D28</f>
        <v>-0.061740063545749</v>
      </c>
      <c r="I23" s="122"/>
      <c r="J23" s="122"/>
      <c r="K23" s="125" t="str">
        <f t="shared" si="11"/>
        <v>2026//5/29</v>
      </c>
      <c r="L23" s="125">
        <v>2210914.4</v>
      </c>
      <c r="M23" s="125">
        <f t="shared" si="12"/>
        <v>2210014.4</v>
      </c>
      <c r="N23" s="125">
        <f t="shared" si="13"/>
        <v>900</v>
      </c>
      <c r="O23" s="122">
        <f t="shared" si="14"/>
        <v>0.000407237165513492</v>
      </c>
      <c r="P23" s="18">
        <f>(L23-L28)/L28</f>
        <v>-0.0777844479823595</v>
      </c>
      <c r="Q23" s="122"/>
      <c r="R23" s="125"/>
      <c r="S23" s="125" t="str">
        <f t="shared" si="15"/>
        <v>2026//5/29</v>
      </c>
      <c r="T23" s="125">
        <v>781086.68</v>
      </c>
      <c r="U23" s="125">
        <f t="shared" si="16"/>
        <v>796116.68</v>
      </c>
      <c r="V23" s="125">
        <f t="shared" si="17"/>
        <v>-15030</v>
      </c>
      <c r="W23" s="122">
        <f t="shared" si="18"/>
        <v>-0.0188791421880521</v>
      </c>
      <c r="X23" s="18">
        <f>(T23-T28)/T28</f>
        <v>-0.185610218041647</v>
      </c>
      <c r="Y23" s="122"/>
      <c r="Z23" s="125"/>
      <c r="AA23" s="125" t="str">
        <f t="shared" si="19"/>
        <v>2026//5/29</v>
      </c>
      <c r="AB23" s="125">
        <v>433496.86</v>
      </c>
      <c r="AC23" s="125">
        <f t="shared" si="20"/>
        <v>433216.86</v>
      </c>
      <c r="AD23" s="125">
        <f t="shared" si="21"/>
        <v>280</v>
      </c>
      <c r="AE23" s="122">
        <f t="shared" si="22"/>
        <v>0.000646327569060909</v>
      </c>
      <c r="AF23" s="18">
        <f>(AB23-AB28)/AB28</f>
        <v>-0.093514059709229</v>
      </c>
      <c r="AG23" s="122"/>
      <c r="AH23" s="125"/>
      <c r="AI23" s="125" t="str">
        <f t="shared" si="23"/>
        <v>2026//5/29</v>
      </c>
      <c r="AJ23" s="125">
        <v>362121.76</v>
      </c>
      <c r="AK23" s="125">
        <f t="shared" si="24"/>
        <v>294321.76</v>
      </c>
      <c r="AL23" s="125">
        <f t="shared" si="25"/>
        <v>67800</v>
      </c>
      <c r="AM23" s="122">
        <f t="shared" si="26"/>
        <v>0.230360133752938</v>
      </c>
      <c r="AN23" s="18">
        <f>(AJ23-AJ28)/AJ28</f>
        <v>0.0278154832105743</v>
      </c>
      <c r="AO23" s="18"/>
      <c r="AP23" s="125"/>
      <c r="AQ23" s="125" t="str">
        <f t="shared" si="27"/>
        <v>2026//5/29</v>
      </c>
      <c r="AR23" s="145">
        <v>1055945.4936</v>
      </c>
      <c r="AS23" s="125">
        <f t="shared" si="28"/>
        <v>1051545.4936</v>
      </c>
      <c r="AT23" s="125">
        <f t="shared" si="29"/>
        <v>4400</v>
      </c>
      <c r="AU23" s="122">
        <f t="shared" si="30"/>
        <v>0.00418431729942226</v>
      </c>
      <c r="AV23" s="18">
        <f>(AR23-AR28)/AR28</f>
        <v>-0.0748239691477063</v>
      </c>
      <c r="AW23" s="18"/>
      <c r="AX23" s="17"/>
      <c r="AY23" s="138"/>
      <c r="AZ23" s="125" t="str">
        <f t="shared" si="31"/>
        <v>2026//5/29</v>
      </c>
      <c r="BA23" s="125">
        <v>1235631.6676</v>
      </c>
      <c r="BB23" s="138">
        <f t="shared" si="32"/>
        <v>1238691.6676</v>
      </c>
      <c r="BC23" s="125">
        <f t="shared" si="33"/>
        <v>-3060</v>
      </c>
      <c r="BD23" s="122">
        <f t="shared" si="34"/>
        <v>-0.00247034841683309</v>
      </c>
      <c r="BE23" s="18">
        <f>(BA23-BA28)/BA28</f>
        <v>-0.111619847767415</v>
      </c>
      <c r="BF23" s="18"/>
      <c r="BG23" s="74"/>
      <c r="BH23" s="194" t="str">
        <f t="shared" si="35"/>
        <v>2026//5/29</v>
      </c>
      <c r="BI23" s="194">
        <v>1432826.5525</v>
      </c>
      <c r="BJ23" s="195">
        <f t="shared" si="36"/>
        <v>1441226.5525</v>
      </c>
      <c r="BK23" s="195">
        <f t="shared" si="37"/>
        <v>-8400</v>
      </c>
      <c r="BL23" s="196">
        <f t="shared" si="38"/>
        <v>-0.00582836888858943</v>
      </c>
      <c r="BM23" s="197">
        <f>(BI23-BI28)/BI28</f>
        <v>-0.0376135150907715</v>
      </c>
      <c r="BN23" s="192"/>
      <c r="BO23" s="194"/>
      <c r="BP23" s="194" t="str">
        <f t="shared" si="39"/>
        <v>2026//5/29</v>
      </c>
      <c r="BQ23" s="198">
        <v>1110562.3921</v>
      </c>
      <c r="BR23" s="12">
        <f t="shared" si="40"/>
        <v>1099362.3921</v>
      </c>
      <c r="BS23" s="12">
        <f t="shared" si="41"/>
        <v>11200</v>
      </c>
      <c r="BT23" s="199">
        <f t="shared" si="42"/>
        <v>0.0101877234299472</v>
      </c>
      <c r="BU23" s="192">
        <f>(BQ23-BQ28)/BQ28</f>
        <v>0.00189451623705656</v>
      </c>
      <c r="BV23" s="192"/>
      <c r="BW23" s="194"/>
      <c r="BX23" s="194" t="str">
        <f t="shared" si="43"/>
        <v>2026//5/29</v>
      </c>
      <c r="BY23" s="200">
        <v>2201160.7019</v>
      </c>
      <c r="BZ23" s="12">
        <f t="shared" si="44"/>
        <v>2284060.7019</v>
      </c>
      <c r="CA23" s="12">
        <f t="shared" si="45"/>
        <v>-82900</v>
      </c>
      <c r="CB23" s="199">
        <f t="shared" si="46"/>
        <v>-0.036295007366065</v>
      </c>
      <c r="CC23" s="192">
        <f>(BY23-BY28)/BY28</f>
        <v>-0.0815143449370465</v>
      </c>
      <c r="CD23" s="201"/>
      <c r="CE23" s="194"/>
      <c r="CF23" s="194" t="str">
        <f t="shared" si="47"/>
        <v>2026//5/29</v>
      </c>
      <c r="CG23" s="200">
        <v>1315853.9</v>
      </c>
      <c r="CH23" s="12">
        <f t="shared" si="48"/>
        <v>1323003.9</v>
      </c>
      <c r="CI23" s="12">
        <f t="shared" si="49"/>
        <v>-7150</v>
      </c>
      <c r="CJ23" s="199">
        <f t="shared" si="50"/>
        <v>-0.00540436804456888</v>
      </c>
      <c r="CK23" s="192">
        <f>(CG23-CG28)/CG28</f>
        <v>0.0328491930048252</v>
      </c>
      <c r="CL23" s="201"/>
      <c r="CM23" s="194"/>
      <c r="CN23" s="194" t="str">
        <f t="shared" si="51"/>
        <v>2026//5/29</v>
      </c>
      <c r="CO23" s="200">
        <v>576146.48</v>
      </c>
      <c r="CP23" s="12">
        <f t="shared" si="52"/>
        <v>572546.48</v>
      </c>
      <c r="CQ23" s="12">
        <f t="shared" si="53"/>
        <v>3600</v>
      </c>
      <c r="CR23" s="199">
        <f t="shared" si="54"/>
        <v>0.0062876991226983</v>
      </c>
      <c r="CS23" s="201">
        <f>(CO23-CO28)/CO28</f>
        <v>-0.0218997998256436</v>
      </c>
      <c r="CT23" s="201"/>
      <c r="CU23" s="194"/>
      <c r="CV23" s="194" t="str">
        <f t="shared" si="55"/>
        <v>2026//5/29</v>
      </c>
      <c r="CW23" s="200">
        <v>579490.4</v>
      </c>
      <c r="CX23" s="12">
        <f t="shared" si="56"/>
        <v>581690.4</v>
      </c>
      <c r="CY23" s="12">
        <f t="shared" si="57"/>
        <v>-2200</v>
      </c>
      <c r="CZ23" s="199">
        <f t="shared" si="58"/>
        <v>-0.00378208063946044</v>
      </c>
      <c r="DA23" s="192">
        <f>(CW23-CW28)/CW28</f>
        <v>-0.0081302148909935</v>
      </c>
      <c r="DB23" s="192"/>
      <c r="DC23" s="202"/>
      <c r="DD23" s="194" t="str">
        <f t="shared" si="59"/>
        <v>2026//5/29</v>
      </c>
      <c r="DE23" s="200">
        <v>1948117.9986</v>
      </c>
      <c r="DF23" s="12">
        <f t="shared" si="60"/>
        <v>1950517.9986</v>
      </c>
      <c r="DG23" s="12">
        <f t="shared" si="61"/>
        <v>-2400</v>
      </c>
      <c r="DH23" s="199">
        <f t="shared" si="62"/>
        <v>-0.00123044237567796</v>
      </c>
      <c r="DI23" s="192">
        <f>(DE23-DE28)/DE28</f>
        <v>-0.0670460194748881</v>
      </c>
      <c r="DJ23" s="192"/>
      <c r="DK23" s="194"/>
      <c r="DL23" s="194" t="str">
        <f t="shared" si="63"/>
        <v>2026//5/29</v>
      </c>
      <c r="DM23" s="200">
        <v>882100.36</v>
      </c>
      <c r="DN23" s="12">
        <f t="shared" si="64"/>
        <v>882100.36</v>
      </c>
      <c r="DO23" s="12">
        <f t="shared" si="65"/>
        <v>0</v>
      </c>
      <c r="DP23" s="199">
        <f t="shared" si="66"/>
        <v>0</v>
      </c>
      <c r="DQ23" s="192">
        <f>(DM23-DM28)/DM28</f>
        <v>0.034721392962227</v>
      </c>
      <c r="DR23" s="192"/>
      <c r="DS23" s="194"/>
      <c r="DT23" s="194" t="str">
        <f t="shared" si="67"/>
        <v>2026//5/29</v>
      </c>
      <c r="DU23" s="200">
        <v>1310489.48</v>
      </c>
      <c r="DV23" s="12">
        <f t="shared" si="68"/>
        <v>1282289.48</v>
      </c>
      <c r="DW23" s="12">
        <f t="shared" si="69"/>
        <v>28200</v>
      </c>
      <c r="DX23" s="199">
        <f t="shared" si="70"/>
        <v>0.0219919140255288</v>
      </c>
      <c r="DY23" s="192">
        <f>(DU23-DU28)/DU28</f>
        <v>0.0362963639393869</v>
      </c>
      <c r="DZ23" s="192"/>
      <c r="EA23" s="194"/>
      <c r="EB23" s="194" t="str">
        <f t="shared" si="71"/>
        <v>2026//5/29</v>
      </c>
      <c r="EC23" s="200">
        <v>3387866.82</v>
      </c>
      <c r="ED23" s="12">
        <f t="shared" si="72"/>
        <v>3303566.82</v>
      </c>
      <c r="EE23" s="12">
        <f t="shared" si="73"/>
        <v>84300</v>
      </c>
      <c r="EF23" s="199">
        <f t="shared" si="74"/>
        <v>0.025517873435961</v>
      </c>
      <c r="EG23" s="192">
        <f>(EC23-EC28)/EC28</f>
        <v>-0.0177439299363878</v>
      </c>
      <c r="EH23" s="192"/>
      <c r="EI23" s="194"/>
      <c r="EJ23" s="194" t="str">
        <f t="shared" si="75"/>
        <v>2026//5/29</v>
      </c>
      <c r="EK23" s="200">
        <v>1213522.9669</v>
      </c>
      <c r="EL23" s="12">
        <f t="shared" si="76"/>
        <v>1222922.9669</v>
      </c>
      <c r="EM23" s="12">
        <f t="shared" si="77"/>
        <v>-9400</v>
      </c>
      <c r="EN23" s="199">
        <f t="shared" si="78"/>
        <v>-0.00768650213825664</v>
      </c>
      <c r="EO23" s="192">
        <f>(EK23-EK28)/EK28</f>
        <v>-0.0150958958640283</v>
      </c>
      <c r="EP23" s="192"/>
      <c r="EQ23" s="194"/>
      <c r="ER23" s="194" t="str">
        <f t="shared" si="79"/>
        <v>2026//5/29</v>
      </c>
      <c r="ES23" s="203">
        <v>400397.02</v>
      </c>
      <c r="ET23" s="12">
        <f t="shared" si="80"/>
        <v>402197.02</v>
      </c>
      <c r="EU23" s="12">
        <f t="shared" si="81"/>
        <v>-1800</v>
      </c>
      <c r="EV23" s="199">
        <f t="shared" si="82"/>
        <v>-0.00447541853989868</v>
      </c>
      <c r="EW23" s="192">
        <f>(ES23-ES28)/ES28</f>
        <v>-0.0136717347992849</v>
      </c>
      <c r="EX23" s="192"/>
      <c r="EY23" s="194"/>
      <c r="EZ23" s="194" t="str">
        <f t="shared" si="83"/>
        <v>2026//5/29</v>
      </c>
      <c r="FA23" s="200">
        <v>590908</v>
      </c>
      <c r="FB23" s="12">
        <f t="shared" si="84"/>
        <v>590708</v>
      </c>
      <c r="FC23" s="12">
        <f t="shared" si="85"/>
        <v>200</v>
      </c>
      <c r="FD23" s="199">
        <f t="shared" si="86"/>
        <v>0.000338576758736973</v>
      </c>
      <c r="FE23" s="192">
        <f>(FA23-FA28)/FA28</f>
        <v>-0.0398109871824871</v>
      </c>
      <c r="FF23" s="192"/>
      <c r="FG23" s="192"/>
      <c r="FH23" s="194" t="str">
        <f t="shared" si="87"/>
        <v>2026//5/29</v>
      </c>
      <c r="FI23" s="198">
        <v>1102595.3365</v>
      </c>
      <c r="FJ23" s="12">
        <f t="shared" si="88"/>
        <v>1146395.3365</v>
      </c>
      <c r="FK23" s="12">
        <f t="shared" si="89"/>
        <v>-43800</v>
      </c>
      <c r="FL23" s="199">
        <f t="shared" si="90"/>
        <v>-0.0382067150881157</v>
      </c>
      <c r="FM23" s="201">
        <f>(FI23-FI28)/FI28</f>
        <v>-0.0953400431722115</v>
      </c>
      <c r="FN23" s="201"/>
      <c r="FO23" s="194"/>
      <c r="FP23" s="194" t="str">
        <f t="shared" si="91"/>
        <v>2026//5/29</v>
      </c>
      <c r="FQ23" s="200">
        <v>1621618.73</v>
      </c>
      <c r="FR23" s="12">
        <f t="shared" si="92"/>
        <v>1652818.73</v>
      </c>
      <c r="FS23" s="12">
        <f t="shared" si="93"/>
        <v>-31200</v>
      </c>
      <c r="FT23" s="199">
        <f t="shared" si="94"/>
        <v>-0.0188768431974388</v>
      </c>
      <c r="FU23" s="192">
        <f>(FQ23-FQ28)/FQ28</f>
        <v>-0.0495833262831431</v>
      </c>
      <c r="FV23" s="192"/>
      <c r="FW23" s="194"/>
      <c r="FX23" s="194" t="str">
        <f t="shared" si="95"/>
        <v>2026//5/29</v>
      </c>
      <c r="FY23" s="200">
        <v>8250682.05</v>
      </c>
      <c r="FZ23" s="12">
        <f t="shared" si="96"/>
        <v>8246182.05</v>
      </c>
      <c r="GA23" s="12">
        <f t="shared" si="97"/>
        <v>4500</v>
      </c>
      <c r="GB23" s="199">
        <f t="shared" si="98"/>
        <v>0.000545707088773283</v>
      </c>
      <c r="GC23" s="192">
        <f>(FY23-FY28)/FY28</f>
        <v>0.00455359986084978</v>
      </c>
      <c r="GD23" s="192"/>
      <c r="GE23" s="194"/>
      <c r="GF23" s="194" t="str">
        <f t="shared" si="99"/>
        <v>2026//5/29</v>
      </c>
      <c r="GG23" s="200">
        <v>4863369.49</v>
      </c>
      <c r="GH23" s="12">
        <f t="shared" si="100"/>
        <v>4902569.49</v>
      </c>
      <c r="GI23" s="12">
        <f t="shared" si="101"/>
        <v>-39200</v>
      </c>
      <c r="GJ23" s="199">
        <f t="shared" si="102"/>
        <v>-0.00799580711297577</v>
      </c>
      <c r="GK23" s="192">
        <f>(GG23-GG28)/GG28</f>
        <v>0.0145611741199563</v>
      </c>
      <c r="GL23" s="192"/>
      <c r="GM23" s="194"/>
      <c r="GN23" s="194" t="str">
        <f t="shared" si="103"/>
        <v>2026//5/29</v>
      </c>
      <c r="GO23" s="200">
        <v>1847038.1217</v>
      </c>
      <c r="GP23" s="12">
        <f t="shared" si="104"/>
        <v>1866958.1217</v>
      </c>
      <c r="GQ23" s="12">
        <f t="shared" si="105"/>
        <v>-19920</v>
      </c>
      <c r="GR23" s="199">
        <f t="shared" si="106"/>
        <v>-0.0106697626307019</v>
      </c>
      <c r="GS23" s="192">
        <f>(GO23-GO28)/GO28</f>
        <v>-0.0358910467763614</v>
      </c>
      <c r="GT23" s="192"/>
      <c r="GU23" s="194"/>
      <c r="GV23" s="194" t="str">
        <f t="shared" si="107"/>
        <v>2026//5/29</v>
      </c>
      <c r="GW23" s="200">
        <v>783349.4</v>
      </c>
      <c r="GX23" s="12">
        <f t="shared" si="108"/>
        <v>787149.4</v>
      </c>
      <c r="GY23" s="12">
        <f t="shared" si="109"/>
        <v>-3800</v>
      </c>
      <c r="GZ23" s="199">
        <f t="shared" si="110"/>
        <v>-0.00482754607956253</v>
      </c>
      <c r="HA23" s="192">
        <f>(GW23-GW28)/GW28</f>
        <v>-0.0404238675253513</v>
      </c>
      <c r="HB23" s="192"/>
      <c r="HC23" s="194"/>
      <c r="HD23" s="194" t="str">
        <f t="shared" si="111"/>
        <v>2026//5/29</v>
      </c>
      <c r="HE23" s="200">
        <v>1146864.6746</v>
      </c>
      <c r="HF23" s="12">
        <f t="shared" si="112"/>
        <v>1171264.6746</v>
      </c>
      <c r="HG23" s="12">
        <f t="shared" si="113"/>
        <v>-24400</v>
      </c>
      <c r="HH23" s="199">
        <f t="shared" si="114"/>
        <v>-0.0208321829635414</v>
      </c>
      <c r="HI23" s="201">
        <f>(HE23-HE28)/HE28</f>
        <v>-0.0596114347308761</v>
      </c>
      <c r="HJ23" s="192"/>
      <c r="HK23" s="194"/>
      <c r="HL23" s="194" t="str">
        <f t="shared" si="115"/>
        <v>2026//5/29</v>
      </c>
      <c r="HM23" s="200">
        <v>124354.25</v>
      </c>
      <c r="HN23" s="12">
        <f t="shared" si="116"/>
        <v>126254.25</v>
      </c>
      <c r="HO23" s="12">
        <f t="shared" si="117"/>
        <v>-1900</v>
      </c>
      <c r="HP23" s="199">
        <f t="shared" si="118"/>
        <v>-0.0150489983505506</v>
      </c>
      <c r="HQ23" s="192">
        <f>(HM23-HM28)/HM28</f>
        <v>-0.0307861976512859</v>
      </c>
      <c r="HR23" s="192"/>
      <c r="HS23" s="194"/>
      <c r="HT23" s="194" t="str">
        <f t="shared" si="119"/>
        <v>2026//5/29</v>
      </c>
      <c r="HU23" s="200">
        <v>167168.8265</v>
      </c>
      <c r="HV23" s="12">
        <f t="shared" si="120"/>
        <v>170068.8265</v>
      </c>
      <c r="HW23" s="12">
        <f t="shared" si="121"/>
        <v>-2900</v>
      </c>
      <c r="HX23" s="199">
        <f t="shared" si="122"/>
        <v>-0.017051919859046</v>
      </c>
      <c r="HY23" s="192">
        <f>(HU23-HU28)/HU28</f>
        <v>-0.107808755476194</v>
      </c>
      <c r="HZ23" s="192"/>
      <c r="IA23" s="194"/>
      <c r="IB23" s="194" t="str">
        <f t="shared" si="123"/>
        <v>2026//5/29</v>
      </c>
      <c r="IC23" s="200">
        <v>345459.79</v>
      </c>
      <c r="ID23" s="12">
        <f t="shared" si="124"/>
        <v>337234.79</v>
      </c>
      <c r="IE23" s="12">
        <f t="shared" si="125"/>
        <v>8225</v>
      </c>
      <c r="IF23" s="199">
        <f t="shared" si="126"/>
        <v>0.0243895358483032</v>
      </c>
      <c r="IG23" s="201">
        <f>(IC23-IC28)/IC28</f>
        <v>-0.028542521284355</v>
      </c>
      <c r="IH23" s="192"/>
      <c r="II23" s="194"/>
      <c r="IJ23" s="194" t="str">
        <f t="shared" si="127"/>
        <v>2026//5/29</v>
      </c>
      <c r="IK23" s="200">
        <v>764796.29</v>
      </c>
      <c r="IL23" s="12">
        <f t="shared" si="128"/>
        <v>728476.29</v>
      </c>
      <c r="IM23" s="12">
        <f t="shared" si="129"/>
        <v>36320</v>
      </c>
      <c r="IN23" s="199">
        <f t="shared" si="130"/>
        <v>0.0498574909006304</v>
      </c>
      <c r="IO23" s="192">
        <f>(IK23-IK28)/IK28</f>
        <v>0.0882190200520267</v>
      </c>
      <c r="IP23" s="192"/>
      <c r="IQ23" s="194"/>
      <c r="IR23" s="194" t="str">
        <f t="shared" si="131"/>
        <v>2026//5/29</v>
      </c>
      <c r="IS23" s="200">
        <v>147989</v>
      </c>
      <c r="IT23" s="12">
        <f t="shared" si="132"/>
        <v>149189</v>
      </c>
      <c r="IU23" s="12">
        <f t="shared" si="133"/>
        <v>-1200</v>
      </c>
      <c r="IV23" s="199">
        <f t="shared" si="134"/>
        <v>-0.00804348846094551</v>
      </c>
      <c r="IW23" s="192">
        <f>(IS23-IS28)/IS28</f>
        <v>0.0866442957948146</v>
      </c>
      <c r="IX23" s="192"/>
      <c r="IY23" s="194"/>
      <c r="IZ23" s="194" t="str">
        <f t="shared" si="135"/>
        <v>2026//5/29</v>
      </c>
      <c r="JA23" s="200">
        <v>5208629.15</v>
      </c>
      <c r="JB23" s="12">
        <f t="shared" si="136"/>
        <v>5280029.15</v>
      </c>
      <c r="JC23" s="12">
        <f t="shared" si="137"/>
        <v>-71400</v>
      </c>
      <c r="JD23" s="199">
        <f t="shared" si="138"/>
        <v>-0.013522652616416</v>
      </c>
      <c r="JE23" s="192">
        <f>(JA23-JA28)/JA28</f>
        <v>-0.00470073052314172</v>
      </c>
      <c r="JF23" s="192"/>
      <c r="JG23" s="194"/>
      <c r="JH23" s="194" t="str">
        <f t="shared" si="139"/>
        <v>2026//5/29</v>
      </c>
      <c r="JI23" s="200">
        <v>1337067.99</v>
      </c>
      <c r="JJ23" s="12">
        <f t="shared" si="140"/>
        <v>1335507.99</v>
      </c>
      <c r="JK23" s="12">
        <f t="shared" si="141"/>
        <v>1560</v>
      </c>
      <c r="JL23" s="199">
        <f t="shared" si="142"/>
        <v>0.00116809484606678</v>
      </c>
      <c r="JM23" s="192">
        <f>(JI23-JI28)/JI28</f>
        <v>-0.00642041220250167</v>
      </c>
      <c r="JN23" s="192"/>
      <c r="JO23" s="192"/>
      <c r="JP23" s="194" t="str">
        <f t="shared" si="143"/>
        <v>2026//5/29</v>
      </c>
      <c r="JQ23" s="200">
        <v>1047590.4148</v>
      </c>
      <c r="JR23" s="12">
        <f t="shared" si="144"/>
        <v>1046990.4148</v>
      </c>
      <c r="JS23" s="12">
        <f t="shared" si="145"/>
        <v>600</v>
      </c>
      <c r="JT23" s="199">
        <f t="shared" si="146"/>
        <v>0.000573071148998641</v>
      </c>
      <c r="JU23" s="192">
        <f>(JQ23-JQ28)/JQ28</f>
        <v>-0.00209565639863364</v>
      </c>
      <c r="JV23" s="192"/>
      <c r="JW23" s="201"/>
      <c r="JX23" s="194" t="str">
        <f t="shared" si="147"/>
        <v>2026//5/29</v>
      </c>
      <c r="JY23" s="200">
        <v>1123648.8</v>
      </c>
      <c r="JZ23" s="12">
        <f t="shared" si="148"/>
        <v>1141748.8</v>
      </c>
      <c r="KA23" s="12">
        <f t="shared" si="149"/>
        <v>-18100</v>
      </c>
      <c r="KB23" s="199">
        <f t="shared" si="150"/>
        <v>-0.015852874117319</v>
      </c>
      <c r="KC23" s="192">
        <f>(JY23-JY28)/JY28</f>
        <v>-0.0245247238733125</v>
      </c>
      <c r="KD23" s="192"/>
      <c r="KE23" s="201"/>
      <c r="KF23" s="194" t="str">
        <f t="shared" si="151"/>
        <v>2026//5/29</v>
      </c>
      <c r="KG23" s="200">
        <v>681555.9219</v>
      </c>
      <c r="KH23" s="12">
        <f t="shared" si="152"/>
        <v>686555.9219</v>
      </c>
      <c r="KI23" s="12">
        <f t="shared" si="153"/>
        <v>-5000</v>
      </c>
      <c r="KJ23" s="199">
        <f t="shared" si="154"/>
        <v>-0.00728272794758338</v>
      </c>
      <c r="KK23" s="201">
        <f>(KG23-KG28)/KG28</f>
        <v>-0.0192817984245167</v>
      </c>
      <c r="KL23" s="201"/>
      <c r="KM23" s="194"/>
      <c r="KN23" s="194" t="str">
        <f t="shared" si="155"/>
        <v>2026//5/29</v>
      </c>
      <c r="KO23" s="200">
        <v>7933075.95</v>
      </c>
      <c r="KP23" s="12">
        <f t="shared" si="156"/>
        <v>8032575.95</v>
      </c>
      <c r="KQ23" s="12">
        <f t="shared" si="157"/>
        <v>-99500</v>
      </c>
      <c r="KR23" s="199">
        <f t="shared" si="158"/>
        <v>-0.0123870599692244</v>
      </c>
      <c r="KS23" s="192">
        <f>(KO23-KO28)/KO28</f>
        <v>-0.0421970172214358</v>
      </c>
      <c r="KT23" s="192"/>
      <c r="KU23" s="194"/>
      <c r="KV23" s="194" t="str">
        <f t="shared" si="159"/>
        <v>2026//5/29</v>
      </c>
      <c r="KW23" s="200">
        <v>1087472.9726</v>
      </c>
      <c r="KX23" s="12">
        <f t="shared" si="160"/>
        <v>1099972.9726</v>
      </c>
      <c r="KY23" s="12">
        <f t="shared" si="161"/>
        <v>-12500</v>
      </c>
      <c r="KZ23" s="199">
        <f t="shared" si="162"/>
        <v>-0.0113639155791745</v>
      </c>
      <c r="LA23" s="201">
        <f>(KW23-KW28)/KW28</f>
        <v>-0.0119926629694732</v>
      </c>
      <c r="LB23" s="192"/>
      <c r="LC23" s="194"/>
      <c r="LD23" s="194" t="str">
        <f t="shared" si="163"/>
        <v>2026//5/29</v>
      </c>
      <c r="LE23" s="200">
        <v>418657.7</v>
      </c>
      <c r="LF23" s="12">
        <f t="shared" si="164"/>
        <v>422407.7</v>
      </c>
      <c r="LG23" s="12">
        <f t="shared" si="165"/>
        <v>-3750</v>
      </c>
      <c r="LH23" s="199">
        <f t="shared" si="166"/>
        <v>-0.00887767907639941</v>
      </c>
      <c r="LI23" s="192">
        <f>(LE23-LE28)/LE28</f>
        <v>-0.0602683185947179</v>
      </c>
      <c r="LJ23" s="192"/>
      <c r="LK23" s="194"/>
      <c r="LL23" s="194" t="str">
        <f t="shared" si="167"/>
        <v>2026//5/29</v>
      </c>
      <c r="LM23" s="198">
        <v>3358195.02</v>
      </c>
      <c r="LN23" s="12">
        <f t="shared" si="168"/>
        <v>3420835.02</v>
      </c>
      <c r="LO23" s="12">
        <f t="shared" si="169"/>
        <v>-62640</v>
      </c>
      <c r="LP23" s="199">
        <f t="shared" si="170"/>
        <v>-0.0183113186206799</v>
      </c>
      <c r="LQ23" s="192">
        <f>(LM23-LM28)/LM28</f>
        <v>-0.0435749080095243</v>
      </c>
      <c r="LR23" s="192"/>
      <c r="LS23" s="194"/>
      <c r="LT23" s="194" t="str">
        <f t="shared" si="171"/>
        <v>2026//5/29</v>
      </c>
      <c r="LU23" s="200">
        <v>2363462.904</v>
      </c>
      <c r="LV23" s="12">
        <f t="shared" si="172"/>
        <v>2365462.904</v>
      </c>
      <c r="LW23" s="12">
        <f t="shared" si="173"/>
        <v>-2000</v>
      </c>
      <c r="LX23" s="199">
        <f t="shared" si="174"/>
        <v>-0.00084550047122616</v>
      </c>
      <c r="LY23" s="192">
        <f>(LU23-LU28)/LU28</f>
        <v>-0.0403595343608294</v>
      </c>
      <c r="LZ23" s="192"/>
      <c r="MA23" s="194"/>
      <c r="MB23" s="194" t="str">
        <f t="shared" si="175"/>
        <v>2026//5/29</v>
      </c>
      <c r="MC23" s="200">
        <v>939867.69</v>
      </c>
      <c r="MD23" s="12">
        <f t="shared" si="176"/>
        <v>922517.69</v>
      </c>
      <c r="ME23" s="12">
        <f t="shared" si="177"/>
        <v>17350</v>
      </c>
      <c r="MF23" s="199">
        <f t="shared" si="178"/>
        <v>0.0188072274256334</v>
      </c>
      <c r="MG23" s="192">
        <f>(MC23-MC28)/MC28</f>
        <v>0.0186415978216383</v>
      </c>
      <c r="MH23" s="192"/>
      <c r="MK23" s="194" t="str">
        <f t="shared" si="179"/>
        <v>2026//5/29</v>
      </c>
      <c r="ML23" s="203">
        <v>168945.5354</v>
      </c>
      <c r="MM23" s="12">
        <f t="shared" si="180"/>
        <v>171345.5354</v>
      </c>
      <c r="MN23" s="12">
        <f t="shared" si="181"/>
        <v>-2400</v>
      </c>
      <c r="MO23" s="199">
        <f t="shared" si="182"/>
        <v>-0.0140067845619513</v>
      </c>
      <c r="MP23" s="192">
        <f>(ML23-ML28)/ML28</f>
        <v>-0.039566691202601</v>
      </c>
      <c r="MQ23" s="201"/>
      <c r="MR23" s="201"/>
      <c r="MT23" s="194" t="str">
        <f t="shared" si="183"/>
        <v>2026//5/29</v>
      </c>
      <c r="MU23" s="203">
        <v>155214.8</v>
      </c>
      <c r="MV23" s="204">
        <f t="shared" si="184"/>
        <v>155414.8</v>
      </c>
      <c r="MW23" s="8">
        <f t="shared" si="185"/>
        <v>-200</v>
      </c>
      <c r="MX23" s="192">
        <f t="shared" si="186"/>
        <v>-0.00128687872712251</v>
      </c>
      <c r="MY23" s="192">
        <f>(MU23-MU28)/MU28</f>
        <v>-0.0800166908890032</v>
      </c>
      <c r="MZ23" s="192"/>
      <c r="NA23" s="192"/>
      <c r="NC23" s="194" t="str">
        <f t="shared" si="187"/>
        <v>2026//5/29</v>
      </c>
      <c r="ND23" s="203">
        <v>40691.48</v>
      </c>
      <c r="NE23" s="204">
        <f t="shared" si="188"/>
        <v>41091.48</v>
      </c>
      <c r="NF23" s="8">
        <f t="shared" si="189"/>
        <v>-400</v>
      </c>
      <c r="NG23" s="192">
        <f t="shared" si="190"/>
        <v>-0.00973437802678317</v>
      </c>
      <c r="NH23" s="192">
        <f>(ND23-ND28)/ND28</f>
        <v>-0.0145308426823161</v>
      </c>
      <c r="NI23" s="192"/>
      <c r="NJ23" s="192"/>
      <c r="NK23" s="192"/>
      <c r="NM23" s="194" t="str">
        <f t="shared" si="191"/>
        <v>2026//5/29</v>
      </c>
      <c r="NN23" s="203">
        <v>2774711.08</v>
      </c>
      <c r="NO23" s="8">
        <f t="shared" si="192"/>
        <v>2784811.08</v>
      </c>
      <c r="NP23" s="8">
        <f t="shared" si="193"/>
        <v>-10100</v>
      </c>
      <c r="NQ23" s="192">
        <f t="shared" si="194"/>
        <v>-0.00362681694012795</v>
      </c>
      <c r="NR23" s="192">
        <f>(NN23-NN28)/NN28</f>
        <v>0.0171559844245363</v>
      </c>
      <c r="NT23" s="194"/>
      <c r="NU23" s="194" t="str">
        <f t="shared" si="195"/>
        <v>2026//5/29</v>
      </c>
      <c r="NV23" s="203">
        <v>266176.5</v>
      </c>
      <c r="NW23" s="205">
        <f t="shared" si="196"/>
        <v>267676.5</v>
      </c>
      <c r="NX23" s="8">
        <f t="shared" si="197"/>
        <v>-1500</v>
      </c>
      <c r="NY23" s="192">
        <f t="shared" si="198"/>
        <v>-0.00560377918868485</v>
      </c>
      <c r="NZ23" s="201">
        <f>(NV23-NV28)/NV28</f>
        <v>0.0297899422191186</v>
      </c>
      <c r="OA23" s="200"/>
      <c r="OB23" s="194"/>
      <c r="OC23" s="194" t="str">
        <f t="shared" si="199"/>
        <v>2026//5/29</v>
      </c>
      <c r="OD23" s="200">
        <v>16479.97</v>
      </c>
      <c r="OE23" s="12">
        <f t="shared" si="200"/>
        <v>16368.97</v>
      </c>
      <c r="OF23" s="12">
        <f t="shared" si="201"/>
        <v>111.000000000002</v>
      </c>
      <c r="OG23" s="199">
        <f t="shared" si="202"/>
        <v>0.00678112306394366</v>
      </c>
      <c r="OH23" s="192">
        <f>(OD23-OD28)/OD28</f>
        <v>0.0753671948460586</v>
      </c>
      <c r="OI23" s="192"/>
      <c r="OJ23" s="194"/>
      <c r="OK23" s="194" t="str">
        <f t="shared" si="203"/>
        <v>2026//5/29</v>
      </c>
      <c r="OL23" s="200">
        <v>14830.65</v>
      </c>
      <c r="OM23" s="12">
        <f t="shared" si="204"/>
        <v>14584.65</v>
      </c>
      <c r="ON23" s="12">
        <f t="shared" si="205"/>
        <v>246</v>
      </c>
      <c r="OO23" s="199">
        <f t="shared" si="206"/>
        <v>0.0168670485750429</v>
      </c>
      <c r="OP23" s="192">
        <f>(OL23-OL28)/OL28</f>
        <v>0.0253739547071452</v>
      </c>
      <c r="OQ23" s="192"/>
      <c r="OT23" s="26" t="str">
        <f t="shared" si="207"/>
        <v>2026//5/29</v>
      </c>
      <c r="OV23" s="8">
        <f t="shared" si="208"/>
        <v>0</v>
      </c>
      <c r="OW23" s="191">
        <f t="shared" si="209"/>
        <v>0</v>
      </c>
      <c r="OX23" s="192" t="e">
        <f t="shared" si="210"/>
        <v>#DIV/0!</v>
      </c>
    </row>
    <row r="24" s="8" customFormat="1" ht="17" customHeight="1" spans="1:415">
      <c r="A24" s="15"/>
      <c r="B24" s="15"/>
      <c r="C24" s="15" t="s">
        <v>450</v>
      </c>
      <c r="D24" s="138">
        <v>2796888.77</v>
      </c>
      <c r="E24" s="19">
        <f t="shared" si="8"/>
        <v>2789688.77</v>
      </c>
      <c r="F24" s="19">
        <f t="shared" si="9"/>
        <v>7200</v>
      </c>
      <c r="G24" s="172">
        <f t="shared" si="10"/>
        <v>0.00258093306946208</v>
      </c>
      <c r="H24" s="18"/>
      <c r="I24" s="122"/>
      <c r="J24" s="122"/>
      <c r="K24" s="125" t="str">
        <f t="shared" si="11"/>
        <v>2026//5/28</v>
      </c>
      <c r="L24" s="125">
        <v>2210014.4</v>
      </c>
      <c r="M24" s="125">
        <f t="shared" si="12"/>
        <v>2212084.4</v>
      </c>
      <c r="N24" s="125">
        <f t="shared" si="13"/>
        <v>-2070</v>
      </c>
      <c r="O24" s="122">
        <f t="shared" si="14"/>
        <v>-0.000935768996879143</v>
      </c>
      <c r="P24" s="18"/>
      <c r="Q24" s="122"/>
      <c r="R24" s="125"/>
      <c r="S24" s="125" t="str">
        <f t="shared" si="15"/>
        <v>2026//5/28</v>
      </c>
      <c r="T24" s="125">
        <v>796116.68</v>
      </c>
      <c r="U24" s="125">
        <f t="shared" si="16"/>
        <v>780996.68</v>
      </c>
      <c r="V24" s="125">
        <f t="shared" si="17"/>
        <v>15120</v>
      </c>
      <c r="W24" s="122">
        <f t="shared" si="18"/>
        <v>0.0193598774325135</v>
      </c>
      <c r="X24" s="18"/>
      <c r="Y24" s="122"/>
      <c r="Z24" s="125"/>
      <c r="AA24" s="125" t="str">
        <f t="shared" si="19"/>
        <v>2026//5/28</v>
      </c>
      <c r="AB24" s="125">
        <v>433216.86</v>
      </c>
      <c r="AC24" s="125">
        <f t="shared" si="20"/>
        <v>435416.86</v>
      </c>
      <c r="AD24" s="125">
        <f t="shared" si="21"/>
        <v>-2200</v>
      </c>
      <c r="AE24" s="122">
        <f t="shared" si="22"/>
        <v>-0.00505262933548324</v>
      </c>
      <c r="AF24" s="18"/>
      <c r="AG24" s="122"/>
      <c r="AH24" s="125"/>
      <c r="AI24" s="125" t="str">
        <f t="shared" si="23"/>
        <v>2026//5/28</v>
      </c>
      <c r="AJ24" s="125">
        <v>294321.76</v>
      </c>
      <c r="AK24" s="125">
        <f t="shared" si="24"/>
        <v>305321.76</v>
      </c>
      <c r="AL24" s="125">
        <f t="shared" si="25"/>
        <v>-11000</v>
      </c>
      <c r="AM24" s="122">
        <f t="shared" si="26"/>
        <v>-0.0360275664597243</v>
      </c>
      <c r="AN24" s="18"/>
      <c r="AO24" s="18"/>
      <c r="AP24" s="125"/>
      <c r="AQ24" s="125" t="str">
        <f t="shared" si="27"/>
        <v>2026//5/28</v>
      </c>
      <c r="AR24" s="145">
        <v>1051545.4936</v>
      </c>
      <c r="AS24" s="125">
        <f t="shared" si="28"/>
        <v>1056945.4936</v>
      </c>
      <c r="AT24" s="125">
        <f t="shared" si="29"/>
        <v>-5400</v>
      </c>
      <c r="AU24" s="122">
        <f t="shared" si="30"/>
        <v>-0.0051090619456708</v>
      </c>
      <c r="AV24" s="18"/>
      <c r="AW24" s="18"/>
      <c r="AX24" s="17"/>
      <c r="AY24" s="138"/>
      <c r="AZ24" s="125" t="str">
        <f t="shared" si="31"/>
        <v>2026//5/28</v>
      </c>
      <c r="BA24" s="125">
        <v>1238691.6676</v>
      </c>
      <c r="BB24" s="138">
        <f t="shared" si="32"/>
        <v>1249221.6676</v>
      </c>
      <c r="BC24" s="125">
        <f t="shared" si="33"/>
        <v>-10530</v>
      </c>
      <c r="BD24" s="122">
        <f t="shared" si="34"/>
        <v>-0.00842924860583806</v>
      </c>
      <c r="BE24" s="18"/>
      <c r="BF24" s="18"/>
      <c r="BG24" s="74"/>
      <c r="BH24" s="194" t="str">
        <f t="shared" si="35"/>
        <v>2026//5/28</v>
      </c>
      <c r="BI24" s="194">
        <v>1441226.5525</v>
      </c>
      <c r="BJ24" s="195">
        <f t="shared" si="36"/>
        <v>1464526.5525</v>
      </c>
      <c r="BK24" s="195">
        <f t="shared" si="37"/>
        <v>-23300</v>
      </c>
      <c r="BL24" s="196">
        <f t="shared" si="38"/>
        <v>-0.0159095783959847</v>
      </c>
      <c r="BM24" s="197"/>
      <c r="BN24" s="192"/>
      <c r="BO24" s="194"/>
      <c r="BP24" s="194" t="str">
        <f t="shared" si="39"/>
        <v>2026//5/28</v>
      </c>
      <c r="BQ24" s="198">
        <v>1099362.3921</v>
      </c>
      <c r="BR24" s="12">
        <f t="shared" si="40"/>
        <v>1098862.3921</v>
      </c>
      <c r="BS24" s="12">
        <f t="shared" si="41"/>
        <v>500</v>
      </c>
      <c r="BT24" s="199">
        <f t="shared" si="42"/>
        <v>0.000455016027115521</v>
      </c>
      <c r="BU24" s="192"/>
      <c r="BV24" s="192"/>
      <c r="BW24" s="194"/>
      <c r="BX24" s="194" t="str">
        <f t="shared" si="43"/>
        <v>2026//5/28</v>
      </c>
      <c r="BY24" s="200">
        <v>2284060.7019</v>
      </c>
      <c r="BZ24" s="12">
        <f t="shared" si="44"/>
        <v>2318860.7019</v>
      </c>
      <c r="CA24" s="12">
        <f t="shared" si="45"/>
        <v>-34800</v>
      </c>
      <c r="CB24" s="199">
        <f t="shared" si="46"/>
        <v>-0.0150073697706318</v>
      </c>
      <c r="CC24" s="192"/>
      <c r="CD24" s="201"/>
      <c r="CE24" s="194"/>
      <c r="CF24" s="194" t="str">
        <f t="shared" si="47"/>
        <v>2026//5/28</v>
      </c>
      <c r="CG24" s="200">
        <v>1323003.9</v>
      </c>
      <c r="CH24" s="12">
        <f t="shared" si="48"/>
        <v>1326503.9</v>
      </c>
      <c r="CI24" s="12">
        <f t="shared" si="49"/>
        <v>-3500</v>
      </c>
      <c r="CJ24" s="199">
        <f t="shared" si="50"/>
        <v>-0.00263851467002849</v>
      </c>
      <c r="CK24" s="192"/>
      <c r="CL24" s="201"/>
      <c r="CM24" s="194"/>
      <c r="CN24" s="194" t="str">
        <f t="shared" si="51"/>
        <v>2026//5/28</v>
      </c>
      <c r="CO24" s="200">
        <v>572546.48</v>
      </c>
      <c r="CP24" s="12">
        <f t="shared" si="52"/>
        <v>573746.48</v>
      </c>
      <c r="CQ24" s="12">
        <f t="shared" si="53"/>
        <v>-1200</v>
      </c>
      <c r="CR24" s="199">
        <f t="shared" si="54"/>
        <v>-0.00209151609958461</v>
      </c>
      <c r="CS24" s="201"/>
      <c r="CT24" s="201"/>
      <c r="CU24" s="194"/>
      <c r="CV24" s="194" t="str">
        <f t="shared" si="55"/>
        <v>2026//5/28</v>
      </c>
      <c r="CW24" s="200">
        <v>581690.4</v>
      </c>
      <c r="CX24" s="12">
        <f t="shared" si="56"/>
        <v>590490.4</v>
      </c>
      <c r="CY24" s="12">
        <f t="shared" si="57"/>
        <v>-8800</v>
      </c>
      <c r="CZ24" s="199">
        <f t="shared" si="58"/>
        <v>-0.0149028671761641</v>
      </c>
      <c r="DA24" s="192"/>
      <c r="DB24" s="192"/>
      <c r="DC24" s="202"/>
      <c r="DD24" s="194" t="str">
        <f t="shared" si="59"/>
        <v>2026//5/28</v>
      </c>
      <c r="DE24" s="200">
        <v>1950517.9986</v>
      </c>
      <c r="DF24" s="12">
        <f t="shared" si="60"/>
        <v>2079317.9986</v>
      </c>
      <c r="DG24" s="12">
        <f t="shared" si="61"/>
        <v>-128800</v>
      </c>
      <c r="DH24" s="199">
        <f t="shared" si="62"/>
        <v>-0.0619433872484732</v>
      </c>
      <c r="DI24" s="192"/>
      <c r="DJ24" s="192"/>
      <c r="DK24" s="194"/>
      <c r="DL24" s="194" t="str">
        <f t="shared" si="63"/>
        <v>2026//5/28</v>
      </c>
      <c r="DM24" s="200">
        <v>882100.36</v>
      </c>
      <c r="DN24" s="12">
        <f t="shared" si="64"/>
        <v>898700.36</v>
      </c>
      <c r="DO24" s="12">
        <f t="shared" si="65"/>
        <v>-16600</v>
      </c>
      <c r="DP24" s="199">
        <f t="shared" si="66"/>
        <v>-0.0184711175591384</v>
      </c>
      <c r="DQ24" s="192"/>
      <c r="DR24" s="192"/>
      <c r="DS24" s="194"/>
      <c r="DT24" s="194" t="str">
        <f t="shared" si="67"/>
        <v>2026//5/28</v>
      </c>
      <c r="DU24" s="200">
        <v>1282289.48</v>
      </c>
      <c r="DV24" s="12">
        <f t="shared" si="68"/>
        <v>1305989.48</v>
      </c>
      <c r="DW24" s="12">
        <f t="shared" si="69"/>
        <v>-23700</v>
      </c>
      <c r="DX24" s="199">
        <f t="shared" si="70"/>
        <v>-0.0181471599602778</v>
      </c>
      <c r="DY24" s="192"/>
      <c r="DZ24" s="192"/>
      <c r="EA24" s="194"/>
      <c r="EB24" s="194" t="str">
        <f t="shared" si="71"/>
        <v>2026//5/28</v>
      </c>
      <c r="EC24" s="200">
        <v>3303566.82</v>
      </c>
      <c r="ED24" s="12">
        <f t="shared" si="72"/>
        <v>3370466.82</v>
      </c>
      <c r="EE24" s="12">
        <f t="shared" si="73"/>
        <v>-66900</v>
      </c>
      <c r="EF24" s="199">
        <f t="shared" si="74"/>
        <v>-0.0198488825355059</v>
      </c>
      <c r="EG24" s="192"/>
      <c r="EH24" s="192"/>
      <c r="EI24" s="194"/>
      <c r="EJ24" s="194" t="str">
        <f t="shared" si="75"/>
        <v>2026//5/28</v>
      </c>
      <c r="EK24" s="200">
        <v>1222922.9669</v>
      </c>
      <c r="EL24" s="12">
        <f t="shared" si="76"/>
        <v>1229722.9669</v>
      </c>
      <c r="EM24" s="12">
        <f t="shared" si="77"/>
        <v>-6800</v>
      </c>
      <c r="EN24" s="199">
        <f t="shared" si="78"/>
        <v>-0.00552970073994964</v>
      </c>
      <c r="EO24" s="192"/>
      <c r="EP24" s="192"/>
      <c r="EQ24" s="194"/>
      <c r="ER24" s="194" t="str">
        <f t="shared" si="79"/>
        <v>2026//5/28</v>
      </c>
      <c r="ES24" s="203">
        <v>402197.02</v>
      </c>
      <c r="ET24" s="12">
        <f t="shared" si="80"/>
        <v>406847.02</v>
      </c>
      <c r="EU24" s="12">
        <f t="shared" si="81"/>
        <v>-4650</v>
      </c>
      <c r="EV24" s="199">
        <f t="shared" si="82"/>
        <v>-0.0114293574031831</v>
      </c>
      <c r="EW24" s="192"/>
      <c r="EX24" s="192"/>
      <c r="EY24" s="194"/>
      <c r="EZ24" s="194" t="str">
        <f t="shared" si="83"/>
        <v>2026//5/28</v>
      </c>
      <c r="FA24" s="200">
        <v>590708</v>
      </c>
      <c r="FB24" s="12">
        <f t="shared" si="84"/>
        <v>606908</v>
      </c>
      <c r="FC24" s="12">
        <f t="shared" si="85"/>
        <v>-16200</v>
      </c>
      <c r="FD24" s="199">
        <f t="shared" si="86"/>
        <v>-0.0266926782972048</v>
      </c>
      <c r="FE24" s="192"/>
      <c r="FF24" s="192"/>
      <c r="FG24" s="192"/>
      <c r="FH24" s="194" t="str">
        <f t="shared" si="87"/>
        <v>2026//5/28</v>
      </c>
      <c r="FI24" s="198">
        <v>1146395.3365</v>
      </c>
      <c r="FJ24" s="12">
        <f t="shared" si="88"/>
        <v>1176895.3365</v>
      </c>
      <c r="FK24" s="12">
        <f t="shared" si="89"/>
        <v>-30500</v>
      </c>
      <c r="FL24" s="199">
        <f t="shared" si="90"/>
        <v>-0.0259156435190786</v>
      </c>
      <c r="FM24" s="201"/>
      <c r="FN24" s="201"/>
      <c r="FO24" s="194"/>
      <c r="FP24" s="194" t="str">
        <f t="shared" si="91"/>
        <v>2026//5/28</v>
      </c>
      <c r="FQ24" s="200">
        <v>1652818.73</v>
      </c>
      <c r="FR24" s="12">
        <f t="shared" si="92"/>
        <v>1696318.73</v>
      </c>
      <c r="FS24" s="12">
        <f t="shared" si="93"/>
        <v>-43500</v>
      </c>
      <c r="FT24" s="199">
        <f t="shared" si="94"/>
        <v>-0.025643765661893</v>
      </c>
      <c r="FU24" s="192"/>
      <c r="FV24" s="192"/>
      <c r="FW24" s="194"/>
      <c r="FX24" s="194" t="str">
        <f t="shared" si="95"/>
        <v>2026//5/28</v>
      </c>
      <c r="FY24" s="200">
        <v>8246182.05</v>
      </c>
      <c r="FZ24" s="12">
        <f t="shared" si="96"/>
        <v>8234382.05</v>
      </c>
      <c r="GA24" s="12">
        <f t="shared" si="97"/>
        <v>11800</v>
      </c>
      <c r="GB24" s="199">
        <f t="shared" si="98"/>
        <v>0.001433015850898</v>
      </c>
      <c r="GC24" s="192"/>
      <c r="GD24" s="192"/>
      <c r="GE24" s="194"/>
      <c r="GF24" s="194" t="str">
        <f t="shared" si="99"/>
        <v>2026//5/28</v>
      </c>
      <c r="GG24" s="200">
        <v>4902569.49</v>
      </c>
      <c r="GH24" s="12">
        <f t="shared" si="100"/>
        <v>4871969.49</v>
      </c>
      <c r="GI24" s="12">
        <f t="shared" si="101"/>
        <v>30600</v>
      </c>
      <c r="GJ24" s="199">
        <f t="shared" si="102"/>
        <v>0.00628082750986193</v>
      </c>
      <c r="GK24" s="192"/>
      <c r="GL24" s="192"/>
      <c r="GM24" s="194"/>
      <c r="GN24" s="194" t="str">
        <f t="shared" si="103"/>
        <v>2026//5/28</v>
      </c>
      <c r="GO24" s="200">
        <v>1866958.1217</v>
      </c>
      <c r="GP24" s="12">
        <f t="shared" si="104"/>
        <v>1877518.1217</v>
      </c>
      <c r="GQ24" s="12">
        <f t="shared" si="105"/>
        <v>-10560</v>
      </c>
      <c r="GR24" s="199">
        <f t="shared" si="106"/>
        <v>-0.00562444637841282</v>
      </c>
      <c r="GS24" s="192"/>
      <c r="GT24" s="192"/>
      <c r="GU24" s="194"/>
      <c r="GV24" s="194" t="str">
        <f t="shared" si="107"/>
        <v>2026//5/28</v>
      </c>
      <c r="GW24" s="200">
        <v>787149.4</v>
      </c>
      <c r="GX24" s="12">
        <f t="shared" si="108"/>
        <v>794549.4</v>
      </c>
      <c r="GY24" s="12">
        <f t="shared" si="109"/>
        <v>-7400</v>
      </c>
      <c r="GZ24" s="199">
        <f t="shared" si="110"/>
        <v>-0.00931345489657408</v>
      </c>
      <c r="HA24" s="192"/>
      <c r="HB24" s="192"/>
      <c r="HC24" s="194"/>
      <c r="HD24" s="194" t="str">
        <f t="shared" si="111"/>
        <v>2026//5/28</v>
      </c>
      <c r="HE24" s="200">
        <v>1171264.6746</v>
      </c>
      <c r="HF24" s="12">
        <f t="shared" si="112"/>
        <v>1198464.6746</v>
      </c>
      <c r="HG24" s="12">
        <f t="shared" si="113"/>
        <v>-27200</v>
      </c>
      <c r="HH24" s="199">
        <f t="shared" si="114"/>
        <v>-0.0226957044095424</v>
      </c>
      <c r="HI24" s="201"/>
      <c r="HJ24" s="192"/>
      <c r="HK24" s="194"/>
      <c r="HL24" s="194" t="str">
        <f t="shared" si="115"/>
        <v>2026//5/28</v>
      </c>
      <c r="HM24" s="200">
        <v>126254.25</v>
      </c>
      <c r="HN24" s="12">
        <f t="shared" si="116"/>
        <v>126704.25</v>
      </c>
      <c r="HO24" s="12">
        <f t="shared" si="117"/>
        <v>-450</v>
      </c>
      <c r="HP24" s="199">
        <f t="shared" si="118"/>
        <v>-0.00355157778843251</v>
      </c>
      <c r="HQ24" s="192"/>
      <c r="HR24" s="192"/>
      <c r="HS24" s="194"/>
      <c r="HT24" s="194" t="str">
        <f t="shared" si="119"/>
        <v>2026//5/28</v>
      </c>
      <c r="HU24" s="200">
        <v>170068.8265</v>
      </c>
      <c r="HV24" s="12">
        <f t="shared" si="120"/>
        <v>177568.8265</v>
      </c>
      <c r="HW24" s="12">
        <f t="shared" si="121"/>
        <v>-7500</v>
      </c>
      <c r="HX24" s="199">
        <f t="shared" si="122"/>
        <v>-0.0422371434661703</v>
      </c>
      <c r="HY24" s="192"/>
      <c r="HZ24" s="192"/>
      <c r="IA24" s="194"/>
      <c r="IB24" s="194" t="str">
        <f t="shared" si="123"/>
        <v>2026//5/28</v>
      </c>
      <c r="IC24" s="200">
        <v>337234.79</v>
      </c>
      <c r="ID24" s="12">
        <f t="shared" si="124"/>
        <v>340309.79</v>
      </c>
      <c r="IE24" s="12">
        <f t="shared" si="125"/>
        <v>-3075</v>
      </c>
      <c r="IF24" s="199">
        <f t="shared" si="126"/>
        <v>-0.00903588462735674</v>
      </c>
      <c r="IG24" s="201"/>
      <c r="IH24" s="192"/>
      <c r="II24" s="194"/>
      <c r="IJ24" s="194" t="str">
        <f t="shared" si="127"/>
        <v>2026//5/28</v>
      </c>
      <c r="IK24" s="200">
        <v>728476.29</v>
      </c>
      <c r="IL24" s="12">
        <f t="shared" si="128"/>
        <v>718796.29</v>
      </c>
      <c r="IM24" s="12">
        <f t="shared" si="129"/>
        <v>9680</v>
      </c>
      <c r="IN24" s="199">
        <f t="shared" si="130"/>
        <v>0.0134669587679703</v>
      </c>
      <c r="IO24" s="192"/>
      <c r="IP24" s="192"/>
      <c r="IQ24" s="194"/>
      <c r="IR24" s="194" t="str">
        <f t="shared" si="131"/>
        <v>2026//5/28</v>
      </c>
      <c r="IS24" s="200">
        <v>149189</v>
      </c>
      <c r="IT24" s="12">
        <f t="shared" si="132"/>
        <v>146689</v>
      </c>
      <c r="IU24" s="12">
        <f t="shared" si="133"/>
        <v>2500</v>
      </c>
      <c r="IV24" s="199">
        <f t="shared" si="134"/>
        <v>0.0170428593827758</v>
      </c>
      <c r="IW24" s="192"/>
      <c r="IX24" s="192"/>
      <c r="IY24" s="194"/>
      <c r="IZ24" s="194" t="str">
        <f t="shared" si="135"/>
        <v>2026//5/28</v>
      </c>
      <c r="JA24" s="200">
        <v>5280029.15</v>
      </c>
      <c r="JB24" s="12">
        <f t="shared" si="136"/>
        <v>5213829.15</v>
      </c>
      <c r="JC24" s="12">
        <f t="shared" si="137"/>
        <v>66200</v>
      </c>
      <c r="JD24" s="199">
        <f t="shared" si="138"/>
        <v>0.012697002163947</v>
      </c>
      <c r="JE24" s="192"/>
      <c r="JF24" s="192"/>
      <c r="JG24" s="194"/>
      <c r="JH24" s="194" t="str">
        <f t="shared" si="139"/>
        <v>2026//5/28</v>
      </c>
      <c r="JI24" s="200">
        <v>1335507.99</v>
      </c>
      <c r="JJ24" s="12">
        <f t="shared" si="140"/>
        <v>1362327.99</v>
      </c>
      <c r="JK24" s="12">
        <f t="shared" si="141"/>
        <v>-26820</v>
      </c>
      <c r="JL24" s="199">
        <f t="shared" si="142"/>
        <v>-0.0196868890581922</v>
      </c>
      <c r="JM24" s="192"/>
      <c r="JN24" s="192"/>
      <c r="JO24" s="192"/>
      <c r="JP24" s="194" t="str">
        <f t="shared" si="143"/>
        <v>2026//5/28</v>
      </c>
      <c r="JQ24" s="200">
        <v>1046990.4148</v>
      </c>
      <c r="JR24" s="12">
        <f t="shared" si="144"/>
        <v>1060290.4148</v>
      </c>
      <c r="JS24" s="12">
        <f t="shared" si="145"/>
        <v>-13299.9999999999</v>
      </c>
      <c r="JT24" s="199">
        <f t="shared" si="146"/>
        <v>-0.0125437331266534</v>
      </c>
      <c r="JU24" s="192"/>
      <c r="JV24" s="192"/>
      <c r="JW24" s="201"/>
      <c r="JX24" s="194" t="str">
        <f t="shared" si="147"/>
        <v>2026//5/28</v>
      </c>
      <c r="JY24" s="200">
        <v>1141748.8</v>
      </c>
      <c r="JZ24" s="12">
        <f t="shared" si="148"/>
        <v>1140348.8</v>
      </c>
      <c r="KA24" s="12">
        <f t="shared" si="149"/>
        <v>1400</v>
      </c>
      <c r="KB24" s="199">
        <f t="shared" si="150"/>
        <v>0.00122769454398514</v>
      </c>
      <c r="KC24" s="192"/>
      <c r="KD24" s="192"/>
      <c r="KE24" s="201"/>
      <c r="KF24" s="194" t="str">
        <f t="shared" si="151"/>
        <v>2026//5/28</v>
      </c>
      <c r="KG24" s="200">
        <v>686555.9219</v>
      </c>
      <c r="KH24" s="12">
        <f t="shared" si="152"/>
        <v>688555.9219</v>
      </c>
      <c r="KI24" s="12">
        <f t="shared" si="153"/>
        <v>-2000</v>
      </c>
      <c r="KJ24" s="199">
        <f t="shared" si="154"/>
        <v>-0.00290462972779495</v>
      </c>
      <c r="KK24" s="201"/>
      <c r="KL24" s="201"/>
      <c r="KM24" s="194"/>
      <c r="KN24" s="194" t="str">
        <f t="shared" si="155"/>
        <v>2026//5/28</v>
      </c>
      <c r="KO24" s="200">
        <v>8032575.95</v>
      </c>
      <c r="KP24" s="12">
        <f t="shared" si="156"/>
        <v>8182575.95</v>
      </c>
      <c r="KQ24" s="12">
        <f t="shared" si="157"/>
        <v>-150000</v>
      </c>
      <c r="KR24" s="199">
        <f t="shared" si="158"/>
        <v>-0.0183316355285404</v>
      </c>
      <c r="KS24" s="192"/>
      <c r="KT24" s="192"/>
      <c r="KU24" s="194"/>
      <c r="KV24" s="194" t="str">
        <f t="shared" si="159"/>
        <v>2026//5/28</v>
      </c>
      <c r="KW24" s="200">
        <v>1099972.9726</v>
      </c>
      <c r="KX24" s="12">
        <f t="shared" si="160"/>
        <v>1100472.9726</v>
      </c>
      <c r="KY24" s="12">
        <f t="shared" si="161"/>
        <v>-500</v>
      </c>
      <c r="KZ24" s="199">
        <f t="shared" si="162"/>
        <v>-0.000454350095321914</v>
      </c>
      <c r="LA24" s="201"/>
      <c r="LB24" s="192"/>
      <c r="LC24" s="194"/>
      <c r="LD24" s="194" t="str">
        <f t="shared" si="163"/>
        <v>2026//5/28</v>
      </c>
      <c r="LE24" s="200">
        <v>422407.7</v>
      </c>
      <c r="LF24" s="12">
        <f t="shared" si="164"/>
        <v>428607.7</v>
      </c>
      <c r="LG24" s="12">
        <f t="shared" si="165"/>
        <v>-6200</v>
      </c>
      <c r="LH24" s="199">
        <f t="shared" si="166"/>
        <v>-0.0144654424080575</v>
      </c>
      <c r="LI24" s="192"/>
      <c r="LJ24" s="192"/>
      <c r="LK24" s="194"/>
      <c r="LL24" s="194" t="str">
        <f t="shared" si="167"/>
        <v>2026//5/28</v>
      </c>
      <c r="LM24" s="198">
        <v>3420835.02</v>
      </c>
      <c r="LN24" s="12">
        <f t="shared" si="168"/>
        <v>3446035.02</v>
      </c>
      <c r="LO24" s="12">
        <f t="shared" si="169"/>
        <v>-25200</v>
      </c>
      <c r="LP24" s="199">
        <f t="shared" si="170"/>
        <v>-0.00731275214957044</v>
      </c>
      <c r="LQ24" s="192"/>
      <c r="LR24" s="192"/>
      <c r="LS24" s="194"/>
      <c r="LT24" s="194" t="str">
        <f t="shared" si="171"/>
        <v>2026//5/28</v>
      </c>
      <c r="LU24" s="200">
        <v>2365462.904</v>
      </c>
      <c r="LV24" s="12">
        <f t="shared" si="172"/>
        <v>2395062.904</v>
      </c>
      <c r="LW24" s="12">
        <f t="shared" si="173"/>
        <v>-29600</v>
      </c>
      <c r="LX24" s="199">
        <f t="shared" si="174"/>
        <v>-0.0123587568203595</v>
      </c>
      <c r="LY24" s="192"/>
      <c r="LZ24" s="192"/>
      <c r="MA24" s="194"/>
      <c r="MB24" s="194" t="str">
        <f t="shared" si="175"/>
        <v>2026//5/28</v>
      </c>
      <c r="MC24" s="200">
        <v>922517.69</v>
      </c>
      <c r="MD24" s="12">
        <f t="shared" si="176"/>
        <v>907217.69</v>
      </c>
      <c r="ME24" s="12">
        <f t="shared" si="177"/>
        <v>15300</v>
      </c>
      <c r="MF24" s="199">
        <f t="shared" si="178"/>
        <v>0.0168647505098804</v>
      </c>
      <c r="MG24" s="192"/>
      <c r="MH24" s="192"/>
      <c r="MK24" s="194" t="str">
        <f t="shared" si="179"/>
        <v>2026//5/28</v>
      </c>
      <c r="ML24" s="203">
        <v>171345.5354</v>
      </c>
      <c r="MM24" s="12">
        <f t="shared" si="180"/>
        <v>170985.5354</v>
      </c>
      <c r="MN24" s="12">
        <f t="shared" si="181"/>
        <v>360</v>
      </c>
      <c r="MO24" s="199">
        <f t="shared" si="182"/>
        <v>0.00210544125359975</v>
      </c>
      <c r="MP24" s="192"/>
      <c r="MQ24" s="201"/>
      <c r="MR24" s="201"/>
      <c r="MT24" s="194" t="str">
        <f t="shared" si="183"/>
        <v>2026//5/28</v>
      </c>
      <c r="MU24" s="203">
        <v>155414.8</v>
      </c>
      <c r="MV24" s="204">
        <f t="shared" si="184"/>
        <v>156514.8</v>
      </c>
      <c r="MW24" s="8">
        <f t="shared" si="185"/>
        <v>-1100</v>
      </c>
      <c r="MX24" s="192">
        <f t="shared" si="186"/>
        <v>-0.00702808935640591</v>
      </c>
      <c r="MY24" s="192"/>
      <c r="MZ24" s="192"/>
      <c r="NA24" s="192"/>
      <c r="NC24" s="194" t="str">
        <f t="shared" si="187"/>
        <v>2026//5/28</v>
      </c>
      <c r="ND24" s="203">
        <v>41091.48</v>
      </c>
      <c r="NE24" s="204">
        <f t="shared" si="188"/>
        <v>41291.48</v>
      </c>
      <c r="NF24" s="8">
        <f t="shared" si="189"/>
        <v>-200</v>
      </c>
      <c r="NG24" s="192">
        <f t="shared" si="190"/>
        <v>-0.00484361422743869</v>
      </c>
      <c r="NH24" s="192"/>
      <c r="NI24" s="192"/>
      <c r="NJ24" s="192"/>
      <c r="NK24" s="192"/>
      <c r="NM24" s="194" t="str">
        <f t="shared" si="191"/>
        <v>2026//5/28</v>
      </c>
      <c r="NN24" s="203">
        <v>2784811.08</v>
      </c>
      <c r="NO24" s="8">
        <f t="shared" si="192"/>
        <v>2766711.08</v>
      </c>
      <c r="NP24" s="8">
        <f t="shared" si="193"/>
        <v>18100</v>
      </c>
      <c r="NQ24" s="192">
        <f t="shared" si="194"/>
        <v>0.00654206365487212</v>
      </c>
      <c r="NR24" s="192"/>
      <c r="NT24" s="194"/>
      <c r="NU24" s="194" t="str">
        <f t="shared" si="195"/>
        <v>2026//5/28</v>
      </c>
      <c r="NV24" s="203">
        <v>267676.5</v>
      </c>
      <c r="NW24" s="205">
        <f t="shared" si="196"/>
        <v>267676.5</v>
      </c>
      <c r="NX24" s="8">
        <f t="shared" si="197"/>
        <v>0</v>
      </c>
      <c r="NY24" s="192">
        <f t="shared" si="198"/>
        <v>0</v>
      </c>
      <c r="NZ24" s="201"/>
      <c r="OA24" s="200"/>
      <c r="OB24" s="194"/>
      <c r="OC24" s="194" t="str">
        <f t="shared" si="199"/>
        <v>2026//5/28</v>
      </c>
      <c r="OD24" s="200">
        <v>16368.97</v>
      </c>
      <c r="OE24" s="12">
        <f t="shared" si="200"/>
        <v>15815.97</v>
      </c>
      <c r="OF24" s="12">
        <f t="shared" si="201"/>
        <v>553</v>
      </c>
      <c r="OG24" s="199">
        <f t="shared" si="202"/>
        <v>0.0349646591388325</v>
      </c>
      <c r="OH24" s="192"/>
      <c r="OI24" s="192"/>
      <c r="OJ24" s="194"/>
      <c r="OK24" s="194" t="str">
        <f t="shared" si="203"/>
        <v>2026//5/28</v>
      </c>
      <c r="OL24" s="200">
        <v>14584.65</v>
      </c>
      <c r="OM24" s="12">
        <f t="shared" si="204"/>
        <v>14419.65</v>
      </c>
      <c r="ON24" s="12">
        <f t="shared" si="205"/>
        <v>165</v>
      </c>
      <c r="OO24" s="199">
        <f t="shared" si="206"/>
        <v>0.0114427187899845</v>
      </c>
      <c r="OP24" s="192"/>
      <c r="OQ24" s="192"/>
      <c r="OT24" s="26" t="str">
        <f t="shared" si="207"/>
        <v>2026//5/28</v>
      </c>
      <c r="OV24" s="8">
        <f t="shared" si="208"/>
        <v>148152.4066</v>
      </c>
      <c r="OW24" s="191">
        <f t="shared" si="209"/>
        <v>-148152.4066</v>
      </c>
      <c r="OX24" s="192">
        <f t="shared" si="210"/>
        <v>-1</v>
      </c>
    </row>
    <row r="25" s="8" customFormat="1" ht="17" customHeight="1" spans="1:415">
      <c r="A25" s="15"/>
      <c r="B25" s="15"/>
      <c r="C25" s="15" t="s">
        <v>451</v>
      </c>
      <c r="D25" s="138">
        <v>2789688.77</v>
      </c>
      <c r="E25" s="19">
        <f t="shared" si="8"/>
        <v>2802828.77</v>
      </c>
      <c r="F25" s="19">
        <f t="shared" si="9"/>
        <v>-13140</v>
      </c>
      <c r="G25" s="172">
        <f t="shared" si="10"/>
        <v>-0.00468812085156383</v>
      </c>
      <c r="H25" s="18"/>
      <c r="I25" s="122"/>
      <c r="J25" s="122"/>
      <c r="K25" s="125" t="str">
        <f t="shared" si="11"/>
        <v>2026//5/27</v>
      </c>
      <c r="L25" s="125">
        <v>2212084.4</v>
      </c>
      <c r="M25" s="125">
        <f t="shared" si="12"/>
        <v>2232064.4</v>
      </c>
      <c r="N25" s="125">
        <f t="shared" si="13"/>
        <v>-19980</v>
      </c>
      <c r="O25" s="122">
        <f t="shared" si="14"/>
        <v>-0.0089513546293736</v>
      </c>
      <c r="P25" s="18"/>
      <c r="Q25" s="122"/>
      <c r="R25" s="125"/>
      <c r="S25" s="125" t="str">
        <f t="shared" si="15"/>
        <v>2026//5/27</v>
      </c>
      <c r="T25" s="125">
        <v>780996.68</v>
      </c>
      <c r="U25" s="125">
        <f t="shared" si="16"/>
        <v>832566.68</v>
      </c>
      <c r="V25" s="125">
        <f t="shared" si="17"/>
        <v>-51570</v>
      </c>
      <c r="W25" s="122">
        <f t="shared" si="18"/>
        <v>-0.0619409847148819</v>
      </c>
      <c r="X25" s="18"/>
      <c r="Y25" s="122"/>
      <c r="Z25" s="125"/>
      <c r="AA25" s="125" t="str">
        <f t="shared" si="19"/>
        <v>2026//5/27</v>
      </c>
      <c r="AB25" s="125">
        <v>435416.86</v>
      </c>
      <c r="AC25" s="125">
        <f t="shared" si="20"/>
        <v>434376.86</v>
      </c>
      <c r="AD25" s="125">
        <f t="shared" si="21"/>
        <v>1040</v>
      </c>
      <c r="AE25" s="122">
        <f t="shared" si="22"/>
        <v>0.0023942343521706</v>
      </c>
      <c r="AF25" s="18"/>
      <c r="AG25" s="122"/>
      <c r="AH25" s="125"/>
      <c r="AI25" s="125" t="str">
        <f t="shared" si="23"/>
        <v>2026//5/27</v>
      </c>
      <c r="AJ25" s="125">
        <v>305321.76</v>
      </c>
      <c r="AK25" s="125">
        <f t="shared" si="24"/>
        <v>311321.76</v>
      </c>
      <c r="AL25" s="125">
        <f t="shared" si="25"/>
        <v>-6000</v>
      </c>
      <c r="AM25" s="122">
        <f t="shared" si="26"/>
        <v>-0.0192726650395398</v>
      </c>
      <c r="AN25" s="18"/>
      <c r="AO25" s="18"/>
      <c r="AP25" s="125"/>
      <c r="AQ25" s="125" t="str">
        <f t="shared" si="27"/>
        <v>2026//5/27</v>
      </c>
      <c r="AR25" s="145">
        <v>1056945.4936</v>
      </c>
      <c r="AS25" s="125">
        <f t="shared" si="28"/>
        <v>1094545.4936</v>
      </c>
      <c r="AT25" s="125">
        <f t="shared" si="29"/>
        <v>-37600</v>
      </c>
      <c r="AU25" s="122">
        <f t="shared" si="30"/>
        <v>-0.034352158242717</v>
      </c>
      <c r="AV25" s="18"/>
      <c r="AW25" s="18"/>
      <c r="AX25" s="17"/>
      <c r="AY25" s="138"/>
      <c r="AZ25" s="125" t="str">
        <f t="shared" si="31"/>
        <v>2026//5/27</v>
      </c>
      <c r="BA25" s="125">
        <v>1249221.6676</v>
      </c>
      <c r="BB25" s="138">
        <f t="shared" si="32"/>
        <v>1280451.6676</v>
      </c>
      <c r="BC25" s="125">
        <f t="shared" si="33"/>
        <v>-31230</v>
      </c>
      <c r="BD25" s="122">
        <f t="shared" si="34"/>
        <v>-0.0243898311746008</v>
      </c>
      <c r="BE25" s="18"/>
      <c r="BF25" s="18"/>
      <c r="BG25" s="74"/>
      <c r="BH25" s="194" t="str">
        <f t="shared" si="35"/>
        <v>2026//5/27</v>
      </c>
      <c r="BI25" s="194">
        <v>1464526.5525</v>
      </c>
      <c r="BJ25" s="195">
        <f t="shared" si="36"/>
        <v>1479226.5525</v>
      </c>
      <c r="BK25" s="195">
        <f t="shared" si="37"/>
        <v>-14700</v>
      </c>
      <c r="BL25" s="196">
        <f t="shared" si="38"/>
        <v>-0.00993762583233511</v>
      </c>
      <c r="BM25" s="197"/>
      <c r="BN25" s="192"/>
      <c r="BO25" s="194"/>
      <c r="BP25" s="194" t="str">
        <f t="shared" si="39"/>
        <v>2026//5/27</v>
      </c>
      <c r="BQ25" s="198">
        <v>1098862.3921</v>
      </c>
      <c r="BR25" s="12">
        <f t="shared" si="40"/>
        <v>1099362.3921</v>
      </c>
      <c r="BS25" s="12">
        <f t="shared" si="41"/>
        <v>-500</v>
      </c>
      <c r="BT25" s="199">
        <f t="shared" si="42"/>
        <v>-0.000454809081694073</v>
      </c>
      <c r="BU25" s="192"/>
      <c r="BV25" s="192"/>
      <c r="BW25" s="194"/>
      <c r="BX25" s="194" t="str">
        <f t="shared" si="43"/>
        <v>2026//5/27</v>
      </c>
      <c r="BY25" s="200">
        <v>2318860.7019</v>
      </c>
      <c r="BZ25" s="12">
        <f t="shared" si="44"/>
        <v>2329310.7019</v>
      </c>
      <c r="CA25" s="12">
        <f t="shared" si="45"/>
        <v>-10450</v>
      </c>
      <c r="CB25" s="199">
        <f t="shared" si="46"/>
        <v>-0.00448630575194456</v>
      </c>
      <c r="CC25" s="192"/>
      <c r="CD25" s="201"/>
      <c r="CE25" s="194"/>
      <c r="CF25" s="194" t="str">
        <f t="shared" si="47"/>
        <v>2026//5/27</v>
      </c>
      <c r="CG25" s="200">
        <v>1326503.9</v>
      </c>
      <c r="CH25" s="12">
        <f t="shared" si="48"/>
        <v>1316553.9</v>
      </c>
      <c r="CI25" s="12">
        <f t="shared" si="49"/>
        <v>9950</v>
      </c>
      <c r="CJ25" s="199">
        <f t="shared" si="50"/>
        <v>0.00755760930107001</v>
      </c>
      <c r="CK25" s="192"/>
      <c r="CL25" s="201"/>
      <c r="CM25" s="194"/>
      <c r="CN25" s="194" t="str">
        <f t="shared" si="51"/>
        <v>2026//5/27</v>
      </c>
      <c r="CO25" s="200">
        <v>573746.48</v>
      </c>
      <c r="CP25" s="12">
        <f t="shared" si="52"/>
        <v>575846.48</v>
      </c>
      <c r="CQ25" s="12">
        <f t="shared" si="53"/>
        <v>-2100</v>
      </c>
      <c r="CR25" s="199">
        <f t="shared" si="54"/>
        <v>-0.00364680530824813</v>
      </c>
      <c r="CS25" s="201"/>
      <c r="CT25" s="201"/>
      <c r="CU25" s="194"/>
      <c r="CV25" s="194" t="str">
        <f t="shared" si="55"/>
        <v>2026//5/27</v>
      </c>
      <c r="CW25" s="200">
        <v>590490.4</v>
      </c>
      <c r="CX25" s="12">
        <f t="shared" si="56"/>
        <v>582390.4</v>
      </c>
      <c r="CY25" s="12">
        <f t="shared" si="57"/>
        <v>8100</v>
      </c>
      <c r="CZ25" s="199">
        <f t="shared" si="58"/>
        <v>0.0139081962889498</v>
      </c>
      <c r="DA25" s="192"/>
      <c r="DB25" s="192"/>
      <c r="DC25" s="202"/>
      <c r="DD25" s="194" t="str">
        <f t="shared" si="59"/>
        <v>2026//5/27</v>
      </c>
      <c r="DE25" s="200">
        <v>2079317.9986</v>
      </c>
      <c r="DF25" s="12">
        <f t="shared" si="60"/>
        <v>2157317.9986</v>
      </c>
      <c r="DG25" s="12">
        <f t="shared" si="61"/>
        <v>-78000</v>
      </c>
      <c r="DH25" s="199">
        <f t="shared" si="62"/>
        <v>-0.0361560048405559</v>
      </c>
      <c r="DI25" s="192"/>
      <c r="DJ25" s="192"/>
      <c r="DK25" s="194"/>
      <c r="DL25" s="194" t="str">
        <f t="shared" si="63"/>
        <v>2026//5/27</v>
      </c>
      <c r="DM25" s="200">
        <v>898700.36</v>
      </c>
      <c r="DN25" s="12">
        <f t="shared" si="64"/>
        <v>887100.36</v>
      </c>
      <c r="DO25" s="12">
        <f t="shared" si="65"/>
        <v>11600</v>
      </c>
      <c r="DP25" s="199">
        <f t="shared" si="66"/>
        <v>0.013076310779538</v>
      </c>
      <c r="DQ25" s="192"/>
      <c r="DR25" s="192"/>
      <c r="DS25" s="194"/>
      <c r="DT25" s="194" t="str">
        <f t="shared" si="67"/>
        <v>2026//5/27</v>
      </c>
      <c r="DU25" s="200">
        <v>1305989.48</v>
      </c>
      <c r="DV25" s="12">
        <f t="shared" si="68"/>
        <v>1300589.48</v>
      </c>
      <c r="DW25" s="12">
        <f t="shared" si="69"/>
        <v>5400</v>
      </c>
      <c r="DX25" s="199">
        <f t="shared" si="70"/>
        <v>0.00415196346198341</v>
      </c>
      <c r="DY25" s="192"/>
      <c r="DZ25" s="192"/>
      <c r="EA25" s="194"/>
      <c r="EB25" s="194" t="str">
        <f t="shared" si="71"/>
        <v>2026//5/27</v>
      </c>
      <c r="EC25" s="200">
        <v>3370466.82</v>
      </c>
      <c r="ED25" s="12">
        <f t="shared" si="72"/>
        <v>3360266.82</v>
      </c>
      <c r="EE25" s="12">
        <f t="shared" si="73"/>
        <v>10200</v>
      </c>
      <c r="EF25" s="199">
        <f t="shared" si="74"/>
        <v>0.00303547323661637</v>
      </c>
      <c r="EG25" s="192"/>
      <c r="EH25" s="192"/>
      <c r="EI25" s="194"/>
      <c r="EJ25" s="194" t="str">
        <f t="shared" si="75"/>
        <v>2026//5/27</v>
      </c>
      <c r="EK25" s="200">
        <v>1229722.9669</v>
      </c>
      <c r="EL25" s="12">
        <f t="shared" si="76"/>
        <v>1230722.9669</v>
      </c>
      <c r="EM25" s="12">
        <f t="shared" si="77"/>
        <v>-1000</v>
      </c>
      <c r="EN25" s="199">
        <f t="shared" si="78"/>
        <v>-0.000812530542530497</v>
      </c>
      <c r="EO25" s="192"/>
      <c r="EP25" s="192"/>
      <c r="EQ25" s="194"/>
      <c r="ER25" s="194" t="str">
        <f t="shared" si="79"/>
        <v>2026//5/27</v>
      </c>
      <c r="ES25" s="203">
        <v>406847.02</v>
      </c>
      <c r="ET25" s="12">
        <f t="shared" si="80"/>
        <v>404297.02</v>
      </c>
      <c r="EU25" s="12">
        <f t="shared" si="81"/>
        <v>2550</v>
      </c>
      <c r="EV25" s="199">
        <f t="shared" si="82"/>
        <v>0.00630724411473525</v>
      </c>
      <c r="EW25" s="192"/>
      <c r="EX25" s="192"/>
      <c r="EY25" s="194"/>
      <c r="EZ25" s="194" t="str">
        <f t="shared" si="83"/>
        <v>2026//5/27</v>
      </c>
      <c r="FA25" s="200">
        <v>606908</v>
      </c>
      <c r="FB25" s="12">
        <f t="shared" si="84"/>
        <v>608908</v>
      </c>
      <c r="FC25" s="12">
        <f t="shared" si="85"/>
        <v>-2000</v>
      </c>
      <c r="FD25" s="199">
        <f t="shared" si="86"/>
        <v>-0.0032845684405526</v>
      </c>
      <c r="FE25" s="192"/>
      <c r="FF25" s="192"/>
      <c r="FG25" s="192"/>
      <c r="FH25" s="194" t="str">
        <f t="shared" si="87"/>
        <v>2026//5/27</v>
      </c>
      <c r="FI25" s="198">
        <v>1176895.3365</v>
      </c>
      <c r="FJ25" s="12">
        <f t="shared" si="88"/>
        <v>1202295.3365</v>
      </c>
      <c r="FK25" s="12">
        <f t="shared" si="89"/>
        <v>-25400</v>
      </c>
      <c r="FL25" s="199">
        <f t="shared" si="90"/>
        <v>-0.0211262567764272</v>
      </c>
      <c r="FM25" s="201"/>
      <c r="FN25" s="201"/>
      <c r="FO25" s="194"/>
      <c r="FP25" s="194" t="str">
        <f t="shared" si="91"/>
        <v>2026//5/27</v>
      </c>
      <c r="FQ25" s="200">
        <v>1696318.73</v>
      </c>
      <c r="FR25" s="12">
        <f t="shared" si="92"/>
        <v>1741318.73</v>
      </c>
      <c r="FS25" s="12">
        <f t="shared" si="93"/>
        <v>-45000</v>
      </c>
      <c r="FT25" s="199">
        <f t="shared" si="94"/>
        <v>-0.0258424831851433</v>
      </c>
      <c r="FU25" s="192"/>
      <c r="FV25" s="192"/>
      <c r="FW25" s="194"/>
      <c r="FX25" s="194" t="str">
        <f t="shared" si="95"/>
        <v>2026//5/27</v>
      </c>
      <c r="FY25" s="200">
        <v>8234382.05</v>
      </c>
      <c r="FZ25" s="12">
        <f t="shared" si="96"/>
        <v>8214782.05</v>
      </c>
      <c r="GA25" s="12">
        <f t="shared" si="97"/>
        <v>19600</v>
      </c>
      <c r="GB25" s="199">
        <f t="shared" si="98"/>
        <v>0.00238594278955946</v>
      </c>
      <c r="GC25" s="192"/>
      <c r="GD25" s="192"/>
      <c r="GE25" s="194"/>
      <c r="GF25" s="194" t="str">
        <f t="shared" si="99"/>
        <v>2026//5/27</v>
      </c>
      <c r="GG25" s="200">
        <v>4871969.49</v>
      </c>
      <c r="GH25" s="12">
        <f t="shared" si="100"/>
        <v>4880569.49</v>
      </c>
      <c r="GI25" s="12">
        <f t="shared" si="101"/>
        <v>-8600</v>
      </c>
      <c r="GJ25" s="199">
        <f t="shared" si="102"/>
        <v>-0.0017620894482951</v>
      </c>
      <c r="GK25" s="192"/>
      <c r="GL25" s="192"/>
      <c r="GM25" s="194"/>
      <c r="GN25" s="194" t="str">
        <f t="shared" si="103"/>
        <v>2026//5/27</v>
      </c>
      <c r="GO25" s="200">
        <v>1877518.1217</v>
      </c>
      <c r="GP25" s="12">
        <f t="shared" si="104"/>
        <v>1901818.1217</v>
      </c>
      <c r="GQ25" s="12">
        <f t="shared" si="105"/>
        <v>-24300</v>
      </c>
      <c r="GR25" s="199">
        <f t="shared" si="106"/>
        <v>-0.01277724705782</v>
      </c>
      <c r="GS25" s="192"/>
      <c r="GT25" s="192"/>
      <c r="GU25" s="194"/>
      <c r="GV25" s="194" t="str">
        <f t="shared" si="107"/>
        <v>2026//5/27</v>
      </c>
      <c r="GW25" s="200">
        <v>794549.4</v>
      </c>
      <c r="GX25" s="12">
        <f t="shared" si="108"/>
        <v>808549.4</v>
      </c>
      <c r="GY25" s="12">
        <f t="shared" si="109"/>
        <v>-14000</v>
      </c>
      <c r="GZ25" s="199">
        <f t="shared" si="110"/>
        <v>-0.01731495935808</v>
      </c>
      <c r="HA25" s="192"/>
      <c r="HB25" s="192"/>
      <c r="HC25" s="194"/>
      <c r="HD25" s="194" t="str">
        <f t="shared" si="111"/>
        <v>2026//5/27</v>
      </c>
      <c r="HE25" s="200">
        <v>1198464.6746</v>
      </c>
      <c r="HF25" s="12">
        <f t="shared" si="112"/>
        <v>1210864.6746</v>
      </c>
      <c r="HG25" s="12">
        <f t="shared" si="113"/>
        <v>-12400</v>
      </c>
      <c r="HH25" s="199">
        <f t="shared" si="114"/>
        <v>-0.0102406158674141</v>
      </c>
      <c r="HI25" s="201"/>
      <c r="HJ25" s="192"/>
      <c r="HK25" s="194"/>
      <c r="HL25" s="194" t="str">
        <f t="shared" si="115"/>
        <v>2026//5/27</v>
      </c>
      <c r="HM25" s="200">
        <v>126704.25</v>
      </c>
      <c r="HN25" s="12">
        <f t="shared" si="116"/>
        <v>127004.25</v>
      </c>
      <c r="HO25" s="12">
        <f t="shared" si="117"/>
        <v>-300</v>
      </c>
      <c r="HP25" s="199">
        <f t="shared" si="118"/>
        <v>-0.00236212567689664</v>
      </c>
      <c r="HQ25" s="192"/>
      <c r="HR25" s="192"/>
      <c r="HS25" s="194"/>
      <c r="HT25" s="194" t="str">
        <f t="shared" si="119"/>
        <v>2026//5/27</v>
      </c>
      <c r="HU25" s="200">
        <v>177568.8265</v>
      </c>
      <c r="HV25" s="12">
        <f t="shared" si="120"/>
        <v>185968.8265</v>
      </c>
      <c r="HW25" s="12">
        <f t="shared" si="121"/>
        <v>-8400</v>
      </c>
      <c r="HX25" s="199">
        <f t="shared" si="122"/>
        <v>-0.0451688605993328</v>
      </c>
      <c r="HY25" s="192"/>
      <c r="HZ25" s="192"/>
      <c r="IA25" s="194"/>
      <c r="IB25" s="194" t="str">
        <f t="shared" si="123"/>
        <v>2026//5/27</v>
      </c>
      <c r="IC25" s="200">
        <v>340309.79</v>
      </c>
      <c r="ID25" s="12">
        <f t="shared" si="124"/>
        <v>342859.79</v>
      </c>
      <c r="IE25" s="12">
        <f t="shared" si="125"/>
        <v>-2550</v>
      </c>
      <c r="IF25" s="199">
        <f t="shared" si="126"/>
        <v>-0.00743744257674544</v>
      </c>
      <c r="IG25" s="201"/>
      <c r="IH25" s="192"/>
      <c r="II25" s="194"/>
      <c r="IJ25" s="194" t="str">
        <f t="shared" si="127"/>
        <v>2026//5/27</v>
      </c>
      <c r="IK25" s="200">
        <v>718796.29</v>
      </c>
      <c r="IL25" s="12">
        <f t="shared" si="128"/>
        <v>709756.29</v>
      </c>
      <c r="IM25" s="12">
        <f t="shared" si="129"/>
        <v>9040</v>
      </c>
      <c r="IN25" s="199">
        <f t="shared" si="130"/>
        <v>0.0127367663060795</v>
      </c>
      <c r="IO25" s="192"/>
      <c r="IP25" s="192"/>
      <c r="IQ25" s="194"/>
      <c r="IR25" s="194" t="str">
        <f t="shared" si="131"/>
        <v>2026//5/27</v>
      </c>
      <c r="IS25" s="200">
        <v>146689</v>
      </c>
      <c r="IT25" s="12">
        <f t="shared" si="132"/>
        <v>141289</v>
      </c>
      <c r="IU25" s="12">
        <f t="shared" si="133"/>
        <v>5400</v>
      </c>
      <c r="IV25" s="199">
        <f t="shared" si="134"/>
        <v>0.0382195358449702</v>
      </c>
      <c r="IW25" s="192"/>
      <c r="IX25" s="192"/>
      <c r="IY25" s="194"/>
      <c r="IZ25" s="194" t="str">
        <f t="shared" si="135"/>
        <v>2026//5/27</v>
      </c>
      <c r="JA25" s="200">
        <v>5213829.15</v>
      </c>
      <c r="JB25" s="12">
        <f t="shared" si="136"/>
        <v>5175229.15</v>
      </c>
      <c r="JC25" s="12">
        <f t="shared" si="137"/>
        <v>38600</v>
      </c>
      <c r="JD25" s="199">
        <f t="shared" si="138"/>
        <v>0.00745860692951152</v>
      </c>
      <c r="JE25" s="192"/>
      <c r="JF25" s="192"/>
      <c r="JG25" s="194"/>
      <c r="JH25" s="194" t="str">
        <f t="shared" si="139"/>
        <v>2026//5/27</v>
      </c>
      <c r="JI25" s="200">
        <v>1362327.99</v>
      </c>
      <c r="JJ25" s="12">
        <f t="shared" si="140"/>
        <v>1349247.99</v>
      </c>
      <c r="JK25" s="12">
        <f t="shared" si="141"/>
        <v>13080</v>
      </c>
      <c r="JL25" s="199">
        <f t="shared" si="142"/>
        <v>0.00969428903874076</v>
      </c>
      <c r="JM25" s="192"/>
      <c r="JN25" s="192"/>
      <c r="JO25" s="192"/>
      <c r="JP25" s="194" t="str">
        <f t="shared" si="143"/>
        <v>2026//5/27</v>
      </c>
      <c r="JQ25" s="200">
        <v>1060290.4148</v>
      </c>
      <c r="JR25" s="12">
        <f t="shared" si="144"/>
        <v>1056590.4148</v>
      </c>
      <c r="JS25" s="12">
        <f t="shared" si="145"/>
        <v>3700</v>
      </c>
      <c r="JT25" s="199">
        <f t="shared" si="146"/>
        <v>0.00350182998839751</v>
      </c>
      <c r="JU25" s="192"/>
      <c r="JV25" s="192"/>
      <c r="JW25" s="201"/>
      <c r="JX25" s="194" t="str">
        <f t="shared" si="147"/>
        <v>2026//5/27</v>
      </c>
      <c r="JY25" s="200">
        <v>1140348.8</v>
      </c>
      <c r="JZ25" s="12">
        <f t="shared" si="148"/>
        <v>1140898.8</v>
      </c>
      <c r="KA25" s="12">
        <f t="shared" si="149"/>
        <v>-550</v>
      </c>
      <c r="KB25" s="199">
        <f t="shared" si="150"/>
        <v>-0.000482076061435072</v>
      </c>
      <c r="KC25" s="192"/>
      <c r="KD25" s="192"/>
      <c r="KE25" s="201"/>
      <c r="KF25" s="194" t="str">
        <f t="shared" si="151"/>
        <v>2026//5/27</v>
      </c>
      <c r="KG25" s="200">
        <v>688555.9219</v>
      </c>
      <c r="KH25" s="12">
        <f t="shared" si="152"/>
        <v>688555.9219</v>
      </c>
      <c r="KI25" s="12">
        <f t="shared" si="153"/>
        <v>0</v>
      </c>
      <c r="KJ25" s="199">
        <f t="shared" si="154"/>
        <v>0</v>
      </c>
      <c r="KK25" s="201"/>
      <c r="KL25" s="201"/>
      <c r="KM25" s="194"/>
      <c r="KN25" s="194" t="str">
        <f t="shared" si="155"/>
        <v>2026//5/27</v>
      </c>
      <c r="KO25" s="200">
        <v>8182575.95</v>
      </c>
      <c r="KP25" s="12">
        <f t="shared" si="156"/>
        <v>8232575.95</v>
      </c>
      <c r="KQ25" s="12">
        <f t="shared" si="157"/>
        <v>-50000</v>
      </c>
      <c r="KR25" s="199">
        <f t="shared" si="158"/>
        <v>-0.00607343318830845</v>
      </c>
      <c r="KS25" s="192"/>
      <c r="KT25" s="192"/>
      <c r="KU25" s="194"/>
      <c r="KV25" s="194" t="str">
        <f t="shared" si="159"/>
        <v>2026//5/27</v>
      </c>
      <c r="KW25" s="200">
        <v>1100472.9726</v>
      </c>
      <c r="KX25" s="12">
        <f t="shared" si="160"/>
        <v>1100672.9726</v>
      </c>
      <c r="KY25" s="12">
        <f t="shared" si="161"/>
        <v>-200</v>
      </c>
      <c r="KZ25" s="199">
        <f t="shared" si="162"/>
        <v>-0.000181707014688988</v>
      </c>
      <c r="LA25" s="201"/>
      <c r="LB25" s="192"/>
      <c r="LC25" s="194"/>
      <c r="LD25" s="194" t="str">
        <f t="shared" si="163"/>
        <v>2026//5/27</v>
      </c>
      <c r="LE25" s="200">
        <v>428607.7</v>
      </c>
      <c r="LF25" s="12">
        <f t="shared" si="164"/>
        <v>433007.7</v>
      </c>
      <c r="LG25" s="12">
        <f t="shared" si="165"/>
        <v>-4400</v>
      </c>
      <c r="LH25" s="199">
        <f t="shared" si="166"/>
        <v>-0.0101614821168307</v>
      </c>
      <c r="LI25" s="192"/>
      <c r="LJ25" s="192"/>
      <c r="LK25" s="194"/>
      <c r="LL25" s="194" t="str">
        <f t="shared" si="167"/>
        <v>2026//5/27</v>
      </c>
      <c r="LM25" s="198">
        <v>3446035.02</v>
      </c>
      <c r="LN25" s="12">
        <f t="shared" si="168"/>
        <v>3461875.02</v>
      </c>
      <c r="LO25" s="12">
        <f t="shared" si="169"/>
        <v>-15840</v>
      </c>
      <c r="LP25" s="199">
        <f t="shared" si="170"/>
        <v>-0.00457555512792602</v>
      </c>
      <c r="LQ25" s="192"/>
      <c r="LR25" s="192"/>
      <c r="LS25" s="194"/>
      <c r="LT25" s="194" t="str">
        <f t="shared" si="171"/>
        <v>2026//5/27</v>
      </c>
      <c r="LU25" s="200">
        <v>2395062.904</v>
      </c>
      <c r="LV25" s="12">
        <f t="shared" si="172"/>
        <v>2440862.904</v>
      </c>
      <c r="LW25" s="12">
        <f t="shared" si="173"/>
        <v>-45800</v>
      </c>
      <c r="LX25" s="199">
        <f t="shared" si="174"/>
        <v>-0.0187638559809912</v>
      </c>
      <c r="LY25" s="192"/>
      <c r="LZ25" s="192"/>
      <c r="MA25" s="194"/>
      <c r="MB25" s="194" t="str">
        <f t="shared" si="175"/>
        <v>2026//5/27</v>
      </c>
      <c r="MC25" s="200">
        <v>907217.69</v>
      </c>
      <c r="MD25" s="12">
        <f t="shared" si="176"/>
        <v>907467.69</v>
      </c>
      <c r="ME25" s="12">
        <f t="shared" si="177"/>
        <v>-250</v>
      </c>
      <c r="MF25" s="199">
        <f t="shared" si="178"/>
        <v>-0.000275491902086343</v>
      </c>
      <c r="MG25" s="192"/>
      <c r="MH25" s="192"/>
      <c r="MK25" s="194" t="str">
        <f t="shared" si="179"/>
        <v>2026//5/27</v>
      </c>
      <c r="ML25" s="203">
        <v>170985.5354</v>
      </c>
      <c r="MM25" s="12">
        <f t="shared" si="180"/>
        <v>172665.5354</v>
      </c>
      <c r="MN25" s="12">
        <f t="shared" si="181"/>
        <v>-1680</v>
      </c>
      <c r="MO25" s="199">
        <f t="shared" si="182"/>
        <v>-0.00972979347678205</v>
      </c>
      <c r="MP25" s="192"/>
      <c r="MQ25" s="201"/>
      <c r="MR25" s="201"/>
      <c r="MT25" s="194" t="str">
        <f t="shared" si="183"/>
        <v>2026//5/27</v>
      </c>
      <c r="MU25" s="203">
        <v>156514.8</v>
      </c>
      <c r="MV25" s="204">
        <f t="shared" si="184"/>
        <v>160414.8</v>
      </c>
      <c r="MW25" s="8">
        <f t="shared" si="185"/>
        <v>-3900</v>
      </c>
      <c r="MX25" s="192">
        <f t="shared" si="186"/>
        <v>-0.0243119712146261</v>
      </c>
      <c r="MY25" s="192"/>
      <c r="MZ25" s="192"/>
      <c r="NA25" s="192"/>
      <c r="NC25" s="194" t="str">
        <f t="shared" si="187"/>
        <v>2026//5/27</v>
      </c>
      <c r="ND25" s="203">
        <v>41291.48</v>
      </c>
      <c r="NE25" s="204">
        <f t="shared" si="188"/>
        <v>41491.48</v>
      </c>
      <c r="NF25" s="8">
        <f t="shared" si="189"/>
        <v>-200</v>
      </c>
      <c r="NG25" s="192">
        <f t="shared" si="190"/>
        <v>-0.00482026671499787</v>
      </c>
      <c r="NH25" s="192"/>
      <c r="NI25" s="192"/>
      <c r="NJ25" s="192"/>
      <c r="NK25" s="192"/>
      <c r="NM25" s="194" t="str">
        <f t="shared" si="191"/>
        <v>2026//5/27</v>
      </c>
      <c r="NN25" s="203">
        <v>2766711.08</v>
      </c>
      <c r="NO25" s="8">
        <f t="shared" si="192"/>
        <v>2738511.08</v>
      </c>
      <c r="NP25" s="8">
        <f t="shared" si="193"/>
        <v>28200</v>
      </c>
      <c r="NQ25" s="192">
        <f t="shared" si="194"/>
        <v>0.0102975665155972</v>
      </c>
      <c r="NR25" s="192"/>
      <c r="NT25" s="194"/>
      <c r="NU25" s="194" t="str">
        <f t="shared" si="195"/>
        <v>2026//5/27</v>
      </c>
      <c r="NV25" s="203">
        <v>267676.5</v>
      </c>
      <c r="NW25" s="205">
        <f t="shared" si="196"/>
        <v>259226.5</v>
      </c>
      <c r="NX25" s="8">
        <f t="shared" si="197"/>
        <v>8450</v>
      </c>
      <c r="NY25" s="192">
        <f t="shared" si="198"/>
        <v>0.0325969760036107</v>
      </c>
      <c r="NZ25" s="201"/>
      <c r="OA25" s="200"/>
      <c r="OB25" s="194"/>
      <c r="OC25" s="194" t="str">
        <f t="shared" si="199"/>
        <v>2026//5/27</v>
      </c>
      <c r="OD25" s="200">
        <v>15815.97</v>
      </c>
      <c r="OE25" s="12">
        <f t="shared" si="200"/>
        <v>15649.97</v>
      </c>
      <c r="OF25" s="12">
        <f t="shared" si="201"/>
        <v>166</v>
      </c>
      <c r="OG25" s="199">
        <f t="shared" si="202"/>
        <v>0.0106070490869951</v>
      </c>
      <c r="OH25" s="192"/>
      <c r="OI25" s="192"/>
      <c r="OJ25" s="194"/>
      <c r="OK25" s="194" t="str">
        <f t="shared" si="203"/>
        <v>2026//5/27</v>
      </c>
      <c r="OL25" s="200">
        <v>14419.65</v>
      </c>
      <c r="OM25" s="12">
        <f t="shared" si="204"/>
        <v>14422.65</v>
      </c>
      <c r="ON25" s="12">
        <f t="shared" si="205"/>
        <v>-3</v>
      </c>
      <c r="OO25" s="199">
        <f t="shared" si="206"/>
        <v>-0.000208006156982247</v>
      </c>
      <c r="OP25" s="192"/>
      <c r="OQ25" s="192"/>
      <c r="OT25" s="26" t="str">
        <f t="shared" si="207"/>
        <v>2026//5/27</v>
      </c>
      <c r="OU25">
        <v>148152.4066</v>
      </c>
      <c r="OV25" s="8">
        <f t="shared" si="208"/>
        <v>148032.4066</v>
      </c>
      <c r="OW25" s="191">
        <f t="shared" si="209"/>
        <v>120</v>
      </c>
      <c r="OX25" s="192">
        <f t="shared" si="210"/>
        <v>0.000810633311692712</v>
      </c>
      <c r="OY25" s="192">
        <f>(OU25-OU30)/OU30</f>
        <v>0.00406635183949619</v>
      </c>
    </row>
    <row r="26" s="8" customFormat="1" ht="17" customHeight="1" spans="1:415">
      <c r="A26" s="15"/>
      <c r="B26" s="15"/>
      <c r="C26" s="15" t="s">
        <v>452</v>
      </c>
      <c r="D26" s="138">
        <v>2802828.77</v>
      </c>
      <c r="E26" s="19">
        <f t="shared" si="8"/>
        <v>2845848.77</v>
      </c>
      <c r="F26" s="19">
        <f t="shared" si="9"/>
        <v>-43020</v>
      </c>
      <c r="G26" s="172">
        <f t="shared" si="10"/>
        <v>-0.015116755483813</v>
      </c>
      <c r="H26" s="18"/>
      <c r="I26" s="122"/>
      <c r="J26" s="122"/>
      <c r="K26" s="125" t="str">
        <f t="shared" si="11"/>
        <v>2026//5/26</v>
      </c>
      <c r="L26" s="125">
        <v>2232064.4</v>
      </c>
      <c r="M26" s="125">
        <f t="shared" si="12"/>
        <v>2296594.4</v>
      </c>
      <c r="N26" s="125">
        <f t="shared" si="13"/>
        <v>-64530</v>
      </c>
      <c r="O26" s="122">
        <f t="shared" si="14"/>
        <v>-0.0280981265128923</v>
      </c>
      <c r="P26" s="18"/>
      <c r="Q26" s="122"/>
      <c r="R26" s="125"/>
      <c r="S26" s="125" t="str">
        <f t="shared" si="15"/>
        <v>2026//5/26</v>
      </c>
      <c r="T26" s="125">
        <v>832566.68</v>
      </c>
      <c r="U26" s="125">
        <f t="shared" si="16"/>
        <v>857946.68</v>
      </c>
      <c r="V26" s="125">
        <f t="shared" si="17"/>
        <v>-25380</v>
      </c>
      <c r="W26" s="122">
        <f t="shared" si="18"/>
        <v>-0.0295822579557042</v>
      </c>
      <c r="X26" s="18"/>
      <c r="Y26" s="122"/>
      <c r="Z26" s="125"/>
      <c r="AA26" s="125" t="str">
        <f t="shared" si="19"/>
        <v>2026//5/26</v>
      </c>
      <c r="AB26" s="125">
        <v>434376.86</v>
      </c>
      <c r="AC26" s="125">
        <f t="shared" si="20"/>
        <v>435816.86</v>
      </c>
      <c r="AD26" s="125">
        <f t="shared" si="21"/>
        <v>-1440</v>
      </c>
      <c r="AE26" s="122">
        <f t="shared" si="22"/>
        <v>-0.00330414018402133</v>
      </c>
      <c r="AF26" s="18"/>
      <c r="AG26" s="122"/>
      <c r="AH26" s="125"/>
      <c r="AI26" s="125" t="str">
        <f t="shared" si="23"/>
        <v>2026//5/26</v>
      </c>
      <c r="AJ26" s="125">
        <v>311321.76</v>
      </c>
      <c r="AK26" s="125">
        <f t="shared" si="24"/>
        <v>300921.76</v>
      </c>
      <c r="AL26" s="125">
        <f t="shared" si="25"/>
        <v>10400</v>
      </c>
      <c r="AM26" s="122">
        <f t="shared" si="26"/>
        <v>0.0345604784446296</v>
      </c>
      <c r="AN26" s="18"/>
      <c r="AO26" s="18"/>
      <c r="AP26" s="125"/>
      <c r="AQ26" s="125" t="str">
        <f t="shared" si="27"/>
        <v>2026//5/26</v>
      </c>
      <c r="AR26" s="145">
        <v>1094545.4936</v>
      </c>
      <c r="AS26" s="125">
        <f t="shared" si="28"/>
        <v>1112645.4936</v>
      </c>
      <c r="AT26" s="125">
        <f t="shared" si="29"/>
        <v>-18100</v>
      </c>
      <c r="AU26" s="122">
        <f t="shared" si="30"/>
        <v>-0.0162675354406343</v>
      </c>
      <c r="AV26" s="18"/>
      <c r="AW26" s="18"/>
      <c r="AX26" s="17"/>
      <c r="AY26" s="138"/>
      <c r="AZ26" s="125" t="str">
        <f t="shared" si="31"/>
        <v>2026//5/26</v>
      </c>
      <c r="BA26" s="125">
        <v>1280451.6676</v>
      </c>
      <c r="BB26" s="138">
        <f t="shared" si="32"/>
        <v>1300251.6676</v>
      </c>
      <c r="BC26" s="125">
        <f t="shared" si="33"/>
        <v>-19800</v>
      </c>
      <c r="BD26" s="122">
        <f t="shared" si="34"/>
        <v>-0.0152278212698214</v>
      </c>
      <c r="BE26" s="18"/>
      <c r="BF26" s="18"/>
      <c r="BG26" s="74"/>
      <c r="BH26" s="194" t="str">
        <f t="shared" si="35"/>
        <v>2026//5/26</v>
      </c>
      <c r="BI26" s="194">
        <v>1479226.5525</v>
      </c>
      <c r="BJ26" s="195">
        <f t="shared" si="36"/>
        <v>1484926.5525</v>
      </c>
      <c r="BK26" s="195">
        <f t="shared" si="37"/>
        <v>-5700</v>
      </c>
      <c r="BL26" s="196">
        <f t="shared" si="38"/>
        <v>-0.00383857369268774</v>
      </c>
      <c r="BM26" s="197"/>
      <c r="BN26" s="192"/>
      <c r="BO26" s="194"/>
      <c r="BP26" s="194" t="str">
        <f t="shared" si="39"/>
        <v>2026//5/26</v>
      </c>
      <c r="BQ26" s="198">
        <v>1099362.3921</v>
      </c>
      <c r="BR26" s="12">
        <f t="shared" si="40"/>
        <v>1099262.3921</v>
      </c>
      <c r="BS26" s="12">
        <f t="shared" si="41"/>
        <v>100</v>
      </c>
      <c r="BT26" s="199">
        <f t="shared" si="42"/>
        <v>9.09700911435374e-5</v>
      </c>
      <c r="BU26" s="192"/>
      <c r="BV26" s="192"/>
      <c r="BW26" s="194"/>
      <c r="BX26" s="194" t="str">
        <f t="shared" si="43"/>
        <v>2026//5/26</v>
      </c>
      <c r="BY26" s="200">
        <v>2329310.7019</v>
      </c>
      <c r="BZ26" s="12">
        <f t="shared" si="44"/>
        <v>2354360.7019</v>
      </c>
      <c r="CA26" s="12">
        <f t="shared" si="45"/>
        <v>-25050</v>
      </c>
      <c r="CB26" s="199">
        <f t="shared" si="46"/>
        <v>-0.0106398310079608</v>
      </c>
      <c r="CC26" s="192"/>
      <c r="CD26" s="201"/>
      <c r="CE26" s="194"/>
      <c r="CF26" s="194" t="str">
        <f t="shared" si="47"/>
        <v>2026//5/26</v>
      </c>
      <c r="CG26" s="200">
        <v>1316553.9</v>
      </c>
      <c r="CH26" s="12">
        <f t="shared" si="48"/>
        <v>1302503.9</v>
      </c>
      <c r="CI26" s="12">
        <f t="shared" si="49"/>
        <v>14050</v>
      </c>
      <c r="CJ26" s="199">
        <f t="shared" si="50"/>
        <v>0.0107869158779486</v>
      </c>
      <c r="CK26" s="192"/>
      <c r="CL26" s="201"/>
      <c r="CM26" s="194"/>
      <c r="CN26" s="194" t="str">
        <f t="shared" si="51"/>
        <v>2026//5/26</v>
      </c>
      <c r="CO26" s="200">
        <v>575846.48</v>
      </c>
      <c r="CP26" s="12">
        <f t="shared" si="52"/>
        <v>585146.48</v>
      </c>
      <c r="CQ26" s="12">
        <f t="shared" si="53"/>
        <v>-9300</v>
      </c>
      <c r="CR26" s="199">
        <f t="shared" si="54"/>
        <v>-0.0158934562846554</v>
      </c>
      <c r="CS26" s="201"/>
      <c r="CT26" s="201"/>
      <c r="CU26" s="194"/>
      <c r="CV26" s="194" t="str">
        <f t="shared" si="55"/>
        <v>2026//5/26</v>
      </c>
      <c r="CW26" s="200">
        <v>582390.4</v>
      </c>
      <c r="CX26" s="12">
        <f t="shared" si="56"/>
        <v>584240.4</v>
      </c>
      <c r="CY26" s="12">
        <f t="shared" si="57"/>
        <v>-1850</v>
      </c>
      <c r="CZ26" s="199">
        <f t="shared" si="58"/>
        <v>-0.00316650474701852</v>
      </c>
      <c r="DA26" s="192"/>
      <c r="DB26" s="192"/>
      <c r="DC26" s="202"/>
      <c r="DD26" s="194" t="str">
        <f t="shared" si="59"/>
        <v>2026//5/26</v>
      </c>
      <c r="DE26" s="200">
        <v>2157317.9986</v>
      </c>
      <c r="DF26" s="12">
        <f t="shared" si="60"/>
        <v>2049517.9986</v>
      </c>
      <c r="DG26" s="12">
        <f t="shared" si="61"/>
        <v>107800</v>
      </c>
      <c r="DH26" s="199">
        <f t="shared" si="62"/>
        <v>0.0525977327711378</v>
      </c>
      <c r="DI26" s="192"/>
      <c r="DJ26" s="192"/>
      <c r="DK26" s="194"/>
      <c r="DL26" s="194" t="str">
        <f t="shared" si="63"/>
        <v>2026//5/26</v>
      </c>
      <c r="DM26" s="200">
        <v>887100.36</v>
      </c>
      <c r="DN26" s="12">
        <f t="shared" si="64"/>
        <v>849500.36</v>
      </c>
      <c r="DO26" s="12">
        <f t="shared" si="65"/>
        <v>37600</v>
      </c>
      <c r="DP26" s="199">
        <f t="shared" si="66"/>
        <v>0.0442613114372312</v>
      </c>
      <c r="DQ26" s="192"/>
      <c r="DR26" s="192"/>
      <c r="DS26" s="194"/>
      <c r="DT26" s="194" t="str">
        <f t="shared" si="67"/>
        <v>2026//5/26</v>
      </c>
      <c r="DU26" s="200">
        <v>1300589.48</v>
      </c>
      <c r="DV26" s="12">
        <f t="shared" si="68"/>
        <v>1244789.48</v>
      </c>
      <c r="DW26" s="12">
        <f t="shared" si="69"/>
        <v>55800</v>
      </c>
      <c r="DX26" s="199">
        <f t="shared" si="70"/>
        <v>0.0448268569878981</v>
      </c>
      <c r="DY26" s="192"/>
      <c r="DZ26" s="192"/>
      <c r="EA26" s="194"/>
      <c r="EB26" s="194" t="str">
        <f t="shared" si="71"/>
        <v>2026//5/26</v>
      </c>
      <c r="EC26" s="200">
        <v>3360266.82</v>
      </c>
      <c r="ED26" s="12">
        <f t="shared" si="72"/>
        <v>3323066.82</v>
      </c>
      <c r="EE26" s="12">
        <f t="shared" si="73"/>
        <v>37200</v>
      </c>
      <c r="EF26" s="199">
        <f t="shared" si="74"/>
        <v>0.0111944784787686</v>
      </c>
      <c r="EG26" s="192"/>
      <c r="EH26" s="192"/>
      <c r="EI26" s="194"/>
      <c r="EJ26" s="194" t="str">
        <f t="shared" si="75"/>
        <v>2026//5/26</v>
      </c>
      <c r="EK26" s="200">
        <v>1230722.9669</v>
      </c>
      <c r="EL26" s="12">
        <f t="shared" si="76"/>
        <v>1223522.9669</v>
      </c>
      <c r="EM26" s="12">
        <f t="shared" si="77"/>
        <v>7200</v>
      </c>
      <c r="EN26" s="199">
        <f t="shared" si="78"/>
        <v>0.00588464638162241</v>
      </c>
      <c r="EO26" s="192"/>
      <c r="EP26" s="192"/>
      <c r="EQ26" s="194"/>
      <c r="ER26" s="194" t="str">
        <f t="shared" si="79"/>
        <v>2026//5/26</v>
      </c>
      <c r="ES26">
        <v>404297.02</v>
      </c>
      <c r="ET26" s="12">
        <f t="shared" si="80"/>
        <v>403097.02</v>
      </c>
      <c r="EU26" s="12">
        <f t="shared" si="81"/>
        <v>1200</v>
      </c>
      <c r="EV26" s="199">
        <f t="shared" si="82"/>
        <v>0.00297695080950983</v>
      </c>
      <c r="EW26" s="192"/>
      <c r="EX26" s="192"/>
      <c r="EY26" s="194"/>
      <c r="EZ26" s="194" t="str">
        <f t="shared" si="83"/>
        <v>2026//5/26</v>
      </c>
      <c r="FA26" s="200">
        <v>608908</v>
      </c>
      <c r="FB26" s="12">
        <f t="shared" si="84"/>
        <v>613808</v>
      </c>
      <c r="FC26" s="12">
        <f t="shared" si="85"/>
        <v>-4900</v>
      </c>
      <c r="FD26" s="199">
        <f t="shared" si="86"/>
        <v>-0.00798295232385371</v>
      </c>
      <c r="FE26" s="192"/>
      <c r="FF26" s="192"/>
      <c r="FG26" s="192"/>
      <c r="FH26" s="194" t="str">
        <f t="shared" si="87"/>
        <v>2026//5/26</v>
      </c>
      <c r="FI26" s="198">
        <v>1202295.3365</v>
      </c>
      <c r="FJ26" s="12">
        <f t="shared" si="88"/>
        <v>1212295.3365</v>
      </c>
      <c r="FK26" s="12">
        <f t="shared" si="89"/>
        <v>-10000</v>
      </c>
      <c r="FL26" s="199">
        <f t="shared" si="90"/>
        <v>-0.00824881503617002</v>
      </c>
      <c r="FM26" s="201"/>
      <c r="FN26" s="201"/>
      <c r="FO26" s="194"/>
      <c r="FP26" s="194" t="str">
        <f t="shared" si="91"/>
        <v>2026//5/26</v>
      </c>
      <c r="FQ26" s="200">
        <v>1741318.73</v>
      </c>
      <c r="FR26" s="12">
        <f t="shared" si="92"/>
        <v>1742968.73</v>
      </c>
      <c r="FS26" s="12">
        <f t="shared" si="93"/>
        <v>-1650</v>
      </c>
      <c r="FT26" s="199">
        <f t="shared" si="94"/>
        <v>-0.000946660701136044</v>
      </c>
      <c r="FU26" s="192"/>
      <c r="FV26" s="192"/>
      <c r="FW26" s="194"/>
      <c r="FX26" s="194" t="str">
        <f t="shared" si="95"/>
        <v>2026//5/26</v>
      </c>
      <c r="FY26" s="200">
        <v>8214782.05</v>
      </c>
      <c r="FZ26" s="12">
        <f t="shared" si="96"/>
        <v>8210982.05</v>
      </c>
      <c r="GA26" s="12">
        <f t="shared" si="97"/>
        <v>3800</v>
      </c>
      <c r="GB26" s="199">
        <f t="shared" si="98"/>
        <v>0.00046279482488943</v>
      </c>
      <c r="GC26" s="192"/>
      <c r="GD26" s="192"/>
      <c r="GE26" s="194"/>
      <c r="GF26" s="194" t="str">
        <f t="shared" si="99"/>
        <v>2026//5/26</v>
      </c>
      <c r="GG26" s="200">
        <v>4880569.49</v>
      </c>
      <c r="GH26" s="12">
        <f t="shared" si="100"/>
        <v>4879169.49</v>
      </c>
      <c r="GI26" s="12">
        <f t="shared" si="101"/>
        <v>1400</v>
      </c>
      <c r="GJ26" s="199">
        <f t="shared" si="102"/>
        <v>0.000286934078201083</v>
      </c>
      <c r="GK26" s="192"/>
      <c r="GL26" s="192"/>
      <c r="GM26" s="194"/>
      <c r="GN26" s="194" t="str">
        <f t="shared" si="103"/>
        <v>2026//5/26</v>
      </c>
      <c r="GO26" s="200">
        <v>1901818.1217</v>
      </c>
      <c r="GP26" s="12">
        <f t="shared" si="104"/>
        <v>1904578.1217</v>
      </c>
      <c r="GQ26" s="12">
        <f t="shared" si="105"/>
        <v>-2760</v>
      </c>
      <c r="GR26" s="199">
        <f t="shared" si="106"/>
        <v>-0.00144913982186063</v>
      </c>
      <c r="GS26" s="192"/>
      <c r="GT26" s="192"/>
      <c r="GU26" s="194"/>
      <c r="GV26" s="194" t="str">
        <f t="shared" si="107"/>
        <v>2026//5/26</v>
      </c>
      <c r="GW26" s="200">
        <v>808549.4</v>
      </c>
      <c r="GX26" s="12">
        <f t="shared" si="108"/>
        <v>812349.4</v>
      </c>
      <c r="GY26" s="12">
        <f t="shared" si="109"/>
        <v>-3800</v>
      </c>
      <c r="GZ26" s="199">
        <f t="shared" si="110"/>
        <v>-0.00467779012331393</v>
      </c>
      <c r="HA26" s="192"/>
      <c r="HB26" s="192"/>
      <c r="HC26" s="194"/>
      <c r="HD26" s="194" t="str">
        <f t="shared" si="111"/>
        <v>2026//5/26</v>
      </c>
      <c r="HE26" s="200">
        <v>1210864.6746</v>
      </c>
      <c r="HF26" s="12">
        <f t="shared" si="112"/>
        <v>1221164.6746</v>
      </c>
      <c r="HG26" s="12">
        <f t="shared" si="113"/>
        <v>-10300</v>
      </c>
      <c r="HH26" s="199">
        <f t="shared" si="114"/>
        <v>-0.00843457087667053</v>
      </c>
      <c r="HI26" s="201"/>
      <c r="HJ26" s="192"/>
      <c r="HK26" s="194"/>
      <c r="HL26" s="194" t="str">
        <f t="shared" si="115"/>
        <v>2026//5/26</v>
      </c>
      <c r="HM26" s="200">
        <v>127004.25</v>
      </c>
      <c r="HN26" s="12">
        <f t="shared" si="116"/>
        <v>127404.25</v>
      </c>
      <c r="HO26" s="12">
        <f t="shared" si="117"/>
        <v>-400</v>
      </c>
      <c r="HP26" s="199">
        <f t="shared" si="118"/>
        <v>-0.00313961268952959</v>
      </c>
      <c r="HQ26" s="192"/>
      <c r="HR26" s="192"/>
      <c r="HS26" s="194"/>
      <c r="HT26" s="194" t="str">
        <f t="shared" si="119"/>
        <v>2026//5/26</v>
      </c>
      <c r="HU26" s="200">
        <v>185968.8265</v>
      </c>
      <c r="HV26" s="12">
        <f t="shared" si="120"/>
        <v>186068.8265</v>
      </c>
      <c r="HW26" s="12">
        <f t="shared" si="121"/>
        <v>-100</v>
      </c>
      <c r="HX26" s="199">
        <f t="shared" si="122"/>
        <v>-0.000537435538671493</v>
      </c>
      <c r="HY26" s="192"/>
      <c r="HZ26" s="192"/>
      <c r="IA26" s="194"/>
      <c r="IB26" s="194" t="str">
        <f t="shared" si="123"/>
        <v>2026//5/26</v>
      </c>
      <c r="IC26" s="200">
        <v>342859.79</v>
      </c>
      <c r="ID26" s="12">
        <f t="shared" si="124"/>
        <v>343409.79</v>
      </c>
      <c r="IE26" s="12">
        <f t="shared" si="125"/>
        <v>-550</v>
      </c>
      <c r="IF26" s="199">
        <f t="shared" si="126"/>
        <v>-0.00160158509167721</v>
      </c>
      <c r="IG26" s="201"/>
      <c r="IH26" s="192"/>
      <c r="II26" s="194"/>
      <c r="IJ26" s="194" t="str">
        <f t="shared" si="127"/>
        <v>2026//5/26</v>
      </c>
      <c r="IK26" s="200">
        <v>709756.29</v>
      </c>
      <c r="IL26" s="12">
        <f t="shared" si="128"/>
        <v>703516.29</v>
      </c>
      <c r="IM26" s="12">
        <f t="shared" si="129"/>
        <v>6240</v>
      </c>
      <c r="IN26" s="199">
        <f t="shared" si="130"/>
        <v>0.00886973064973378</v>
      </c>
      <c r="IO26" s="192"/>
      <c r="IP26" s="192"/>
      <c r="IQ26" s="194"/>
      <c r="IR26" s="194" t="str">
        <f t="shared" si="131"/>
        <v>2026//5/26</v>
      </c>
      <c r="IS26" s="200">
        <v>141289</v>
      </c>
      <c r="IT26" s="12">
        <f t="shared" si="132"/>
        <v>141889</v>
      </c>
      <c r="IU26" s="12">
        <f t="shared" si="133"/>
        <v>-600</v>
      </c>
      <c r="IV26" s="199">
        <f t="shared" si="134"/>
        <v>-0.00422865761264087</v>
      </c>
      <c r="IW26" s="192"/>
      <c r="IX26" s="192"/>
      <c r="IY26" s="194"/>
      <c r="IZ26" s="194" t="str">
        <f t="shared" si="135"/>
        <v>2026//5/26</v>
      </c>
      <c r="JA26" s="200">
        <v>5175229.15</v>
      </c>
      <c r="JB26" s="12">
        <f t="shared" si="136"/>
        <v>5227129.15</v>
      </c>
      <c r="JC26" s="12">
        <f t="shared" si="137"/>
        <v>-51900</v>
      </c>
      <c r="JD26" s="199">
        <f t="shared" si="138"/>
        <v>-0.00992896837071646</v>
      </c>
      <c r="JE26" s="192"/>
      <c r="JF26" s="192"/>
      <c r="JG26" s="194"/>
      <c r="JH26" s="194" t="str">
        <f t="shared" si="139"/>
        <v>2026//5/26</v>
      </c>
      <c r="JI26" s="200">
        <v>1349247.99</v>
      </c>
      <c r="JJ26" s="12">
        <f t="shared" si="140"/>
        <v>1345467.99</v>
      </c>
      <c r="JK26" s="12">
        <f t="shared" si="141"/>
        <v>3780</v>
      </c>
      <c r="JL26" s="199">
        <f t="shared" si="142"/>
        <v>0.00280943138602651</v>
      </c>
      <c r="JM26" s="192"/>
      <c r="JN26" s="192"/>
      <c r="JO26" s="192"/>
      <c r="JP26" s="194" t="str">
        <f t="shared" si="143"/>
        <v>2026//5/26</v>
      </c>
      <c r="JQ26" s="200">
        <v>1056590.4148</v>
      </c>
      <c r="JR26" s="12">
        <f t="shared" si="144"/>
        <v>1047790.4148</v>
      </c>
      <c r="JS26" s="12">
        <f t="shared" si="145"/>
        <v>8799.99999999988</v>
      </c>
      <c r="JT26" s="199">
        <f t="shared" si="146"/>
        <v>0.00839862617151313</v>
      </c>
      <c r="JU26" s="192"/>
      <c r="JV26" s="192"/>
      <c r="JW26" s="201"/>
      <c r="JX26" s="194" t="str">
        <f t="shared" si="147"/>
        <v>2026//5/26</v>
      </c>
      <c r="JY26" s="200">
        <v>1140898.8</v>
      </c>
      <c r="JZ26" s="12">
        <f t="shared" si="148"/>
        <v>1151898.8</v>
      </c>
      <c r="KA26" s="12">
        <f t="shared" si="149"/>
        <v>-11000</v>
      </c>
      <c r="KB26" s="199">
        <f t="shared" si="150"/>
        <v>-0.00954945000376769</v>
      </c>
      <c r="KC26" s="192"/>
      <c r="KD26" s="192"/>
      <c r="KE26" s="201"/>
      <c r="KF26" s="194" t="str">
        <f t="shared" si="151"/>
        <v>2026//5/26</v>
      </c>
      <c r="KG26" s="200">
        <v>688555.9219</v>
      </c>
      <c r="KH26" s="12">
        <f t="shared" si="152"/>
        <v>694955.9219</v>
      </c>
      <c r="KI26" s="12">
        <f t="shared" si="153"/>
        <v>-6400</v>
      </c>
      <c r="KJ26" s="199">
        <f t="shared" si="154"/>
        <v>-0.00920921715797815</v>
      </c>
      <c r="KK26" s="201"/>
      <c r="KL26" s="201"/>
      <c r="KM26" s="194"/>
      <c r="KN26" s="194" t="str">
        <f t="shared" si="155"/>
        <v>2026//5/26</v>
      </c>
      <c r="KO26" s="200">
        <v>8232575.95</v>
      </c>
      <c r="KP26" s="12">
        <f t="shared" si="156"/>
        <v>8282575.95</v>
      </c>
      <c r="KQ26" s="12">
        <f t="shared" si="157"/>
        <v>-50000</v>
      </c>
      <c r="KR26" s="199">
        <f t="shared" si="158"/>
        <v>-0.0060367692734529</v>
      </c>
      <c r="KS26" s="192"/>
      <c r="KT26" s="192"/>
      <c r="KU26" s="194"/>
      <c r="KV26" s="194" t="str">
        <f t="shared" si="159"/>
        <v>2026//5/26</v>
      </c>
      <c r="KW26" s="200">
        <v>1100672.9726</v>
      </c>
      <c r="KX26" s="12">
        <f t="shared" si="160"/>
        <v>1100672.9726</v>
      </c>
      <c r="KY26" s="12">
        <f t="shared" si="161"/>
        <v>0</v>
      </c>
      <c r="KZ26" s="199">
        <f t="shared" si="162"/>
        <v>0</v>
      </c>
      <c r="LA26" s="201"/>
      <c r="LB26" s="192"/>
      <c r="LC26" s="194"/>
      <c r="LD26" s="194" t="str">
        <f t="shared" si="163"/>
        <v>2026//5/26</v>
      </c>
      <c r="LE26" s="200">
        <v>433007.7</v>
      </c>
      <c r="LF26" s="12">
        <f t="shared" si="164"/>
        <v>441057.7</v>
      </c>
      <c r="LG26" s="12">
        <f t="shared" si="165"/>
        <v>-8050</v>
      </c>
      <c r="LH26" s="199">
        <f t="shared" si="166"/>
        <v>-0.0182515802354204</v>
      </c>
      <c r="LI26" s="192"/>
      <c r="LJ26" s="192"/>
      <c r="LK26" s="194"/>
      <c r="LL26" s="194" t="str">
        <f t="shared" si="167"/>
        <v>2026//5/26</v>
      </c>
      <c r="LM26" s="198">
        <v>3461875.02</v>
      </c>
      <c r="LN26" s="12">
        <f t="shared" si="168"/>
        <v>3467275.02</v>
      </c>
      <c r="LO26" s="12">
        <f t="shared" si="169"/>
        <v>-5400</v>
      </c>
      <c r="LP26" s="199">
        <f t="shared" si="170"/>
        <v>-0.00155741900162278</v>
      </c>
      <c r="LQ26" s="192"/>
      <c r="LR26" s="192"/>
      <c r="LS26" s="194"/>
      <c r="LT26" s="194" t="str">
        <f t="shared" si="171"/>
        <v>2026//5/26</v>
      </c>
      <c r="LU26" s="200">
        <v>2440862.904</v>
      </c>
      <c r="LV26" s="12">
        <f t="shared" si="172"/>
        <v>2441062.904</v>
      </c>
      <c r="LW26" s="12">
        <f t="shared" si="173"/>
        <v>-200</v>
      </c>
      <c r="LX26" s="199">
        <f t="shared" si="174"/>
        <v>-8.19315224004567e-5</v>
      </c>
      <c r="LY26" s="192"/>
      <c r="LZ26" s="192"/>
      <c r="MA26" s="194"/>
      <c r="MB26" s="194" t="str">
        <f t="shared" si="175"/>
        <v>2026//5/26</v>
      </c>
      <c r="MC26" s="200">
        <v>907467.69</v>
      </c>
      <c r="MD26" s="12">
        <f t="shared" si="176"/>
        <v>926817.69</v>
      </c>
      <c r="ME26" s="12">
        <f t="shared" si="177"/>
        <v>-19350</v>
      </c>
      <c r="MF26" s="199">
        <f t="shared" si="178"/>
        <v>-0.020877892393271</v>
      </c>
      <c r="MG26" s="192"/>
      <c r="MH26" s="192"/>
      <c r="MI26" s="8"/>
      <c r="MJ26" s="8"/>
      <c r="MK26" s="194" t="str">
        <f t="shared" si="179"/>
        <v>2026//5/26</v>
      </c>
      <c r="ML26">
        <v>172665.5354</v>
      </c>
      <c r="MM26" s="12">
        <f t="shared" si="180"/>
        <v>175545.5354</v>
      </c>
      <c r="MN26" s="12">
        <f t="shared" si="181"/>
        <v>-2880</v>
      </c>
      <c r="MO26" s="199">
        <f t="shared" si="182"/>
        <v>-0.016405999693684</v>
      </c>
      <c r="MP26" s="192"/>
      <c r="MQ26" s="201"/>
      <c r="MR26" s="201"/>
      <c r="MT26" s="194" t="str">
        <f t="shared" si="183"/>
        <v>2026//5/26</v>
      </c>
      <c r="MU26">
        <v>160414.8</v>
      </c>
      <c r="MV26" s="204">
        <f t="shared" si="184"/>
        <v>162914.8</v>
      </c>
      <c r="MW26" s="8">
        <f t="shared" si="185"/>
        <v>-2500</v>
      </c>
      <c r="MX26" s="192">
        <f t="shared" si="186"/>
        <v>-0.0153454443672398</v>
      </c>
      <c r="MY26" s="192"/>
      <c r="MZ26" s="192"/>
      <c r="NA26" s="192"/>
      <c r="NC26" s="194" t="str">
        <f t="shared" si="187"/>
        <v>2026//5/26</v>
      </c>
      <c r="ND26">
        <v>41491.48</v>
      </c>
      <c r="NE26" s="204">
        <f t="shared" si="188"/>
        <v>41291.48</v>
      </c>
      <c r="NF26" s="8">
        <f t="shared" si="189"/>
        <v>200</v>
      </c>
      <c r="NG26" s="192">
        <f t="shared" si="190"/>
        <v>0.00484361422743869</v>
      </c>
      <c r="NH26" s="192"/>
      <c r="NI26" s="192"/>
      <c r="NJ26" s="192"/>
      <c r="NK26" s="192"/>
      <c r="NM26" s="194" t="str">
        <f t="shared" si="191"/>
        <v>2026//5/26</v>
      </c>
      <c r="NN26">
        <v>2738511.08</v>
      </c>
      <c r="NO26" s="8">
        <f t="shared" si="192"/>
        <v>2736111.08</v>
      </c>
      <c r="NP26" s="8">
        <f t="shared" si="193"/>
        <v>2400</v>
      </c>
      <c r="NQ26" s="192">
        <f t="shared" si="194"/>
        <v>0.00087715737037986</v>
      </c>
      <c r="NR26" s="192"/>
      <c r="NT26" s="194"/>
      <c r="NU26" s="194" t="str">
        <f t="shared" si="195"/>
        <v>2026//5/26</v>
      </c>
      <c r="NV26">
        <v>259226.5</v>
      </c>
      <c r="NW26" s="205">
        <f t="shared" si="196"/>
        <v>258176.5</v>
      </c>
      <c r="NX26" s="8">
        <f t="shared" si="197"/>
        <v>1050</v>
      </c>
      <c r="NY26" s="192">
        <f t="shared" si="198"/>
        <v>0.00406698518261732</v>
      </c>
      <c r="NZ26" s="201"/>
      <c r="OA26" s="200"/>
      <c r="OB26" s="194"/>
      <c r="OC26" s="194" t="str">
        <f t="shared" si="199"/>
        <v>2026//5/26</v>
      </c>
      <c r="OD26" s="200">
        <v>15649.97</v>
      </c>
      <c r="OE26" s="12">
        <f t="shared" si="200"/>
        <v>15501.97</v>
      </c>
      <c r="OF26" s="12">
        <f t="shared" si="201"/>
        <v>148</v>
      </c>
      <c r="OG26" s="199">
        <f t="shared" si="202"/>
        <v>0.00954717368179657</v>
      </c>
      <c r="OH26" s="192"/>
      <c r="OI26" s="192"/>
      <c r="OJ26" s="194"/>
      <c r="OK26" s="194" t="str">
        <f t="shared" si="203"/>
        <v>2026//5/26</v>
      </c>
      <c r="OL26" s="200">
        <v>14422.65</v>
      </c>
      <c r="OM26" s="12">
        <f t="shared" si="204"/>
        <v>14460.65</v>
      </c>
      <c r="ON26" s="12">
        <f t="shared" si="205"/>
        <v>-38</v>
      </c>
      <c r="OO26" s="199">
        <f t="shared" si="206"/>
        <v>-0.00262782101772742</v>
      </c>
      <c r="OP26" s="192"/>
      <c r="OQ26" s="192"/>
      <c r="OT26" s="26" t="str">
        <f t="shared" si="207"/>
        <v>2026//5/26</v>
      </c>
      <c r="OU26" s="206">
        <v>148032.4066</v>
      </c>
      <c r="OV26" s="8">
        <f t="shared" si="208"/>
        <v>147912.4066</v>
      </c>
      <c r="OW26" s="191">
        <f t="shared" si="209"/>
        <v>120</v>
      </c>
      <c r="OX26" s="192">
        <f t="shared" si="210"/>
        <v>0.000811290971179425</v>
      </c>
    </row>
    <row r="27" s="8" customFormat="1" ht="17" customHeight="1" spans="1:415">
      <c r="A27" s="15"/>
      <c r="B27" s="15"/>
      <c r="C27" s="15" t="s">
        <v>453</v>
      </c>
      <c r="D27" s="207">
        <v>2845848.77</v>
      </c>
      <c r="E27" s="19">
        <f t="shared" si="8"/>
        <v>2979588.77</v>
      </c>
      <c r="F27" s="19">
        <f t="shared" si="9"/>
        <v>-133740</v>
      </c>
      <c r="G27" s="172">
        <f t="shared" si="10"/>
        <v>-0.044885388663886</v>
      </c>
      <c r="H27" s="18"/>
      <c r="I27" s="172"/>
      <c r="J27" s="172"/>
      <c r="K27" s="8" t="str">
        <f t="shared" si="11"/>
        <v>2026//5/25</v>
      </c>
      <c r="L27" s="19">
        <v>2296594.4</v>
      </c>
      <c r="M27" s="19">
        <f t="shared" si="12"/>
        <v>2397394.4</v>
      </c>
      <c r="N27" s="19">
        <f t="shared" si="13"/>
        <v>-100800</v>
      </c>
      <c r="O27" s="172">
        <f t="shared" si="14"/>
        <v>-0.0420456475580322</v>
      </c>
      <c r="P27" s="18"/>
      <c r="Q27" s="172"/>
      <c r="R27" s="19"/>
      <c r="S27" s="8" t="str">
        <f t="shared" si="15"/>
        <v>2026//5/25</v>
      </c>
      <c r="T27" s="19">
        <v>857946.68</v>
      </c>
      <c r="U27" s="19">
        <f t="shared" si="16"/>
        <v>959106.68</v>
      </c>
      <c r="V27" s="19">
        <f t="shared" si="17"/>
        <v>-101160</v>
      </c>
      <c r="W27" s="172">
        <f t="shared" si="18"/>
        <v>-0.105473147158145</v>
      </c>
      <c r="X27" s="18"/>
      <c r="Y27" s="172"/>
      <c r="Z27" s="19"/>
      <c r="AA27" s="8" t="str">
        <f t="shared" si="19"/>
        <v>2026//5/25</v>
      </c>
      <c r="AB27" s="19">
        <v>435816.86</v>
      </c>
      <c r="AC27" s="19">
        <f t="shared" si="20"/>
        <v>478216.86</v>
      </c>
      <c r="AD27" s="19">
        <f t="shared" si="21"/>
        <v>-42400</v>
      </c>
      <c r="AE27" s="172">
        <f t="shared" si="22"/>
        <v>-0.0886627041965856</v>
      </c>
      <c r="AF27" s="18"/>
      <c r="AG27" s="172"/>
      <c r="AH27" s="19"/>
      <c r="AI27" s="8" t="str">
        <f t="shared" si="23"/>
        <v>2026//5/25</v>
      </c>
      <c r="AJ27" s="19">
        <v>300921.76</v>
      </c>
      <c r="AK27" s="19">
        <f t="shared" si="24"/>
        <v>352321.76</v>
      </c>
      <c r="AL27" s="19">
        <f t="shared" si="25"/>
        <v>-51400</v>
      </c>
      <c r="AM27" s="172">
        <f t="shared" si="26"/>
        <v>-0.145889371124849</v>
      </c>
      <c r="AN27" s="18"/>
      <c r="AO27" s="18"/>
      <c r="AP27" s="19"/>
      <c r="AQ27" s="8" t="str">
        <f t="shared" si="27"/>
        <v>2026//5/25</v>
      </c>
      <c r="AR27" s="19">
        <v>1112645.4936</v>
      </c>
      <c r="AS27" s="19">
        <f t="shared" si="28"/>
        <v>1141345.4936</v>
      </c>
      <c r="AT27" s="19">
        <f t="shared" si="29"/>
        <v>-28700</v>
      </c>
      <c r="AU27" s="172">
        <f t="shared" si="30"/>
        <v>-0.0251457601234095</v>
      </c>
      <c r="AV27" s="18"/>
      <c r="AW27" s="18"/>
      <c r="AX27" s="17"/>
      <c r="AY27" s="129"/>
      <c r="AZ27" s="8" t="str">
        <f t="shared" si="31"/>
        <v>2026//5/25</v>
      </c>
      <c r="BA27" s="17">
        <v>1300251.6676</v>
      </c>
      <c r="BB27" s="129">
        <f t="shared" si="32"/>
        <v>1390881.6676</v>
      </c>
      <c r="BC27" s="17">
        <f t="shared" si="33"/>
        <v>-90630</v>
      </c>
      <c r="BD27" s="18">
        <f t="shared" si="34"/>
        <v>-0.0651601082329198</v>
      </c>
      <c r="BE27" s="18"/>
      <c r="BF27" s="18"/>
      <c r="BG27" s="74"/>
      <c r="BH27" s="194" t="str">
        <f t="shared" si="35"/>
        <v>2026//5/25</v>
      </c>
      <c r="BI27" s="194">
        <v>1484926.5525</v>
      </c>
      <c r="BJ27" s="195">
        <f t="shared" si="36"/>
        <v>1488826.5525</v>
      </c>
      <c r="BK27" s="195">
        <f t="shared" si="37"/>
        <v>-3900</v>
      </c>
      <c r="BL27" s="196">
        <f t="shared" si="38"/>
        <v>-0.0026195126581073</v>
      </c>
      <c r="BM27" s="197"/>
      <c r="BN27" s="192"/>
      <c r="BO27" s="194"/>
      <c r="BP27" s="194" t="str">
        <f t="shared" si="39"/>
        <v>2026//5/25</v>
      </c>
      <c r="BQ27" s="198">
        <v>1099262.3921</v>
      </c>
      <c r="BR27" s="12">
        <f t="shared" si="40"/>
        <v>1108462.3921</v>
      </c>
      <c r="BS27" s="12">
        <f t="shared" si="41"/>
        <v>-9200</v>
      </c>
      <c r="BT27" s="199">
        <f t="shared" si="42"/>
        <v>-0.00829978541948586</v>
      </c>
      <c r="BU27" s="192"/>
      <c r="BV27" s="192"/>
      <c r="BW27" s="194"/>
      <c r="BX27" s="194" t="str">
        <f t="shared" si="43"/>
        <v>2026//5/25</v>
      </c>
      <c r="BY27" s="200">
        <v>2354360.7019</v>
      </c>
      <c r="BZ27" s="12">
        <f t="shared" si="44"/>
        <v>2396510.7019</v>
      </c>
      <c r="CA27" s="12">
        <f t="shared" si="45"/>
        <v>-42150</v>
      </c>
      <c r="CB27" s="199">
        <f t="shared" si="46"/>
        <v>-0.0175880708425724</v>
      </c>
      <c r="CC27" s="192"/>
      <c r="CD27" s="201"/>
      <c r="CE27" s="194"/>
      <c r="CF27" s="194" t="str">
        <f t="shared" si="47"/>
        <v>2026//5/25</v>
      </c>
      <c r="CG27" s="200">
        <v>1302503.9</v>
      </c>
      <c r="CH27" s="12">
        <f t="shared" si="48"/>
        <v>1274003.9</v>
      </c>
      <c r="CI27" s="12">
        <f t="shared" si="49"/>
        <v>28500</v>
      </c>
      <c r="CJ27" s="199">
        <f t="shared" si="50"/>
        <v>0.022370418175329</v>
      </c>
      <c r="CK27" s="192"/>
      <c r="CL27" s="201"/>
      <c r="CM27" s="194"/>
      <c r="CN27" s="194" t="str">
        <f t="shared" si="51"/>
        <v>2026//5/25</v>
      </c>
      <c r="CO27" s="200">
        <v>585146.48</v>
      </c>
      <c r="CP27" s="12">
        <f t="shared" si="52"/>
        <v>589046.48</v>
      </c>
      <c r="CQ27" s="12">
        <f t="shared" si="53"/>
        <v>-3900</v>
      </c>
      <c r="CR27" s="199">
        <f t="shared" si="54"/>
        <v>-0.00662086971472947</v>
      </c>
      <c r="CS27" s="201"/>
      <c r="CT27" s="201"/>
      <c r="CU27" s="194"/>
      <c r="CV27" s="194" t="str">
        <f t="shared" si="55"/>
        <v>2026//5/25</v>
      </c>
      <c r="CW27" s="200">
        <v>584240.4</v>
      </c>
      <c r="CX27" s="12">
        <f t="shared" si="56"/>
        <v>584240.4</v>
      </c>
      <c r="CY27" s="12">
        <f t="shared" si="57"/>
        <v>0</v>
      </c>
      <c r="CZ27" s="199">
        <f t="shared" si="58"/>
        <v>0</v>
      </c>
      <c r="DA27" s="192"/>
      <c r="DB27" s="192"/>
      <c r="DC27" s="202"/>
      <c r="DD27" s="194" t="str">
        <f t="shared" si="59"/>
        <v>2026//5/25</v>
      </c>
      <c r="DE27" s="200">
        <v>2049517.9986</v>
      </c>
      <c r="DF27" s="12">
        <f t="shared" si="60"/>
        <v>2088117.9986</v>
      </c>
      <c r="DG27" s="12">
        <f t="shared" si="61"/>
        <v>-38600</v>
      </c>
      <c r="DH27" s="199">
        <f t="shared" si="62"/>
        <v>-0.0184855453695049</v>
      </c>
      <c r="DI27" s="192"/>
      <c r="DJ27" s="192"/>
      <c r="DK27" s="194"/>
      <c r="DL27" s="194" t="str">
        <f t="shared" si="63"/>
        <v>2026//5/25</v>
      </c>
      <c r="DM27" s="200">
        <v>849500.36</v>
      </c>
      <c r="DN27" s="12">
        <f t="shared" si="64"/>
        <v>852500.36</v>
      </c>
      <c r="DO27" s="12">
        <f t="shared" si="65"/>
        <v>-3000</v>
      </c>
      <c r="DP27" s="199">
        <f t="shared" si="66"/>
        <v>-0.00351906009752301</v>
      </c>
      <c r="DQ27" s="192"/>
      <c r="DR27" s="192"/>
      <c r="DS27" s="194"/>
      <c r="DT27" s="194" t="str">
        <f t="shared" si="67"/>
        <v>2026//5/25</v>
      </c>
      <c r="DU27" s="200">
        <v>1244789.48</v>
      </c>
      <c r="DV27" s="12">
        <f t="shared" si="68"/>
        <v>1264589.48</v>
      </c>
      <c r="DW27" s="12">
        <f t="shared" si="69"/>
        <v>-19800</v>
      </c>
      <c r="DX27" s="199">
        <f t="shared" si="70"/>
        <v>-0.0156572550326767</v>
      </c>
      <c r="DY27" s="192"/>
      <c r="DZ27" s="192"/>
      <c r="EA27" s="194"/>
      <c r="EB27" s="194" t="str">
        <f t="shared" si="71"/>
        <v>2026//5/25</v>
      </c>
      <c r="EC27" s="200">
        <v>3323066.82</v>
      </c>
      <c r="ED27" s="12">
        <f t="shared" si="72"/>
        <v>3449066.82</v>
      </c>
      <c r="EE27" s="12">
        <f t="shared" si="73"/>
        <v>-126000</v>
      </c>
      <c r="EF27" s="199">
        <f t="shared" si="74"/>
        <v>-0.0365316204572691</v>
      </c>
      <c r="EG27" s="192"/>
      <c r="EH27" s="192"/>
      <c r="EI27" s="194"/>
      <c r="EJ27" s="194" t="str">
        <f t="shared" si="75"/>
        <v>2026//5/25</v>
      </c>
      <c r="EK27" s="200">
        <v>1223522.9669</v>
      </c>
      <c r="EL27" s="12">
        <f t="shared" si="76"/>
        <v>1232122.9669</v>
      </c>
      <c r="EM27" s="12">
        <f t="shared" si="77"/>
        <v>-8600</v>
      </c>
      <c r="EN27" s="199">
        <f t="shared" si="78"/>
        <v>-0.0069798228188518</v>
      </c>
      <c r="EO27" s="192"/>
      <c r="EP27" s="192"/>
      <c r="EQ27" s="194"/>
      <c r="ER27" s="194" t="str">
        <f t="shared" si="79"/>
        <v>2026//5/25</v>
      </c>
      <c r="ES27">
        <v>403097.02</v>
      </c>
      <c r="ET27" s="12">
        <f t="shared" si="80"/>
        <v>405947.02</v>
      </c>
      <c r="EU27" s="12">
        <f t="shared" si="81"/>
        <v>-2850</v>
      </c>
      <c r="EV27" s="199">
        <f t="shared" si="82"/>
        <v>-0.00702062057260576</v>
      </c>
      <c r="EW27" s="192"/>
      <c r="EX27" s="192"/>
      <c r="EY27" s="194"/>
      <c r="EZ27" s="194" t="str">
        <f t="shared" si="83"/>
        <v>2026//5/25</v>
      </c>
      <c r="FA27" s="200">
        <v>613808</v>
      </c>
      <c r="FB27" s="12">
        <f t="shared" si="84"/>
        <v>615408</v>
      </c>
      <c r="FC27" s="12">
        <f t="shared" si="85"/>
        <v>-1600</v>
      </c>
      <c r="FD27" s="199">
        <f t="shared" si="86"/>
        <v>-0.00259990120375426</v>
      </c>
      <c r="FE27" s="192"/>
      <c r="FF27" s="192"/>
      <c r="FG27" s="192"/>
      <c r="FH27" s="194" t="str">
        <f t="shared" si="87"/>
        <v>2026//5/25</v>
      </c>
      <c r="FI27" s="198">
        <v>1212295.3365</v>
      </c>
      <c r="FJ27" s="12">
        <f t="shared" si="88"/>
        <v>1218795.3365</v>
      </c>
      <c r="FK27" s="12">
        <f t="shared" si="89"/>
        <v>-6500</v>
      </c>
      <c r="FL27" s="199">
        <f t="shared" si="90"/>
        <v>-0.00533313494508928</v>
      </c>
      <c r="FM27" s="201"/>
      <c r="FN27" s="201"/>
      <c r="FO27" s="194"/>
      <c r="FP27" s="194" t="str">
        <f t="shared" si="91"/>
        <v>2026//5/25</v>
      </c>
      <c r="FQ27" s="200">
        <v>1742968.73</v>
      </c>
      <c r="FR27" s="12">
        <f t="shared" si="92"/>
        <v>1706218.73</v>
      </c>
      <c r="FS27" s="12">
        <f t="shared" si="93"/>
        <v>36750</v>
      </c>
      <c r="FT27" s="199">
        <f t="shared" si="94"/>
        <v>0.0215388562754788</v>
      </c>
      <c r="FU27" s="192"/>
      <c r="FV27" s="192"/>
      <c r="FW27" s="194"/>
      <c r="FX27" s="194" t="str">
        <f t="shared" si="95"/>
        <v>2026//5/25</v>
      </c>
      <c r="FY27" s="200">
        <v>8210982.05</v>
      </c>
      <c r="FZ27" s="12">
        <f t="shared" si="96"/>
        <v>8213282.05</v>
      </c>
      <c r="GA27" s="12">
        <f t="shared" si="97"/>
        <v>-2300</v>
      </c>
      <c r="GB27" s="199">
        <f t="shared" si="98"/>
        <v>-0.000280034216041564</v>
      </c>
      <c r="GC27" s="192"/>
      <c r="GD27" s="192"/>
      <c r="GE27" s="194"/>
      <c r="GF27" s="194" t="str">
        <f t="shared" si="99"/>
        <v>2026//5/25</v>
      </c>
      <c r="GG27" s="200">
        <v>4879169.49</v>
      </c>
      <c r="GH27" s="12">
        <f t="shared" si="100"/>
        <v>4793569.49</v>
      </c>
      <c r="GI27" s="12">
        <f t="shared" si="101"/>
        <v>85600</v>
      </c>
      <c r="GJ27" s="199">
        <f t="shared" si="102"/>
        <v>0.0178572565138719</v>
      </c>
      <c r="GK27" s="192"/>
      <c r="GL27" s="192"/>
      <c r="GM27" s="194"/>
      <c r="GN27" s="194" t="str">
        <f t="shared" si="103"/>
        <v>2026//5/25</v>
      </c>
      <c r="GO27" s="200">
        <v>1904578.1217</v>
      </c>
      <c r="GP27" s="12">
        <f t="shared" si="104"/>
        <v>1915798.1217</v>
      </c>
      <c r="GQ27" s="12">
        <f t="shared" si="105"/>
        <v>-11220</v>
      </c>
      <c r="GR27" s="199">
        <f t="shared" si="106"/>
        <v>-0.00585656696961569</v>
      </c>
      <c r="GS27" s="192"/>
      <c r="GT27" s="192"/>
      <c r="GU27" s="194"/>
      <c r="GV27" s="194" t="str">
        <f t="shared" si="107"/>
        <v>2026//5/25</v>
      </c>
      <c r="GW27" s="200">
        <v>812349.4</v>
      </c>
      <c r="GX27" s="12">
        <f t="shared" si="108"/>
        <v>816349.4</v>
      </c>
      <c r="GY27" s="12">
        <f t="shared" si="109"/>
        <v>-4000</v>
      </c>
      <c r="GZ27" s="199">
        <f t="shared" si="110"/>
        <v>-0.00489986273034561</v>
      </c>
      <c r="HA27" s="192"/>
      <c r="HB27" s="192"/>
      <c r="HC27" s="194"/>
      <c r="HD27" s="194" t="str">
        <f t="shared" si="111"/>
        <v>2026//5/25</v>
      </c>
      <c r="HE27" s="200">
        <v>1221164.6746</v>
      </c>
      <c r="HF27" s="12">
        <f t="shared" si="112"/>
        <v>1219564.6746</v>
      </c>
      <c r="HG27" s="12">
        <f t="shared" si="113"/>
        <v>1600</v>
      </c>
      <c r="HH27" s="199">
        <f t="shared" si="114"/>
        <v>0.00131194354290786</v>
      </c>
      <c r="HI27" s="201"/>
      <c r="HJ27" s="192"/>
      <c r="HK27" s="194"/>
      <c r="HL27" s="194" t="str">
        <f t="shared" si="115"/>
        <v>2026//5/25</v>
      </c>
      <c r="HM27" s="200">
        <v>127404.25</v>
      </c>
      <c r="HN27" s="208">
        <f t="shared" si="116"/>
        <v>128304.25</v>
      </c>
      <c r="HO27" s="208">
        <f t="shared" si="117"/>
        <v>-900</v>
      </c>
      <c r="HP27" s="209">
        <f t="shared" si="118"/>
        <v>-0.00701457668003983</v>
      </c>
      <c r="HQ27" s="192"/>
      <c r="HR27" s="192"/>
      <c r="HS27" s="194"/>
      <c r="HT27" s="194" t="str">
        <f t="shared" si="119"/>
        <v>2026//5/25</v>
      </c>
      <c r="HU27" s="200">
        <v>186068.8265</v>
      </c>
      <c r="HV27" s="12">
        <f t="shared" si="120"/>
        <v>187368.8265</v>
      </c>
      <c r="HW27" s="12">
        <f t="shared" si="121"/>
        <v>-1300</v>
      </c>
      <c r="HX27" s="199">
        <f t="shared" si="122"/>
        <v>-0.00693818723361647</v>
      </c>
      <c r="HY27" s="192"/>
      <c r="HZ27" s="192"/>
      <c r="IA27" s="194"/>
      <c r="IB27" s="194" t="str">
        <f t="shared" si="123"/>
        <v>2026//5/25</v>
      </c>
      <c r="IC27" s="200">
        <v>343409.79</v>
      </c>
      <c r="ID27" s="12">
        <f t="shared" si="124"/>
        <v>355609.79</v>
      </c>
      <c r="IE27" s="12">
        <f t="shared" si="125"/>
        <v>-12200</v>
      </c>
      <c r="IF27" s="199">
        <f t="shared" si="126"/>
        <v>-0.0343072669624759</v>
      </c>
      <c r="IG27" s="201"/>
      <c r="IH27" s="192"/>
      <c r="II27" s="194"/>
      <c r="IJ27" s="194" t="str">
        <f t="shared" si="127"/>
        <v>2026//5/25</v>
      </c>
      <c r="IK27" s="200">
        <v>703516.29</v>
      </c>
      <c r="IL27" s="12">
        <f t="shared" si="128"/>
        <v>702796.29</v>
      </c>
      <c r="IM27" s="12">
        <f t="shared" si="129"/>
        <v>720</v>
      </c>
      <c r="IN27" s="199">
        <f t="shared" si="130"/>
        <v>0.00102447894253967</v>
      </c>
      <c r="IO27" s="192"/>
      <c r="IP27" s="192"/>
      <c r="IQ27" s="194"/>
      <c r="IR27" s="194" t="str">
        <f t="shared" si="131"/>
        <v>2026//5/25</v>
      </c>
      <c r="IS27" s="200">
        <v>141889</v>
      </c>
      <c r="IT27" s="12">
        <f t="shared" si="132"/>
        <v>136189</v>
      </c>
      <c r="IU27" s="12">
        <f t="shared" si="133"/>
        <v>5700</v>
      </c>
      <c r="IV27" s="199">
        <f t="shared" si="134"/>
        <v>0.0418536005110545</v>
      </c>
      <c r="IW27" s="192"/>
      <c r="IX27" s="192"/>
      <c r="IY27" s="194"/>
      <c r="IZ27" s="194" t="str">
        <f t="shared" si="135"/>
        <v>2026//5/25</v>
      </c>
      <c r="JA27" s="200">
        <v>5227129.15</v>
      </c>
      <c r="JB27" s="12">
        <f t="shared" si="136"/>
        <v>5233229.15</v>
      </c>
      <c r="JC27" s="12">
        <f t="shared" si="137"/>
        <v>-6100</v>
      </c>
      <c r="JD27" s="199">
        <f t="shared" si="138"/>
        <v>-0.00116562830045384</v>
      </c>
      <c r="JE27" s="192"/>
      <c r="JF27" s="192"/>
      <c r="JG27" s="194"/>
      <c r="JH27" s="194" t="str">
        <f t="shared" si="139"/>
        <v>2026//5/25</v>
      </c>
      <c r="JI27" s="200">
        <v>1345467.99</v>
      </c>
      <c r="JJ27" s="12">
        <f t="shared" si="140"/>
        <v>1345707.99</v>
      </c>
      <c r="JK27" s="12">
        <f t="shared" si="141"/>
        <v>-240</v>
      </c>
      <c r="JL27" s="199">
        <f t="shared" si="142"/>
        <v>-0.000178344783402824</v>
      </c>
      <c r="JM27" s="192"/>
      <c r="JN27" s="192"/>
      <c r="JO27" s="192"/>
      <c r="JP27" s="194" t="str">
        <f t="shared" si="143"/>
        <v>2026//5/25</v>
      </c>
      <c r="JQ27" s="200">
        <v>1047790.4148</v>
      </c>
      <c r="JR27" s="12">
        <f t="shared" si="144"/>
        <v>1049790.4148</v>
      </c>
      <c r="JS27" s="12">
        <f t="shared" si="145"/>
        <v>-1999.99999999988</v>
      </c>
      <c r="JT27" s="199">
        <f t="shared" si="146"/>
        <v>-0.00190514218057603</v>
      </c>
      <c r="JU27" s="192"/>
      <c r="JV27" s="192"/>
      <c r="JW27" s="201"/>
      <c r="JX27" s="194" t="str">
        <f t="shared" si="147"/>
        <v>2026//5/25</v>
      </c>
      <c r="JY27" s="200">
        <v>1151898.8</v>
      </c>
      <c r="JZ27" s="12">
        <f t="shared" si="148"/>
        <v>1151898.8</v>
      </c>
      <c r="KA27" s="12">
        <f t="shared" si="149"/>
        <v>0</v>
      </c>
      <c r="KB27" s="199">
        <f t="shared" si="150"/>
        <v>0</v>
      </c>
      <c r="KC27" s="192"/>
      <c r="KD27" s="192"/>
      <c r="KE27" s="201"/>
      <c r="KF27" s="194" t="str">
        <f t="shared" si="151"/>
        <v>2026//5/25</v>
      </c>
      <c r="KG27" s="200">
        <v>694955.9219</v>
      </c>
      <c r="KH27" s="12">
        <f t="shared" si="152"/>
        <v>694955.9219</v>
      </c>
      <c r="KI27" s="12">
        <f t="shared" si="153"/>
        <v>0</v>
      </c>
      <c r="KJ27" s="199">
        <f t="shared" si="154"/>
        <v>0</v>
      </c>
      <c r="KK27" s="201"/>
      <c r="KL27" s="201"/>
      <c r="KM27" s="194"/>
      <c r="KN27" s="194" t="str">
        <f t="shared" si="155"/>
        <v>2026//5/25</v>
      </c>
      <c r="KO27" s="200">
        <v>8282575.95</v>
      </c>
      <c r="KP27" s="12">
        <f t="shared" si="156"/>
        <v>8282575.95</v>
      </c>
      <c r="KQ27" s="12">
        <f t="shared" si="157"/>
        <v>0</v>
      </c>
      <c r="KR27" s="199">
        <f t="shared" si="158"/>
        <v>0</v>
      </c>
      <c r="KS27" s="192"/>
      <c r="KT27" s="192"/>
      <c r="KU27" s="194"/>
      <c r="KV27" s="194" t="str">
        <f t="shared" si="159"/>
        <v>2026//5/25</v>
      </c>
      <c r="KW27" s="200">
        <v>1100672.9726</v>
      </c>
      <c r="KX27" s="12">
        <f t="shared" si="160"/>
        <v>1100672.9726</v>
      </c>
      <c r="KY27" s="12">
        <f t="shared" si="161"/>
        <v>0</v>
      </c>
      <c r="KZ27" s="199">
        <f t="shared" si="162"/>
        <v>0</v>
      </c>
      <c r="LA27" s="201"/>
      <c r="LB27" s="192"/>
      <c r="LC27" s="194"/>
      <c r="LD27" s="194" t="str">
        <f t="shared" si="163"/>
        <v>2026//5/25</v>
      </c>
      <c r="LE27" s="200">
        <v>441057.7</v>
      </c>
      <c r="LF27" s="12">
        <f t="shared" si="164"/>
        <v>445507.7</v>
      </c>
      <c r="LG27" s="12">
        <f t="shared" si="165"/>
        <v>-4450</v>
      </c>
      <c r="LH27" s="199">
        <f t="shared" si="166"/>
        <v>-0.00998860401290483</v>
      </c>
      <c r="LI27" s="192"/>
      <c r="LJ27" s="192"/>
      <c r="LK27" s="194"/>
      <c r="LL27" s="194" t="str">
        <f t="shared" si="167"/>
        <v>2026//5/25</v>
      </c>
      <c r="LM27" s="198">
        <v>3467275.02</v>
      </c>
      <c r="LN27" s="12">
        <f t="shared" si="168"/>
        <v>3511195.02</v>
      </c>
      <c r="LO27" s="12">
        <f t="shared" si="169"/>
        <v>-43920</v>
      </c>
      <c r="LP27" s="199">
        <f t="shared" si="170"/>
        <v>-0.0125085618286164</v>
      </c>
      <c r="LQ27" s="192"/>
      <c r="LR27" s="192"/>
      <c r="LS27" s="194"/>
      <c r="LT27" s="194" t="str">
        <f t="shared" si="171"/>
        <v>2026//5/25</v>
      </c>
      <c r="LU27" s="200">
        <v>2441062.904</v>
      </c>
      <c r="LV27" s="12">
        <f t="shared" si="172"/>
        <v>2462862.904</v>
      </c>
      <c r="LW27" s="12">
        <f t="shared" si="173"/>
        <v>-21800</v>
      </c>
      <c r="LX27" s="199">
        <f t="shared" si="174"/>
        <v>-0.00885148741515171</v>
      </c>
      <c r="LY27" s="192"/>
      <c r="LZ27" s="192"/>
      <c r="MA27" s="194"/>
      <c r="MB27" s="194" t="str">
        <f t="shared" si="175"/>
        <v>2026//5/25</v>
      </c>
      <c r="MC27" s="200">
        <v>926817.69</v>
      </c>
      <c r="MD27" s="12">
        <f t="shared" si="176"/>
        <v>922667.69</v>
      </c>
      <c r="ME27" s="12">
        <f t="shared" si="177"/>
        <v>4150</v>
      </c>
      <c r="MF27" s="199">
        <f t="shared" si="178"/>
        <v>0.00449782738138365</v>
      </c>
      <c r="MG27" s="192"/>
      <c r="MH27" s="192"/>
      <c r="MK27" s="194" t="str">
        <f t="shared" si="179"/>
        <v>2026//5/25</v>
      </c>
      <c r="ML27">
        <v>175545.5354</v>
      </c>
      <c r="MM27" s="12">
        <f t="shared" si="180"/>
        <v>175905.5354</v>
      </c>
      <c r="MN27" s="12">
        <f t="shared" si="181"/>
        <v>-360</v>
      </c>
      <c r="MO27" s="199">
        <f t="shared" si="182"/>
        <v>-0.00204655299323798</v>
      </c>
      <c r="MP27" s="192"/>
      <c r="MQ27" s="201"/>
      <c r="MR27" s="201"/>
      <c r="MT27" s="194" t="str">
        <f t="shared" si="183"/>
        <v>2026//5/25</v>
      </c>
      <c r="MU27">
        <v>162914.8</v>
      </c>
      <c r="MV27" s="204">
        <f t="shared" si="184"/>
        <v>168714.8</v>
      </c>
      <c r="MW27" s="8">
        <f t="shared" si="185"/>
        <v>-5800</v>
      </c>
      <c r="MX27" s="192">
        <f t="shared" si="186"/>
        <v>-0.034377541270831</v>
      </c>
      <c r="MY27" s="192"/>
      <c r="MZ27" s="192"/>
      <c r="NA27" s="192"/>
      <c r="NC27" s="194" t="str">
        <f t="shared" si="187"/>
        <v>2026//5/25</v>
      </c>
      <c r="ND27">
        <v>41291.48</v>
      </c>
      <c r="NE27" s="204">
        <f t="shared" si="188"/>
        <v>41291.48</v>
      </c>
      <c r="NF27" s="8">
        <f t="shared" si="189"/>
        <v>0</v>
      </c>
      <c r="NG27" s="192">
        <f t="shared" si="190"/>
        <v>0</v>
      </c>
      <c r="NH27" s="192"/>
      <c r="NI27" s="192"/>
      <c r="NJ27" s="192"/>
      <c r="NK27" s="192"/>
      <c r="NM27" s="194" t="str">
        <f t="shared" si="191"/>
        <v>2026//5/25</v>
      </c>
      <c r="NN27">
        <v>2736111.08</v>
      </c>
      <c r="NO27" s="8">
        <f t="shared" si="192"/>
        <v>2727911.08</v>
      </c>
      <c r="NP27" s="210">
        <f t="shared" si="193"/>
        <v>8200</v>
      </c>
      <c r="NQ27" s="211">
        <f t="shared" si="194"/>
        <v>0.00300596308293157</v>
      </c>
      <c r="NR27" s="192"/>
      <c r="NT27" s="194"/>
      <c r="NU27" s="194" t="str">
        <f t="shared" si="195"/>
        <v>2026//5/25</v>
      </c>
      <c r="NV27">
        <v>258176.5</v>
      </c>
      <c r="NW27" s="205">
        <f t="shared" si="196"/>
        <v>258476.5</v>
      </c>
      <c r="NX27" s="210">
        <f t="shared" si="197"/>
        <v>-300</v>
      </c>
      <c r="NY27" s="211">
        <f t="shared" si="198"/>
        <v>-0.00116064709944618</v>
      </c>
      <c r="NZ27" s="201"/>
      <c r="OA27" s="200"/>
      <c r="OB27" s="194"/>
      <c r="OC27" s="194" t="str">
        <f t="shared" si="199"/>
        <v>2026//5/25</v>
      </c>
      <c r="OD27" s="200">
        <v>15501.97</v>
      </c>
      <c r="OE27" s="12">
        <f t="shared" si="200"/>
        <v>15324.97</v>
      </c>
      <c r="OF27" s="12">
        <f t="shared" si="201"/>
        <v>177</v>
      </c>
      <c r="OG27" s="199">
        <f t="shared" si="202"/>
        <v>0.0115497779114739</v>
      </c>
      <c r="OH27" s="192"/>
      <c r="OI27" s="192"/>
      <c r="OJ27" s="194"/>
      <c r="OK27" s="194" t="str">
        <f t="shared" si="203"/>
        <v>2026//5/25</v>
      </c>
      <c r="OL27" s="200">
        <v>14460.65</v>
      </c>
      <c r="OM27" s="12">
        <f t="shared" si="204"/>
        <v>14463.65</v>
      </c>
      <c r="ON27" s="12">
        <f t="shared" si="205"/>
        <v>-3</v>
      </c>
      <c r="OO27" s="199">
        <f t="shared" si="206"/>
        <v>-0.00020741652349165</v>
      </c>
      <c r="OP27" s="192"/>
      <c r="OQ27" s="192"/>
      <c r="OT27" s="26" t="str">
        <f t="shared" si="207"/>
        <v>2026//5/25</v>
      </c>
      <c r="OU27" s="206">
        <v>147912.4066</v>
      </c>
      <c r="OV27" s="8">
        <f t="shared" si="208"/>
        <v>147792.4066</v>
      </c>
      <c r="OW27" s="191">
        <f t="shared" si="209"/>
        <v>120</v>
      </c>
      <c r="OX27" s="192">
        <f t="shared" si="210"/>
        <v>0.000811949698638983</v>
      </c>
    </row>
    <row r="28" s="9" customFormat="1" ht="17" customHeight="1" spans="1:415">
      <c r="A28" s="212"/>
      <c r="B28" s="212"/>
      <c r="C28" s="212" t="s">
        <v>454</v>
      </c>
      <c r="D28" s="213">
        <v>2979588.77</v>
      </c>
      <c r="E28" s="214">
        <f t="shared" si="8"/>
        <v>3049428.77</v>
      </c>
      <c r="F28" s="214">
        <f t="shared" si="9"/>
        <v>-69840</v>
      </c>
      <c r="G28" s="215">
        <f t="shared" si="10"/>
        <v>-0.0229026500592765</v>
      </c>
      <c r="H28" s="216">
        <f>(D28-D33)/D33</f>
        <v>-0.0735941381283373</v>
      </c>
      <c r="I28" s="215"/>
      <c r="J28" s="215"/>
      <c r="K28" s="9" t="str">
        <f t="shared" si="11"/>
        <v>2026//5/22</v>
      </c>
      <c r="L28" s="214">
        <v>2397394.4</v>
      </c>
      <c r="M28" s="214">
        <f t="shared" si="12"/>
        <v>2444644.4</v>
      </c>
      <c r="N28" s="214">
        <f t="shared" si="13"/>
        <v>-47250</v>
      </c>
      <c r="O28" s="215">
        <f t="shared" si="14"/>
        <v>-0.0193279644270553</v>
      </c>
      <c r="P28" s="216">
        <f>(L28-L33)/L33</f>
        <v>-0.0678524442821436</v>
      </c>
      <c r="Q28" s="215"/>
      <c r="R28" s="214"/>
      <c r="S28" s="9" t="str">
        <f t="shared" si="15"/>
        <v>2026//5/22</v>
      </c>
      <c r="T28" s="214">
        <v>959106.68</v>
      </c>
      <c r="U28" s="214">
        <f t="shared" si="16"/>
        <v>979626.68</v>
      </c>
      <c r="V28" s="214">
        <f t="shared" si="17"/>
        <v>-20520</v>
      </c>
      <c r="W28" s="215">
        <f t="shared" si="18"/>
        <v>-0.0209467549413824</v>
      </c>
      <c r="X28" s="216">
        <f>(T28-T33)/T33</f>
        <v>-0.194668664763396</v>
      </c>
      <c r="Y28" s="215"/>
      <c r="Z28" s="214"/>
      <c r="AA28" s="9" t="str">
        <f t="shared" si="19"/>
        <v>2026//5/22</v>
      </c>
      <c r="AB28" s="214">
        <v>478216.86</v>
      </c>
      <c r="AC28" s="214">
        <f t="shared" si="20"/>
        <v>450536.86</v>
      </c>
      <c r="AD28" s="214">
        <f t="shared" si="21"/>
        <v>27680</v>
      </c>
      <c r="AE28" s="215">
        <f t="shared" si="22"/>
        <v>0.0614378144332075</v>
      </c>
      <c r="AF28" s="216">
        <f>(AB28-AB33)/AB33</f>
        <v>-0.0865650605766326</v>
      </c>
      <c r="AG28" s="215"/>
      <c r="AH28" s="214"/>
      <c r="AI28" s="9" t="str">
        <f t="shared" si="23"/>
        <v>2026//5/22</v>
      </c>
      <c r="AJ28" s="214">
        <v>352321.76</v>
      </c>
      <c r="AK28" s="214">
        <f t="shared" si="24"/>
        <v>341521.76</v>
      </c>
      <c r="AL28" s="214">
        <f t="shared" si="25"/>
        <v>10800</v>
      </c>
      <c r="AM28" s="215">
        <f t="shared" si="26"/>
        <v>0.0316231680230273</v>
      </c>
      <c r="AN28" s="216">
        <f>(AJ28-AJ33)/AJ33</f>
        <v>0.0173249292796387</v>
      </c>
      <c r="AO28" s="216"/>
      <c r="AP28" s="214"/>
      <c r="AQ28" s="9" t="str">
        <f t="shared" si="27"/>
        <v>2026//5/22</v>
      </c>
      <c r="AR28" s="214">
        <v>1141345.4936</v>
      </c>
      <c r="AS28" s="214">
        <f t="shared" si="28"/>
        <v>1176045.4936</v>
      </c>
      <c r="AT28" s="214">
        <f t="shared" si="29"/>
        <v>-34700</v>
      </c>
      <c r="AU28" s="215">
        <f t="shared" si="30"/>
        <v>-0.0295056612935777</v>
      </c>
      <c r="AV28" s="216">
        <f>(AR28-AR33)/AR33</f>
        <v>-0.0483597097829626</v>
      </c>
      <c r="AW28" s="216"/>
      <c r="AX28" s="217"/>
      <c r="AY28" s="218"/>
      <c r="AZ28" s="9" t="str">
        <f t="shared" si="31"/>
        <v>2026//5/22</v>
      </c>
      <c r="BA28" s="217">
        <v>1390881.6676</v>
      </c>
      <c r="BB28" s="218">
        <f t="shared" si="32"/>
        <v>1408791.6676</v>
      </c>
      <c r="BC28" s="217">
        <f t="shared" si="33"/>
        <v>-17910</v>
      </c>
      <c r="BD28" s="216">
        <f t="shared" si="34"/>
        <v>-0.0127130223807408</v>
      </c>
      <c r="BE28" s="216">
        <f>(BA28-BA33)/BA33</f>
        <v>-0.0884734398915325</v>
      </c>
      <c r="BF28" s="216"/>
      <c r="BG28" s="219"/>
      <c r="BH28" s="220" t="str">
        <f t="shared" si="35"/>
        <v>2026//5/22</v>
      </c>
      <c r="BI28" s="220">
        <v>1488826.5525</v>
      </c>
      <c r="BJ28" s="221">
        <f t="shared" si="36"/>
        <v>1503026.5525</v>
      </c>
      <c r="BK28" s="221">
        <f t="shared" si="37"/>
        <v>-14200</v>
      </c>
      <c r="BL28" s="222">
        <f t="shared" si="38"/>
        <v>-0.0094476042198862</v>
      </c>
      <c r="BM28" s="223">
        <f>(BI28-BI33)/BI33</f>
        <v>-0.0210411897052935</v>
      </c>
      <c r="BN28" s="224"/>
      <c r="BO28" s="220"/>
      <c r="BP28" s="220" t="str">
        <f t="shared" si="39"/>
        <v>2026//5/22</v>
      </c>
      <c r="BQ28" s="225">
        <v>1108462.3921</v>
      </c>
      <c r="BR28" s="13">
        <f t="shared" si="40"/>
        <v>1108562.3921</v>
      </c>
      <c r="BS28" s="13">
        <f t="shared" si="41"/>
        <v>-100</v>
      </c>
      <c r="BT28" s="226">
        <f t="shared" si="42"/>
        <v>-9.02069208847735e-5</v>
      </c>
      <c r="BU28" s="224">
        <f>(BQ28-BQ33)/BQ33</f>
        <v>-0.00680965513558765</v>
      </c>
      <c r="BV28" s="224"/>
      <c r="BW28" s="220"/>
      <c r="BX28" s="220" t="str">
        <f t="shared" si="43"/>
        <v>2026//5/22</v>
      </c>
      <c r="BY28" s="227">
        <v>2396510.7019</v>
      </c>
      <c r="BZ28" s="13">
        <f t="shared" si="44"/>
        <v>2427510.7019</v>
      </c>
      <c r="CA28" s="13">
        <f t="shared" si="45"/>
        <v>-31000</v>
      </c>
      <c r="CB28" s="226">
        <f t="shared" si="46"/>
        <v>-0.012770283556623</v>
      </c>
      <c r="CC28" s="224">
        <f>(BY28-BY33)/BY33</f>
        <v>-0.103860479945977</v>
      </c>
      <c r="CD28" s="228"/>
      <c r="CE28" s="220"/>
      <c r="CF28" s="220" t="str">
        <f t="shared" si="47"/>
        <v>2026//5/22</v>
      </c>
      <c r="CG28" s="227">
        <v>1274003.9</v>
      </c>
      <c r="CH28" s="13">
        <f t="shared" si="48"/>
        <v>1276153.9</v>
      </c>
      <c r="CI28" s="13">
        <f t="shared" si="49"/>
        <v>-2150</v>
      </c>
      <c r="CJ28" s="226">
        <f t="shared" si="50"/>
        <v>-0.00168474977822032</v>
      </c>
      <c r="CK28" s="224">
        <f>(CG28-CG33)/CG33</f>
        <v>-0.0218058315089505</v>
      </c>
      <c r="CL28" s="228"/>
      <c r="CM28" s="220"/>
      <c r="CN28" s="220" t="str">
        <f t="shared" si="51"/>
        <v>2026//5/22</v>
      </c>
      <c r="CO28" s="227">
        <v>589046.48</v>
      </c>
      <c r="CP28" s="13">
        <f t="shared" si="52"/>
        <v>588546.48</v>
      </c>
      <c r="CQ28" s="13">
        <f t="shared" si="53"/>
        <v>500</v>
      </c>
      <c r="CR28" s="226">
        <f t="shared" si="54"/>
        <v>0.000849550574153464</v>
      </c>
      <c r="CS28" s="228">
        <f>(CO28-CO33)/CO33</f>
        <v>-0.0142248348613818</v>
      </c>
      <c r="CT28" s="228"/>
      <c r="CU28" s="220"/>
      <c r="CV28" s="220" t="str">
        <f t="shared" si="55"/>
        <v>2026//5/22</v>
      </c>
      <c r="CW28" s="227">
        <v>584240.4</v>
      </c>
      <c r="CX28" s="13">
        <f t="shared" si="56"/>
        <v>584240.4</v>
      </c>
      <c r="CY28" s="13">
        <f t="shared" si="57"/>
        <v>0</v>
      </c>
      <c r="CZ28" s="226">
        <f t="shared" si="58"/>
        <v>0</v>
      </c>
      <c r="DA28" s="224">
        <f>(CW28-CW33)/CW33</f>
        <v>0.0155573602479722</v>
      </c>
      <c r="DB28" s="224"/>
      <c r="DC28" s="229"/>
      <c r="DD28" s="220" t="str">
        <f t="shared" si="59"/>
        <v>2026//5/22</v>
      </c>
      <c r="DE28" s="227">
        <v>2088117.9986</v>
      </c>
      <c r="DF28" s="13">
        <f t="shared" si="60"/>
        <v>2116917.9986</v>
      </c>
      <c r="DG28" s="13">
        <f t="shared" si="61"/>
        <v>-28800</v>
      </c>
      <c r="DH28" s="226">
        <f t="shared" si="62"/>
        <v>-0.0136046837993</v>
      </c>
      <c r="DI28" s="224">
        <f>(DE28-DE33)/DE33</f>
        <v>0.0569977089957149</v>
      </c>
      <c r="DJ28" s="224"/>
      <c r="DK28" s="220"/>
      <c r="DL28" s="220" t="str">
        <f t="shared" si="63"/>
        <v>2026//5/22</v>
      </c>
      <c r="DM28" s="227">
        <v>852500.36</v>
      </c>
      <c r="DN28" s="13">
        <f t="shared" si="64"/>
        <v>865700.36</v>
      </c>
      <c r="DO28" s="13">
        <f t="shared" si="65"/>
        <v>-13200</v>
      </c>
      <c r="DP28" s="226">
        <f t="shared" si="66"/>
        <v>-0.0152477700251852</v>
      </c>
      <c r="DQ28" s="224">
        <f>(DM28-DM33)/DM33</f>
        <v>-0.0838258676224478</v>
      </c>
      <c r="DR28" s="224"/>
      <c r="DS28" s="220"/>
      <c r="DT28" s="220" t="str">
        <f t="shared" si="67"/>
        <v>2026//5/22</v>
      </c>
      <c r="DU28" s="227">
        <v>1264589.48</v>
      </c>
      <c r="DV28" s="13">
        <f t="shared" si="68"/>
        <v>1275389.48</v>
      </c>
      <c r="DW28" s="13">
        <f t="shared" si="69"/>
        <v>-10800</v>
      </c>
      <c r="DX28" s="226">
        <f t="shared" si="70"/>
        <v>-0.00846800147669401</v>
      </c>
      <c r="DY28" s="224">
        <f>(DU28-DU33)/DU33</f>
        <v>-0.0662339930455636</v>
      </c>
      <c r="DZ28" s="224"/>
      <c r="EA28" s="220"/>
      <c r="EB28" s="220" t="str">
        <f t="shared" si="71"/>
        <v>2026//5/22</v>
      </c>
      <c r="EC28" s="227">
        <v>3449066.82</v>
      </c>
      <c r="ED28" s="13">
        <f t="shared" si="72"/>
        <v>3489866.82</v>
      </c>
      <c r="EE28" s="13">
        <f t="shared" si="73"/>
        <v>-40800</v>
      </c>
      <c r="EF28" s="226">
        <f t="shared" si="74"/>
        <v>-0.0116909905461665</v>
      </c>
      <c r="EG28" s="224">
        <f>(EC28-EC33)/EC33</f>
        <v>-0.0743162817536845</v>
      </c>
      <c r="EH28" s="224"/>
      <c r="EI28" s="220"/>
      <c r="EJ28" s="220" t="str">
        <f t="shared" si="75"/>
        <v>2026//5/22</v>
      </c>
      <c r="EK28" s="227">
        <v>1232122.9669</v>
      </c>
      <c r="EL28" s="13">
        <f t="shared" si="76"/>
        <v>1239322.9669</v>
      </c>
      <c r="EM28" s="13">
        <f t="shared" si="77"/>
        <v>-7200</v>
      </c>
      <c r="EN28" s="226">
        <f t="shared" si="78"/>
        <v>-0.00580962363508023</v>
      </c>
      <c r="EO28" s="224">
        <f>(EK28-EK33)/EK33</f>
        <v>-0.0162871264951653</v>
      </c>
      <c r="EP28" s="224"/>
      <c r="EQ28" s="220"/>
      <c r="ER28" s="220" t="str">
        <f t="shared" si="79"/>
        <v>2026//5/22</v>
      </c>
      <c r="ES28" s="230">
        <v>405947.02</v>
      </c>
      <c r="ET28" s="13">
        <f t="shared" si="80"/>
        <v>406097.02</v>
      </c>
      <c r="EU28" s="13">
        <f t="shared" si="81"/>
        <v>-150</v>
      </c>
      <c r="EV28" s="226">
        <f t="shared" si="82"/>
        <v>-0.00036936986141883</v>
      </c>
      <c r="EW28" s="224">
        <f>(ES28-ES33)/ES33</f>
        <v>-0.00294733828581135</v>
      </c>
      <c r="EX28" s="224"/>
      <c r="EY28" s="220"/>
      <c r="EZ28" s="220" t="str">
        <f t="shared" si="83"/>
        <v>2026//5/22</v>
      </c>
      <c r="FA28" s="227">
        <v>615408</v>
      </c>
      <c r="FB28" s="13">
        <f t="shared" si="84"/>
        <v>630508</v>
      </c>
      <c r="FC28" s="13">
        <f t="shared" si="85"/>
        <v>-15100</v>
      </c>
      <c r="FD28" s="226">
        <f t="shared" si="86"/>
        <v>-0.0239489427572687</v>
      </c>
      <c r="FE28" s="224">
        <f>(FA28-FA33)/FA33</f>
        <v>-0.0450025449715087</v>
      </c>
      <c r="FF28" s="224"/>
      <c r="FG28" s="224"/>
      <c r="FH28" s="220" t="str">
        <f t="shared" si="87"/>
        <v>2026//5/22</v>
      </c>
      <c r="FI28" s="225">
        <v>1218795.3365</v>
      </c>
      <c r="FJ28" s="13">
        <f t="shared" si="88"/>
        <v>1232895.3365</v>
      </c>
      <c r="FK28" s="13">
        <f t="shared" si="89"/>
        <v>-14100</v>
      </c>
      <c r="FL28" s="226">
        <f t="shared" si="90"/>
        <v>-0.0114364939038765</v>
      </c>
      <c r="FM28" s="228">
        <f>(FI28-FI33)/FI33</f>
        <v>-0.0178888665791533</v>
      </c>
      <c r="FN28" s="228"/>
      <c r="FO28" s="220"/>
      <c r="FP28" s="220" t="str">
        <f t="shared" si="91"/>
        <v>2026//5/22</v>
      </c>
      <c r="FQ28" s="227">
        <v>1706218.73</v>
      </c>
      <c r="FR28" s="13">
        <f t="shared" si="92"/>
        <v>1691518.73</v>
      </c>
      <c r="FS28" s="13">
        <f t="shared" si="93"/>
        <v>14700</v>
      </c>
      <c r="FT28" s="226">
        <f t="shared" si="94"/>
        <v>0.00869041515135928</v>
      </c>
      <c r="FU28" s="224">
        <f>(FQ28-FQ33)/FQ33</f>
        <v>-0.0072439788905684</v>
      </c>
      <c r="FV28" s="224"/>
      <c r="FW28" s="220"/>
      <c r="FX28" s="220" t="str">
        <f t="shared" si="95"/>
        <v>2026//5/22</v>
      </c>
      <c r="FY28" s="227">
        <v>8213282.05</v>
      </c>
      <c r="FZ28" s="13">
        <f t="shared" si="96"/>
        <v>8155682.05</v>
      </c>
      <c r="GA28" s="13">
        <f t="shared" si="97"/>
        <v>57600</v>
      </c>
      <c r="GB28" s="226">
        <f t="shared" si="98"/>
        <v>0.00706256075787064</v>
      </c>
      <c r="GC28" s="224">
        <f>(FY28-FY33)/FY33</f>
        <v>0.00511535113755772</v>
      </c>
      <c r="GD28" s="224"/>
      <c r="GE28" s="220"/>
      <c r="GF28" s="220" t="str">
        <f t="shared" si="99"/>
        <v>2026//5/22</v>
      </c>
      <c r="GG28" s="227">
        <v>4793569.49</v>
      </c>
      <c r="GH28" s="13">
        <f t="shared" si="100"/>
        <v>4758369.49</v>
      </c>
      <c r="GI28" s="13">
        <f t="shared" si="101"/>
        <v>35200</v>
      </c>
      <c r="GJ28" s="226">
        <f t="shared" si="102"/>
        <v>0.00739749195054628</v>
      </c>
      <c r="GK28" s="224">
        <f>(GG28-GG33)/GG33</f>
        <v>0.0269727752296361</v>
      </c>
      <c r="GL28" s="224"/>
      <c r="GM28" s="220"/>
      <c r="GN28" s="220" t="str">
        <f t="shared" si="103"/>
        <v>2026//5/22</v>
      </c>
      <c r="GO28" s="227">
        <v>1915798.1217</v>
      </c>
      <c r="GP28" s="13">
        <f t="shared" si="104"/>
        <v>1896598.1217</v>
      </c>
      <c r="GQ28" s="13">
        <f t="shared" si="105"/>
        <v>19200</v>
      </c>
      <c r="GR28" s="226">
        <f t="shared" si="106"/>
        <v>0.0101233887033434</v>
      </c>
      <c r="GS28" s="224">
        <f>(GO28-GO33)/GO33</f>
        <v>0.0181111079321546</v>
      </c>
      <c r="GT28" s="224"/>
      <c r="GU28" s="220"/>
      <c r="GV28" s="220" t="str">
        <f t="shared" si="107"/>
        <v>2026//5/22</v>
      </c>
      <c r="GW28" s="227">
        <v>816349.4</v>
      </c>
      <c r="GX28" s="13">
        <f t="shared" si="108"/>
        <v>823749.4</v>
      </c>
      <c r="GY28" s="13">
        <f t="shared" si="109"/>
        <v>-7400</v>
      </c>
      <c r="GZ28" s="226">
        <f t="shared" si="110"/>
        <v>-0.00898331458572231</v>
      </c>
      <c r="HA28" s="224">
        <f>(GW28-GW33)/GW33</f>
        <v>-0.0431342974630235</v>
      </c>
      <c r="HB28" s="224"/>
      <c r="HC28" s="220"/>
      <c r="HD28" s="220" t="str">
        <f t="shared" si="111"/>
        <v>2026//5/22</v>
      </c>
      <c r="HE28" s="227">
        <v>1219564.6746</v>
      </c>
      <c r="HF28" s="13">
        <f t="shared" si="112"/>
        <v>1223464.6746</v>
      </c>
      <c r="HG28" s="13">
        <f t="shared" si="113"/>
        <v>-3900</v>
      </c>
      <c r="HH28" s="226">
        <f t="shared" si="114"/>
        <v>-0.00318766866013117</v>
      </c>
      <c r="HI28" s="228">
        <f>(HE28-HE33)/HE33</f>
        <v>-0.0519292867092854</v>
      </c>
      <c r="HJ28" s="224"/>
      <c r="HK28" s="220"/>
      <c r="HL28" s="220" t="str">
        <f t="shared" si="115"/>
        <v>2026//5/22</v>
      </c>
      <c r="HM28" s="227">
        <v>128304.25</v>
      </c>
      <c r="HN28" s="13">
        <f t="shared" si="116"/>
        <v>129704.25</v>
      </c>
      <c r="HO28" s="13">
        <f t="shared" si="117"/>
        <v>-1400</v>
      </c>
      <c r="HP28" s="226">
        <f t="shared" si="118"/>
        <v>-0.0107937866338227</v>
      </c>
      <c r="HQ28" s="224">
        <f>(HM28-HM33)/HM33</f>
        <v>-0.0669070228738384</v>
      </c>
      <c r="HR28" s="224"/>
      <c r="HS28" s="220"/>
      <c r="HT28" s="220" t="str">
        <f t="shared" si="119"/>
        <v>2026//5/22</v>
      </c>
      <c r="HU28" s="227">
        <v>187368.8265</v>
      </c>
      <c r="HV28" s="13">
        <f t="shared" si="120"/>
        <v>193568.8265</v>
      </c>
      <c r="HW28" s="13">
        <f t="shared" si="121"/>
        <v>-6200</v>
      </c>
      <c r="HX28" s="226">
        <f t="shared" si="122"/>
        <v>-0.032029950855749</v>
      </c>
      <c r="HY28" s="224">
        <f>(HU28-HU33)/HU33</f>
        <v>-0.0990533069147265</v>
      </c>
      <c r="HZ28" s="224"/>
      <c r="IA28" s="220"/>
      <c r="IB28" s="220" t="str">
        <f t="shared" si="123"/>
        <v>2026//5/22</v>
      </c>
      <c r="IC28" s="227">
        <v>355609.79</v>
      </c>
      <c r="ID28" s="13">
        <f t="shared" si="124"/>
        <v>361409.79</v>
      </c>
      <c r="IE28" s="13">
        <f t="shared" si="125"/>
        <v>-5800</v>
      </c>
      <c r="IF28" s="226">
        <f t="shared" si="126"/>
        <v>-0.0160482647689206</v>
      </c>
      <c r="IG28" s="228">
        <f>(IC28-IC33)/IC33</f>
        <v>-0.0302030526000274</v>
      </c>
      <c r="IH28" s="224"/>
      <c r="II28" s="220"/>
      <c r="IJ28" s="220" t="str">
        <f t="shared" si="127"/>
        <v>2026//5/22</v>
      </c>
      <c r="IK28" s="227">
        <v>702796.29</v>
      </c>
      <c r="IL28" s="13">
        <f t="shared" si="128"/>
        <v>701516.29</v>
      </c>
      <c r="IM28" s="13">
        <f t="shared" si="129"/>
        <v>1280</v>
      </c>
      <c r="IN28" s="226">
        <f t="shared" si="130"/>
        <v>0.00182461906907393</v>
      </c>
      <c r="IO28" s="224">
        <f>(IK28-IK33)/IK33</f>
        <v>0.125849780377235</v>
      </c>
      <c r="IP28" s="224"/>
      <c r="IQ28" s="220"/>
      <c r="IR28" s="220" t="str">
        <f t="shared" si="131"/>
        <v>2026//5/22</v>
      </c>
      <c r="IS28" s="227">
        <v>136189</v>
      </c>
      <c r="IT28" s="13">
        <f t="shared" si="132"/>
        <v>139389</v>
      </c>
      <c r="IU28" s="13">
        <f t="shared" si="133"/>
        <v>-3200</v>
      </c>
      <c r="IV28" s="226">
        <f t="shared" si="134"/>
        <v>-0.0229573352273135</v>
      </c>
      <c r="IW28" s="224">
        <f>(IS28-IS33)/IS33</f>
        <v>-0.0137592422278386</v>
      </c>
      <c r="IX28" s="224"/>
      <c r="IY28" s="220"/>
      <c r="IZ28" s="220" t="str">
        <f t="shared" si="135"/>
        <v>2026//5/22</v>
      </c>
      <c r="JA28" s="227">
        <v>5233229.15</v>
      </c>
      <c r="JB28" s="13">
        <f t="shared" si="136"/>
        <v>5149229.15</v>
      </c>
      <c r="JC28" s="13">
        <f t="shared" si="137"/>
        <v>84000</v>
      </c>
      <c r="JD28" s="226">
        <f t="shared" si="138"/>
        <v>0.0163131213533195</v>
      </c>
      <c r="JE28" s="224">
        <f>(JA28-JA33)/JA33</f>
        <v>-0.00249698401023885</v>
      </c>
      <c r="JF28" s="224"/>
      <c r="JG28" s="220"/>
      <c r="JH28" s="220" t="str">
        <f t="shared" si="139"/>
        <v>2026//5/22</v>
      </c>
      <c r="JI28" s="227">
        <v>1345707.99</v>
      </c>
      <c r="JJ28" s="13">
        <f t="shared" si="140"/>
        <v>1343787.99</v>
      </c>
      <c r="JK28" s="13">
        <f t="shared" si="141"/>
        <v>1920</v>
      </c>
      <c r="JL28" s="226">
        <f t="shared" si="142"/>
        <v>0.00142879681489042</v>
      </c>
      <c r="JM28" s="224">
        <f>(JI28-JI33)/JI33</f>
        <v>0.00723027920576416</v>
      </c>
      <c r="JN28" s="224"/>
      <c r="JO28" s="224"/>
      <c r="JP28" s="220" t="str">
        <f t="shared" si="143"/>
        <v>2026//5/22</v>
      </c>
      <c r="JQ28" s="227">
        <v>1049790.4148</v>
      </c>
      <c r="JR28" s="13">
        <f t="shared" si="144"/>
        <v>1053990.4148</v>
      </c>
      <c r="JS28" s="13">
        <f t="shared" si="145"/>
        <v>-4200</v>
      </c>
      <c r="JT28" s="226">
        <f t="shared" si="146"/>
        <v>-0.00398485597309438</v>
      </c>
      <c r="JU28" s="224">
        <f>(JQ28-JQ33)/JQ33</f>
        <v>0.0176426610201961</v>
      </c>
      <c r="JV28" s="224"/>
      <c r="JW28" s="228"/>
      <c r="JX28" s="220" t="str">
        <f t="shared" si="147"/>
        <v>2026//5/22</v>
      </c>
      <c r="JY28" s="227">
        <v>1151898.8</v>
      </c>
      <c r="JZ28" s="13">
        <f t="shared" si="148"/>
        <v>1152498.8</v>
      </c>
      <c r="KA28" s="13">
        <f t="shared" si="149"/>
        <v>-600</v>
      </c>
      <c r="KB28" s="226">
        <f t="shared" si="150"/>
        <v>-0.000520607917335792</v>
      </c>
      <c r="KC28" s="224">
        <f>(JY28-JY33)/JY33</f>
        <v>-0.028547361802095</v>
      </c>
      <c r="KD28" s="224"/>
      <c r="KE28" s="228"/>
      <c r="KF28" s="220" t="str">
        <f t="shared" si="151"/>
        <v>2026//5/22</v>
      </c>
      <c r="KG28" s="227">
        <v>694955.9219</v>
      </c>
      <c r="KH28" s="13">
        <f t="shared" si="152"/>
        <v>696955.9219</v>
      </c>
      <c r="KI28" s="13">
        <f t="shared" si="153"/>
        <v>-2000</v>
      </c>
      <c r="KJ28" s="226">
        <f t="shared" si="154"/>
        <v>-0.00286962193326045</v>
      </c>
      <c r="KK28" s="228">
        <f>(KG28-KG33)/KG33</f>
        <v>-0.0150236142465577</v>
      </c>
      <c r="KL28" s="228"/>
      <c r="KM28" s="220"/>
      <c r="KN28" s="220" t="str">
        <f t="shared" si="155"/>
        <v>2026//5/22</v>
      </c>
      <c r="KO28" s="227">
        <v>8282575.95</v>
      </c>
      <c r="KP28" s="13">
        <f t="shared" si="156"/>
        <v>8328775.95</v>
      </c>
      <c r="KQ28" s="13">
        <f t="shared" si="157"/>
        <v>-46200</v>
      </c>
      <c r="KR28" s="226">
        <f t="shared" si="158"/>
        <v>-0.00554703359501464</v>
      </c>
      <c r="KS28" s="224">
        <f>(KO28-KO33)/KO33</f>
        <v>-0.00554703359501464</v>
      </c>
      <c r="KT28" s="224"/>
      <c r="KU28" s="220"/>
      <c r="KV28" s="220" t="str">
        <f t="shared" si="159"/>
        <v>2026//5/22</v>
      </c>
      <c r="KW28" s="227">
        <v>1100672.9726</v>
      </c>
      <c r="KX28" s="13">
        <f t="shared" si="160"/>
        <v>1100672.9726</v>
      </c>
      <c r="KY28" s="13">
        <f t="shared" si="161"/>
        <v>0</v>
      </c>
      <c r="KZ28" s="226">
        <f t="shared" si="162"/>
        <v>0</v>
      </c>
      <c r="LA28" s="228">
        <f>(KW28-KW33)/KW33</f>
        <v>0.0122313137581474</v>
      </c>
      <c r="LB28" s="224"/>
      <c r="LC28" s="220"/>
      <c r="LD28" s="220" t="str">
        <f t="shared" si="163"/>
        <v>2026//5/22</v>
      </c>
      <c r="LE28" s="227">
        <v>445507.7</v>
      </c>
      <c r="LF28" s="13">
        <f t="shared" si="164"/>
        <v>446707.7</v>
      </c>
      <c r="LG28" s="13">
        <f t="shared" si="165"/>
        <v>-1200</v>
      </c>
      <c r="LH28" s="226">
        <f t="shared" si="166"/>
        <v>-0.00268632038355282</v>
      </c>
      <c r="LI28" s="224">
        <f>(LE28-LE33)/LE33</f>
        <v>-0.0583376681461747</v>
      </c>
      <c r="LJ28" s="224"/>
      <c r="LK28" s="220"/>
      <c r="LL28" s="220" t="str">
        <f t="shared" si="167"/>
        <v>2026//5/22</v>
      </c>
      <c r="LM28" s="225">
        <v>3511195.02</v>
      </c>
      <c r="LN28" s="13">
        <f t="shared" si="168"/>
        <v>3472495.02</v>
      </c>
      <c r="LO28" s="13">
        <f t="shared" si="169"/>
        <v>38700</v>
      </c>
      <c r="LP28" s="226">
        <f t="shared" si="170"/>
        <v>0.011144724406257</v>
      </c>
      <c r="LQ28" s="224">
        <f>(LM28-LM33)/LM33</f>
        <v>-0.0131035480310047</v>
      </c>
      <c r="LR28" s="224"/>
      <c r="LS28" s="220"/>
      <c r="LT28" s="220" t="str">
        <f t="shared" si="171"/>
        <v>2026//5/22</v>
      </c>
      <c r="LU28" s="227">
        <v>2462862.904</v>
      </c>
      <c r="LV28" s="13">
        <f t="shared" si="172"/>
        <v>2455062.904</v>
      </c>
      <c r="LW28" s="13">
        <f t="shared" si="173"/>
        <v>7800</v>
      </c>
      <c r="LX28" s="226">
        <f t="shared" si="174"/>
        <v>0.00317710800293205</v>
      </c>
      <c r="LY28" s="224">
        <f>(LU28-LU33)/LU33</f>
        <v>0.00415874516769713</v>
      </c>
      <c r="LZ28" s="224"/>
      <c r="MA28" s="220"/>
      <c r="MB28" s="220" t="str">
        <f t="shared" si="175"/>
        <v>2026//5/22</v>
      </c>
      <c r="MC28" s="227">
        <v>922667.69</v>
      </c>
      <c r="MD28" s="13">
        <f t="shared" si="176"/>
        <v>928617.69</v>
      </c>
      <c r="ME28" s="13">
        <f t="shared" si="177"/>
        <v>-5950</v>
      </c>
      <c r="MF28" s="226">
        <f t="shared" si="178"/>
        <v>-0.00640737309236485</v>
      </c>
      <c r="MG28" s="224">
        <f>(MC28-MC33)/MC33</f>
        <v>0.0598460069199214</v>
      </c>
      <c r="MH28" s="224"/>
      <c r="MK28" s="220" t="str">
        <f t="shared" si="179"/>
        <v>2026//5/22</v>
      </c>
      <c r="ML28" s="230">
        <v>175905.5354</v>
      </c>
      <c r="MM28" s="13">
        <f t="shared" si="180"/>
        <v>184905.5354</v>
      </c>
      <c r="MN28" s="13">
        <f t="shared" si="181"/>
        <v>-9000</v>
      </c>
      <c r="MO28" s="226">
        <f t="shared" si="182"/>
        <v>-0.048673502286076</v>
      </c>
      <c r="MP28" s="224">
        <f>(ML28-ML33)/ML33</f>
        <v>-0.0733304925002203</v>
      </c>
      <c r="MQ28" s="228"/>
      <c r="MR28" s="228"/>
      <c r="MT28" s="220" t="str">
        <f t="shared" si="183"/>
        <v>2026//5/22</v>
      </c>
      <c r="MU28" s="230">
        <v>168714.8</v>
      </c>
      <c r="MV28" s="231">
        <f t="shared" si="184"/>
        <v>170714.8</v>
      </c>
      <c r="MW28" s="9">
        <f t="shared" si="185"/>
        <v>-2000</v>
      </c>
      <c r="MX28" s="224">
        <f t="shared" si="186"/>
        <v>-0.0117154458781547</v>
      </c>
      <c r="MY28" s="224">
        <f>(MU28-MU33)/MU33</f>
        <v>-0.0517101444061989</v>
      </c>
      <c r="MZ28" s="224"/>
      <c r="NA28" s="224"/>
      <c r="NC28" s="220" t="str">
        <f t="shared" si="187"/>
        <v>2026//5/22</v>
      </c>
      <c r="ND28" s="230">
        <v>41291.48</v>
      </c>
      <c r="NE28" s="231">
        <f t="shared" si="188"/>
        <v>40891.48</v>
      </c>
      <c r="NF28" s="9">
        <f t="shared" si="189"/>
        <v>400</v>
      </c>
      <c r="NG28" s="224">
        <f t="shared" si="190"/>
        <v>0.00978198881527399</v>
      </c>
      <c r="NH28" s="224">
        <f>(ND28-ND33)/ND33</f>
        <v>0</v>
      </c>
      <c r="NI28" s="224"/>
      <c r="NJ28" s="224"/>
      <c r="NK28" s="224"/>
      <c r="NM28" s="220" t="str">
        <f t="shared" si="191"/>
        <v>2026//5/22</v>
      </c>
      <c r="NN28" s="230">
        <v>2727911.08</v>
      </c>
      <c r="NO28" s="9">
        <f t="shared" si="192"/>
        <v>2678811.08</v>
      </c>
      <c r="NP28" s="9">
        <f t="shared" si="193"/>
        <v>49100</v>
      </c>
      <c r="NQ28" s="224">
        <f t="shared" si="194"/>
        <v>0.0183290267710853</v>
      </c>
      <c r="NR28" s="224">
        <f>(NN28-NN33)/NN33</f>
        <v>0.0233333613933885</v>
      </c>
      <c r="NT28" s="220"/>
      <c r="NU28" s="220" t="str">
        <f t="shared" si="195"/>
        <v>2026//5/22</v>
      </c>
      <c r="NV28" s="230">
        <v>258476.5</v>
      </c>
      <c r="NW28" s="232">
        <f t="shared" si="196"/>
        <v>258426.5</v>
      </c>
      <c r="NX28" s="9">
        <f t="shared" si="197"/>
        <v>50</v>
      </c>
      <c r="NY28" s="224">
        <f t="shared" si="198"/>
        <v>0.000193478609972275</v>
      </c>
      <c r="NZ28" s="228">
        <f>(NV28-NV33)/NV33</f>
        <v>-0.00404582961662875</v>
      </c>
      <c r="OA28" s="227"/>
      <c r="OB28" s="220"/>
      <c r="OC28" s="220" t="str">
        <f t="shared" si="199"/>
        <v>2026//5/22</v>
      </c>
      <c r="OD28" s="227">
        <v>15324.97</v>
      </c>
      <c r="OE28" s="13">
        <f t="shared" si="200"/>
        <v>15240.97</v>
      </c>
      <c r="OF28" s="13">
        <f t="shared" si="201"/>
        <v>84</v>
      </c>
      <c r="OG28" s="226">
        <f t="shared" si="202"/>
        <v>0.00551146022858125</v>
      </c>
      <c r="OH28" s="224">
        <f>(OD28-OD33)/OD33</f>
        <v>0.0224164835875981</v>
      </c>
      <c r="OI28" s="224"/>
      <c r="OJ28" s="220"/>
      <c r="OK28" s="220" t="str">
        <f t="shared" si="203"/>
        <v>2026//5/22</v>
      </c>
      <c r="OL28" s="227">
        <v>14463.65</v>
      </c>
      <c r="OM28" s="13">
        <f t="shared" si="204"/>
        <v>14474.65</v>
      </c>
      <c r="ON28" s="13">
        <f t="shared" si="205"/>
        <v>-11</v>
      </c>
      <c r="OO28" s="226">
        <f t="shared" si="206"/>
        <v>-0.000759949290656424</v>
      </c>
      <c r="OP28" s="224">
        <f>(OL28-OL33)/OL33</f>
        <v>0.0515462043745206</v>
      </c>
      <c r="OQ28" s="224"/>
      <c r="OT28" s="233" t="str">
        <f t="shared" si="207"/>
        <v>2026//5/22</v>
      </c>
      <c r="OU28" s="206">
        <v>147792.4066</v>
      </c>
      <c r="OV28" s="8">
        <f t="shared" si="208"/>
        <v>147672.4066</v>
      </c>
      <c r="OW28" s="191">
        <f t="shared" si="209"/>
        <v>120</v>
      </c>
      <c r="OX28" s="192">
        <f t="shared" si="210"/>
        <v>0.000812609496674919</v>
      </c>
    </row>
    <row r="29" s="8" customFormat="1" ht="17" customHeight="1" spans="1:415">
      <c r="A29" s="15"/>
      <c r="B29" s="15"/>
      <c r="C29" s="15" t="s">
        <v>455</v>
      </c>
      <c r="D29" s="207">
        <v>3049428.77</v>
      </c>
      <c r="E29" s="19">
        <f t="shared" si="8"/>
        <v>3102708.77</v>
      </c>
      <c r="F29" s="19">
        <f t="shared" si="9"/>
        <v>-53280</v>
      </c>
      <c r="G29" s="172">
        <f t="shared" si="10"/>
        <v>-0.0171720918557239</v>
      </c>
      <c r="H29" s="18"/>
      <c r="I29" s="172"/>
      <c r="J29" s="172"/>
      <c r="K29" s="8" t="str">
        <f t="shared" si="11"/>
        <v>2026//5/21</v>
      </c>
      <c r="L29" s="19">
        <v>2444644.4</v>
      </c>
      <c r="M29" s="19">
        <f t="shared" si="12"/>
        <v>2492704.4</v>
      </c>
      <c r="N29" s="19">
        <f t="shared" si="13"/>
        <v>-48060</v>
      </c>
      <c r="O29" s="172">
        <f t="shared" si="14"/>
        <v>-0.0192802644388962</v>
      </c>
      <c r="P29" s="18"/>
      <c r="Q29" s="172"/>
      <c r="R29" s="19"/>
      <c r="S29" s="8" t="str">
        <f t="shared" si="15"/>
        <v>2026//5/21</v>
      </c>
      <c r="T29" s="19">
        <v>979626.68</v>
      </c>
      <c r="U29" s="19">
        <f t="shared" si="16"/>
        <v>1005186.68</v>
      </c>
      <c r="V29" s="19">
        <f t="shared" si="17"/>
        <v>-25560</v>
      </c>
      <c r="W29" s="172">
        <f t="shared" si="18"/>
        <v>-0.0254281125173684</v>
      </c>
      <c r="X29" s="18"/>
      <c r="Y29" s="172"/>
      <c r="Z29" s="19"/>
      <c r="AA29" s="8" t="str">
        <f t="shared" si="19"/>
        <v>2026//5/21</v>
      </c>
      <c r="AB29" s="19">
        <v>450536.86</v>
      </c>
      <c r="AC29" s="19">
        <f t="shared" si="20"/>
        <v>439496.86</v>
      </c>
      <c r="AD29" s="19">
        <f t="shared" si="21"/>
        <v>11040</v>
      </c>
      <c r="AE29" s="172">
        <f t="shared" si="22"/>
        <v>0.0251196333916925</v>
      </c>
      <c r="AF29" s="18"/>
      <c r="AG29" s="172"/>
      <c r="AH29" s="19"/>
      <c r="AI29" s="8" t="str">
        <f t="shared" si="23"/>
        <v>2026//5/21</v>
      </c>
      <c r="AJ29" s="19">
        <v>341521.76</v>
      </c>
      <c r="AK29" s="19">
        <f t="shared" si="24"/>
        <v>304121.76</v>
      </c>
      <c r="AL29" s="19">
        <f t="shared" si="25"/>
        <v>37400</v>
      </c>
      <c r="AM29" s="172">
        <f t="shared" si="26"/>
        <v>0.122977060240609</v>
      </c>
      <c r="AN29" s="18"/>
      <c r="AO29" s="18"/>
      <c r="AP29" s="19"/>
      <c r="AQ29" s="8" t="str">
        <f t="shared" si="27"/>
        <v>2026//5/21</v>
      </c>
      <c r="AR29" s="19">
        <v>1176045.4936</v>
      </c>
      <c r="AS29" s="19">
        <f t="shared" si="28"/>
        <v>1195845.4936</v>
      </c>
      <c r="AT29" s="19">
        <f t="shared" si="29"/>
        <v>-19800</v>
      </c>
      <c r="AU29" s="172">
        <f t="shared" si="30"/>
        <v>-0.0165573229200318</v>
      </c>
      <c r="AV29" s="18"/>
      <c r="AW29" s="18"/>
      <c r="AX29" s="17"/>
      <c r="AY29" s="129"/>
      <c r="AZ29" s="8" t="str">
        <f t="shared" si="31"/>
        <v>2026//5/21</v>
      </c>
      <c r="BA29" s="17">
        <v>1408791.6676</v>
      </c>
      <c r="BB29" s="129">
        <f t="shared" si="32"/>
        <v>1454061.6676</v>
      </c>
      <c r="BC29" s="17">
        <f t="shared" si="33"/>
        <v>-45270</v>
      </c>
      <c r="BD29" s="18">
        <f t="shared" si="34"/>
        <v>-0.0311334801052285</v>
      </c>
      <c r="BE29" s="18"/>
      <c r="BF29" s="18"/>
      <c r="BG29" s="74"/>
      <c r="BH29" s="194" t="str">
        <f t="shared" si="35"/>
        <v>2026//5/21</v>
      </c>
      <c r="BI29" s="194">
        <v>1503026.5525</v>
      </c>
      <c r="BJ29" s="195">
        <f t="shared" si="36"/>
        <v>1524526.5525</v>
      </c>
      <c r="BK29" s="195">
        <f t="shared" si="37"/>
        <v>-21500</v>
      </c>
      <c r="BL29" s="196">
        <f t="shared" si="38"/>
        <v>-0.0141027389550829</v>
      </c>
      <c r="BM29" s="197"/>
      <c r="BN29" s="192"/>
      <c r="BO29" s="194"/>
      <c r="BP29" s="194" t="str">
        <f t="shared" si="39"/>
        <v>2026//5/21</v>
      </c>
      <c r="BQ29" s="198">
        <v>1108562.3921</v>
      </c>
      <c r="BR29" s="12">
        <f t="shared" si="40"/>
        <v>1111762.3921</v>
      </c>
      <c r="BS29" s="12">
        <f t="shared" si="41"/>
        <v>-3200</v>
      </c>
      <c r="BT29" s="199">
        <f t="shared" si="42"/>
        <v>-0.00287831286859375</v>
      </c>
      <c r="BU29" s="192"/>
      <c r="BV29" s="192"/>
      <c r="BW29" s="194"/>
      <c r="BX29" s="194" t="str">
        <f t="shared" si="43"/>
        <v>2026//5/21</v>
      </c>
      <c r="BY29" s="200">
        <v>2427510.7019</v>
      </c>
      <c r="BZ29" s="12">
        <f t="shared" si="44"/>
        <v>2452860.7019</v>
      </c>
      <c r="CA29" s="12">
        <f t="shared" si="45"/>
        <v>-25350</v>
      </c>
      <c r="CB29" s="199">
        <f t="shared" si="46"/>
        <v>-0.0103348714341437</v>
      </c>
      <c r="CC29" s="192"/>
      <c r="CD29" s="201"/>
      <c r="CE29" s="194"/>
      <c r="CF29" s="194" t="str">
        <f t="shared" si="47"/>
        <v>2026//5/21</v>
      </c>
      <c r="CG29" s="200">
        <v>1276153.9</v>
      </c>
      <c r="CH29" s="12">
        <f t="shared" si="48"/>
        <v>1274903.9</v>
      </c>
      <c r="CI29" s="12">
        <f t="shared" si="49"/>
        <v>1250</v>
      </c>
      <c r="CJ29" s="199">
        <f t="shared" si="50"/>
        <v>0.000980466057088695</v>
      </c>
      <c r="CK29" s="192"/>
      <c r="CL29" s="201"/>
      <c r="CM29" s="194"/>
      <c r="CN29" s="194" t="str">
        <f t="shared" si="51"/>
        <v>2026//5/21</v>
      </c>
      <c r="CO29" s="200">
        <v>588546.48</v>
      </c>
      <c r="CP29" s="12">
        <f t="shared" si="52"/>
        <v>590846.48</v>
      </c>
      <c r="CQ29" s="12">
        <f t="shared" si="53"/>
        <v>-2300</v>
      </c>
      <c r="CR29" s="199">
        <f t="shared" si="54"/>
        <v>-0.0038927201529575</v>
      </c>
      <c r="CS29" s="201"/>
      <c r="CT29" s="201"/>
      <c r="CU29" s="194"/>
      <c r="CV29" s="194" t="str">
        <f t="shared" si="55"/>
        <v>2026//5/21</v>
      </c>
      <c r="CW29" s="200">
        <v>584240.4</v>
      </c>
      <c r="CX29" s="12">
        <f t="shared" si="56"/>
        <v>587990.4</v>
      </c>
      <c r="CY29" s="12">
        <f t="shared" si="57"/>
        <v>-3750</v>
      </c>
      <c r="CZ29" s="199">
        <f t="shared" si="58"/>
        <v>-0.00637765514539013</v>
      </c>
      <c r="DA29" s="192"/>
      <c r="DB29" s="192"/>
      <c r="DC29" s="202"/>
      <c r="DD29" s="194" t="str">
        <f t="shared" si="59"/>
        <v>2026//5/21</v>
      </c>
      <c r="DE29" s="200">
        <v>2116917.9986</v>
      </c>
      <c r="DF29" s="12">
        <f t="shared" si="60"/>
        <v>2145117.9986</v>
      </c>
      <c r="DG29" s="12">
        <f t="shared" si="61"/>
        <v>-28200</v>
      </c>
      <c r="DH29" s="199">
        <f t="shared" si="62"/>
        <v>-0.013146129965067</v>
      </c>
      <c r="DI29" s="192"/>
      <c r="DJ29" s="192"/>
      <c r="DK29" s="194"/>
      <c r="DL29" s="194" t="str">
        <f t="shared" si="63"/>
        <v>2026//5/21</v>
      </c>
      <c r="DM29" s="200">
        <v>865700.36</v>
      </c>
      <c r="DN29" s="12">
        <f t="shared" si="64"/>
        <v>865100.36</v>
      </c>
      <c r="DO29" s="12">
        <f t="shared" si="65"/>
        <v>600</v>
      </c>
      <c r="DP29" s="199">
        <f t="shared" si="66"/>
        <v>0.000693561149367687</v>
      </c>
      <c r="DQ29" s="192"/>
      <c r="DR29" s="192"/>
      <c r="DS29" s="194"/>
      <c r="DT29" s="194" t="str">
        <f t="shared" si="67"/>
        <v>2026//5/21</v>
      </c>
      <c r="DU29" s="200">
        <v>1275389.48</v>
      </c>
      <c r="DV29" s="12">
        <f t="shared" si="68"/>
        <v>1288589.48</v>
      </c>
      <c r="DW29" s="12">
        <f t="shared" si="69"/>
        <v>-13200</v>
      </c>
      <c r="DX29" s="199">
        <f t="shared" si="70"/>
        <v>-0.0102437589355456</v>
      </c>
      <c r="DY29" s="192"/>
      <c r="DZ29" s="192"/>
      <c r="EA29" s="194"/>
      <c r="EB29" s="194" t="str">
        <f t="shared" si="71"/>
        <v>2026//5/21</v>
      </c>
      <c r="EC29" s="200">
        <v>3489866.82</v>
      </c>
      <c r="ED29" s="12">
        <f t="shared" si="72"/>
        <v>3514466.82</v>
      </c>
      <c r="EE29" s="12">
        <f t="shared" si="73"/>
        <v>-24600</v>
      </c>
      <c r="EF29" s="199">
        <f t="shared" si="74"/>
        <v>-0.00699963927956503</v>
      </c>
      <c r="EG29" s="192"/>
      <c r="EH29" s="192"/>
      <c r="EI29" s="194"/>
      <c r="EJ29" s="194" t="str">
        <f t="shared" si="75"/>
        <v>2026//5/21</v>
      </c>
      <c r="EK29" s="200">
        <v>1239322.9669</v>
      </c>
      <c r="EL29" s="12">
        <f t="shared" si="76"/>
        <v>1242922.9669</v>
      </c>
      <c r="EM29" s="12">
        <f t="shared" si="77"/>
        <v>-3600</v>
      </c>
      <c r="EN29" s="199">
        <f t="shared" si="78"/>
        <v>-0.00289639832545603</v>
      </c>
      <c r="EO29" s="192"/>
      <c r="EP29" s="192"/>
      <c r="EQ29" s="194"/>
      <c r="ER29" s="194" t="str">
        <f t="shared" si="79"/>
        <v>2026//5/21</v>
      </c>
      <c r="ES29">
        <v>406097.02</v>
      </c>
      <c r="ET29" s="12">
        <f t="shared" si="80"/>
        <v>404597.02</v>
      </c>
      <c r="EU29" s="12">
        <f t="shared" si="81"/>
        <v>1500</v>
      </c>
      <c r="EV29" s="199">
        <f t="shared" si="82"/>
        <v>0.00370739260511607</v>
      </c>
      <c r="EW29" s="192"/>
      <c r="EX29" s="192"/>
      <c r="EY29" s="194"/>
      <c r="EZ29" s="194" t="str">
        <f t="shared" si="83"/>
        <v>2026//5/21</v>
      </c>
      <c r="FA29" s="200">
        <v>630508</v>
      </c>
      <c r="FB29" s="12">
        <f t="shared" si="84"/>
        <v>632208</v>
      </c>
      <c r="FC29" s="12">
        <f t="shared" si="85"/>
        <v>-1700</v>
      </c>
      <c r="FD29" s="199">
        <f t="shared" si="86"/>
        <v>-0.00268898843418622</v>
      </c>
      <c r="FE29" s="192"/>
      <c r="FF29" s="192"/>
      <c r="FG29" s="192"/>
      <c r="FH29" s="194" t="str">
        <f t="shared" si="87"/>
        <v>2026//5/21</v>
      </c>
      <c r="FI29" s="198">
        <v>1232895.3365</v>
      </c>
      <c r="FJ29" s="12">
        <f t="shared" si="88"/>
        <v>1223695.3365</v>
      </c>
      <c r="FK29" s="12">
        <f t="shared" si="89"/>
        <v>9200</v>
      </c>
      <c r="FL29" s="199">
        <f t="shared" si="90"/>
        <v>0.00751821121286099</v>
      </c>
      <c r="FM29" s="201"/>
      <c r="FN29" s="201"/>
      <c r="FO29" s="194"/>
      <c r="FP29" s="194" t="str">
        <f t="shared" si="91"/>
        <v>2026//5/21</v>
      </c>
      <c r="FQ29" s="200">
        <v>1691518.73</v>
      </c>
      <c r="FR29" s="12">
        <f t="shared" si="92"/>
        <v>1699018.73</v>
      </c>
      <c r="FS29" s="12">
        <f t="shared" si="93"/>
        <v>-7500</v>
      </c>
      <c r="FT29" s="199">
        <f t="shared" si="94"/>
        <v>-0.00441431272508691</v>
      </c>
      <c r="FU29" s="192"/>
      <c r="FV29" s="192"/>
      <c r="FW29" s="194"/>
      <c r="FX29" s="194" t="str">
        <f t="shared" si="95"/>
        <v>2026//5/21</v>
      </c>
      <c r="FY29" s="200">
        <v>8155682.05</v>
      </c>
      <c r="FZ29" s="12">
        <f t="shared" si="96"/>
        <v>8230382.05</v>
      </c>
      <c r="GA29" s="12">
        <f t="shared" si="97"/>
        <v>-74700</v>
      </c>
      <c r="GB29" s="199">
        <f t="shared" si="98"/>
        <v>-0.00907612788157264</v>
      </c>
      <c r="GC29" s="192"/>
      <c r="GD29" s="192"/>
      <c r="GE29" s="194"/>
      <c r="GF29" s="194" t="str">
        <f t="shared" si="99"/>
        <v>2026//5/21</v>
      </c>
      <c r="GG29" s="200">
        <v>4758369.49</v>
      </c>
      <c r="GH29" s="12">
        <f t="shared" si="100"/>
        <v>4815069.49</v>
      </c>
      <c r="GI29" s="12">
        <f t="shared" si="101"/>
        <v>-56700</v>
      </c>
      <c r="GJ29" s="199">
        <f t="shared" si="102"/>
        <v>-0.0117755309903118</v>
      </c>
      <c r="GK29" s="192"/>
      <c r="GL29" s="192"/>
      <c r="GM29" s="194"/>
      <c r="GN29" s="194" t="str">
        <f t="shared" si="103"/>
        <v>2026//5/21</v>
      </c>
      <c r="GO29" s="200">
        <v>1896598.1217</v>
      </c>
      <c r="GP29" s="12">
        <f t="shared" si="104"/>
        <v>1882138.1217</v>
      </c>
      <c r="GQ29" s="12">
        <f t="shared" si="105"/>
        <v>14460</v>
      </c>
      <c r="GR29" s="199">
        <f t="shared" si="106"/>
        <v>0.00768275177750468</v>
      </c>
      <c r="GS29" s="192"/>
      <c r="GT29" s="192"/>
      <c r="GU29" s="194"/>
      <c r="GV29" s="194" t="str">
        <f t="shared" si="107"/>
        <v>2026//5/21</v>
      </c>
      <c r="GW29" s="200">
        <v>823749.4</v>
      </c>
      <c r="GX29" s="12">
        <f t="shared" si="108"/>
        <v>837549.4</v>
      </c>
      <c r="GY29" s="12">
        <f t="shared" si="109"/>
        <v>-13800</v>
      </c>
      <c r="GZ29" s="199">
        <f t="shared" si="110"/>
        <v>-0.0164766400644547</v>
      </c>
      <c r="HA29" s="192"/>
      <c r="HB29" s="192"/>
      <c r="HC29" s="194"/>
      <c r="HD29" s="194" t="str">
        <f t="shared" si="111"/>
        <v>2026//5/21</v>
      </c>
      <c r="HE29" s="200">
        <v>1223464.6746</v>
      </c>
      <c r="HF29" s="12">
        <f t="shared" si="112"/>
        <v>1228264.6746</v>
      </c>
      <c r="HG29" s="12">
        <f t="shared" si="113"/>
        <v>-4800</v>
      </c>
      <c r="HH29" s="199">
        <f t="shared" si="114"/>
        <v>-0.00390795249530658</v>
      </c>
      <c r="HI29" s="201"/>
      <c r="HJ29" s="192"/>
      <c r="HK29" s="194"/>
      <c r="HL29" s="194" t="str">
        <f t="shared" si="115"/>
        <v>2026//5/21</v>
      </c>
      <c r="HM29" s="200">
        <v>129704.25</v>
      </c>
      <c r="HN29" s="208">
        <f t="shared" si="116"/>
        <v>130204.25</v>
      </c>
      <c r="HO29" s="208">
        <f t="shared" si="117"/>
        <v>-500</v>
      </c>
      <c r="HP29" s="209">
        <f t="shared" si="118"/>
        <v>-0.00384012042617656</v>
      </c>
      <c r="HQ29" s="192"/>
      <c r="HR29" s="192"/>
      <c r="HS29" s="194"/>
      <c r="HT29" s="194" t="str">
        <f t="shared" si="119"/>
        <v>2026//5/21</v>
      </c>
      <c r="HU29" s="200">
        <v>193568.8265</v>
      </c>
      <c r="HV29" s="12">
        <f t="shared" si="120"/>
        <v>194168.8265</v>
      </c>
      <c r="HW29" s="12">
        <f t="shared" si="121"/>
        <v>-600</v>
      </c>
      <c r="HX29" s="199">
        <f t="shared" si="122"/>
        <v>-0.00309009438237502</v>
      </c>
      <c r="HY29" s="192"/>
      <c r="HZ29" s="192"/>
      <c r="IA29" s="194"/>
      <c r="IB29" s="194" t="str">
        <f t="shared" si="123"/>
        <v>2026//5/21</v>
      </c>
      <c r="IC29" s="200">
        <v>361409.79</v>
      </c>
      <c r="ID29" s="12">
        <f t="shared" si="124"/>
        <v>362759.79</v>
      </c>
      <c r="IE29" s="12">
        <f t="shared" si="125"/>
        <v>-1350</v>
      </c>
      <c r="IF29" s="199">
        <f t="shared" si="126"/>
        <v>-0.00372147089400399</v>
      </c>
      <c r="IG29" s="201"/>
      <c r="IH29" s="192"/>
      <c r="II29" s="194"/>
      <c r="IJ29" s="194" t="str">
        <f t="shared" si="127"/>
        <v>2026//5/21</v>
      </c>
      <c r="IK29" s="200">
        <v>701516.29</v>
      </c>
      <c r="IL29" s="12">
        <f t="shared" si="128"/>
        <v>693676.29</v>
      </c>
      <c r="IM29" s="12">
        <f t="shared" si="129"/>
        <v>7840</v>
      </c>
      <c r="IN29" s="199">
        <f t="shared" si="130"/>
        <v>0.011302101733937</v>
      </c>
      <c r="IO29" s="192"/>
      <c r="IP29" s="192"/>
      <c r="IQ29" s="194"/>
      <c r="IR29" s="194" t="str">
        <f t="shared" si="131"/>
        <v>2026//5/21</v>
      </c>
      <c r="IS29" s="200">
        <v>139389</v>
      </c>
      <c r="IT29" s="12">
        <f t="shared" si="132"/>
        <v>140589</v>
      </c>
      <c r="IU29" s="12">
        <f t="shared" si="133"/>
        <v>-1200</v>
      </c>
      <c r="IV29" s="199">
        <f t="shared" si="134"/>
        <v>-0.0085355184260504</v>
      </c>
      <c r="IW29" s="192"/>
      <c r="IX29" s="192"/>
      <c r="IY29" s="194"/>
      <c r="IZ29" s="194" t="str">
        <f t="shared" si="135"/>
        <v>2026//5/21</v>
      </c>
      <c r="JA29" s="200">
        <v>5149229.15</v>
      </c>
      <c r="JB29" s="12">
        <f t="shared" si="136"/>
        <v>5223429.15</v>
      </c>
      <c r="JC29" s="12">
        <f t="shared" si="137"/>
        <v>-74200</v>
      </c>
      <c r="JD29" s="199">
        <f t="shared" si="138"/>
        <v>-0.0142052276137411</v>
      </c>
      <c r="JE29" s="192"/>
      <c r="JF29" s="192"/>
      <c r="JG29" s="194"/>
      <c r="JH29" s="194" t="str">
        <f t="shared" si="139"/>
        <v>2026//5/21</v>
      </c>
      <c r="JI29" s="200">
        <v>1343787.99</v>
      </c>
      <c r="JJ29" s="12">
        <f t="shared" si="140"/>
        <v>1331547.99</v>
      </c>
      <c r="JK29" s="12">
        <f t="shared" si="141"/>
        <v>12240</v>
      </c>
      <c r="JL29" s="199">
        <f t="shared" si="142"/>
        <v>0.0091923085701177</v>
      </c>
      <c r="JM29" s="192"/>
      <c r="JN29" s="192"/>
      <c r="JO29" s="192"/>
      <c r="JP29" s="194" t="str">
        <f t="shared" si="143"/>
        <v>2026//5/21</v>
      </c>
      <c r="JQ29" s="200">
        <v>1053990.4148</v>
      </c>
      <c r="JR29" s="12">
        <f t="shared" si="144"/>
        <v>1014190.4148</v>
      </c>
      <c r="JS29" s="12">
        <f t="shared" si="145"/>
        <v>39799.9999999999</v>
      </c>
      <c r="JT29" s="199">
        <f t="shared" si="146"/>
        <v>0.0392431237952969</v>
      </c>
      <c r="JU29" s="192"/>
      <c r="JV29" s="192"/>
      <c r="JW29" s="201"/>
      <c r="JX29" s="194" t="str">
        <f t="shared" si="147"/>
        <v>2026//5/21</v>
      </c>
      <c r="JY29" s="200">
        <v>1152498.8</v>
      </c>
      <c r="JZ29" s="12">
        <f t="shared" si="148"/>
        <v>1183648.8</v>
      </c>
      <c r="KA29" s="12">
        <f t="shared" si="149"/>
        <v>-31150</v>
      </c>
      <c r="KB29" s="199">
        <f t="shared" si="150"/>
        <v>-0.0263169277914192</v>
      </c>
      <c r="KC29" s="192"/>
      <c r="KD29" s="192"/>
      <c r="KE29" s="201"/>
      <c r="KF29" s="194" t="str">
        <f t="shared" si="151"/>
        <v>2026//5/21</v>
      </c>
      <c r="KG29" s="200">
        <v>696955.9219</v>
      </c>
      <c r="KH29" s="12">
        <f t="shared" si="152"/>
        <v>697555.9219</v>
      </c>
      <c r="KI29" s="12">
        <f t="shared" si="153"/>
        <v>-600</v>
      </c>
      <c r="KJ29" s="199">
        <f t="shared" si="154"/>
        <v>-0.000860146091750927</v>
      </c>
      <c r="KK29" s="201"/>
      <c r="KL29" s="201"/>
      <c r="KM29" s="194"/>
      <c r="KN29" s="194" t="str">
        <f t="shared" si="155"/>
        <v>2026//5/21</v>
      </c>
      <c r="KO29" s="200">
        <v>8328775.95</v>
      </c>
      <c r="KP29" s="12">
        <f t="shared" si="156"/>
        <v>8328775.95</v>
      </c>
      <c r="KQ29" s="12">
        <f t="shared" si="157"/>
        <v>0</v>
      </c>
      <c r="KR29" s="199">
        <f t="shared" si="158"/>
        <v>0</v>
      </c>
      <c r="KS29" s="192"/>
      <c r="KT29" s="192"/>
      <c r="KU29" s="194"/>
      <c r="KV29" s="194" t="str">
        <f t="shared" si="159"/>
        <v>2026//5/21</v>
      </c>
      <c r="KW29" s="200">
        <v>1100672.9726</v>
      </c>
      <c r="KX29" s="12">
        <f t="shared" si="160"/>
        <v>1101672.9726</v>
      </c>
      <c r="KY29" s="12">
        <f t="shared" si="161"/>
        <v>-1000</v>
      </c>
      <c r="KZ29" s="199">
        <f t="shared" si="162"/>
        <v>-0.000907710386722071</v>
      </c>
      <c r="LA29" s="201"/>
      <c r="LB29" s="192"/>
      <c r="LC29" s="194"/>
      <c r="LD29" s="194" t="str">
        <f t="shared" si="163"/>
        <v>2026//5/21</v>
      </c>
      <c r="LE29" s="200">
        <v>446707.7</v>
      </c>
      <c r="LF29" s="12">
        <f t="shared" si="164"/>
        <v>451157.7</v>
      </c>
      <c r="LG29" s="12">
        <f t="shared" si="165"/>
        <v>-4450</v>
      </c>
      <c r="LH29" s="199">
        <f t="shared" si="166"/>
        <v>-0.00986351335685948</v>
      </c>
      <c r="LI29" s="192"/>
      <c r="LJ29" s="192"/>
      <c r="LK29" s="194"/>
      <c r="LL29" s="194" t="str">
        <f t="shared" si="167"/>
        <v>2026//5/21</v>
      </c>
      <c r="LM29" s="198">
        <v>3472495.02</v>
      </c>
      <c r="LN29" s="12">
        <f t="shared" si="168"/>
        <v>3484195.02</v>
      </c>
      <c r="LO29" s="12">
        <f t="shared" si="169"/>
        <v>-11700</v>
      </c>
      <c r="LP29" s="199">
        <f t="shared" si="170"/>
        <v>-0.00335802098701123</v>
      </c>
      <c r="LQ29" s="192"/>
      <c r="LR29" s="192"/>
      <c r="LS29" s="194"/>
      <c r="LT29" s="194" t="str">
        <f t="shared" si="171"/>
        <v>2026//5/21</v>
      </c>
      <c r="LU29" s="200">
        <v>2455062.904</v>
      </c>
      <c r="LV29" s="12">
        <f t="shared" si="172"/>
        <v>2454262.904</v>
      </c>
      <c r="LW29" s="12">
        <f t="shared" si="173"/>
        <v>800</v>
      </c>
      <c r="LX29" s="199">
        <f t="shared" si="174"/>
        <v>0.00032596344861675</v>
      </c>
      <c r="LY29" s="192"/>
      <c r="LZ29" s="192"/>
      <c r="MA29" s="194"/>
      <c r="MB29" s="194" t="str">
        <f t="shared" si="175"/>
        <v>2026//5/21</v>
      </c>
      <c r="MC29" s="200">
        <v>928617.69</v>
      </c>
      <c r="MD29" s="12">
        <f t="shared" si="176"/>
        <v>931967.69</v>
      </c>
      <c r="ME29" s="12">
        <f t="shared" si="177"/>
        <v>-3350</v>
      </c>
      <c r="MF29" s="199">
        <f t="shared" si="178"/>
        <v>-0.00359454521433034</v>
      </c>
      <c r="MG29" s="192"/>
      <c r="MH29" s="192"/>
      <c r="MK29" s="194" t="str">
        <f t="shared" si="179"/>
        <v>2026//5/21</v>
      </c>
      <c r="ML29">
        <v>184905.5354</v>
      </c>
      <c r="MM29" s="12">
        <f t="shared" si="180"/>
        <v>186825.5354</v>
      </c>
      <c r="MN29" s="12">
        <f t="shared" si="181"/>
        <v>-1920</v>
      </c>
      <c r="MO29" s="199">
        <f t="shared" si="182"/>
        <v>-0.0102769677383191</v>
      </c>
      <c r="MP29" s="192"/>
      <c r="MQ29" s="201"/>
      <c r="MR29" s="201"/>
      <c r="MT29" s="194" t="str">
        <f t="shared" si="183"/>
        <v>2026//5/21</v>
      </c>
      <c r="MU29">
        <v>170714.8</v>
      </c>
      <c r="MV29" s="204">
        <f t="shared" si="184"/>
        <v>174314.8</v>
      </c>
      <c r="MW29" s="8">
        <f t="shared" si="185"/>
        <v>-3600</v>
      </c>
      <c r="MX29" s="192">
        <f t="shared" si="186"/>
        <v>-0.0206522911422323</v>
      </c>
      <c r="MY29" s="192"/>
      <c r="MZ29" s="192"/>
      <c r="NA29" s="192"/>
      <c r="NC29" s="194" t="str">
        <f t="shared" si="187"/>
        <v>2026//5/21</v>
      </c>
      <c r="ND29">
        <v>40891.48</v>
      </c>
      <c r="NE29" s="204">
        <f t="shared" si="188"/>
        <v>40491.48</v>
      </c>
      <c r="NF29" s="8">
        <f t="shared" si="189"/>
        <v>400</v>
      </c>
      <c r="NG29" s="192">
        <f t="shared" si="190"/>
        <v>0.00987862137911481</v>
      </c>
      <c r="NH29" s="192"/>
      <c r="NI29" s="192"/>
      <c r="NJ29" s="192"/>
      <c r="NK29" s="192"/>
      <c r="NM29" s="194" t="str">
        <f t="shared" si="191"/>
        <v>2026//5/21</v>
      </c>
      <c r="NN29">
        <v>2678811.08</v>
      </c>
      <c r="NO29" s="8">
        <f t="shared" si="192"/>
        <v>2673011.08</v>
      </c>
      <c r="NP29" s="210">
        <f t="shared" si="193"/>
        <v>5800</v>
      </c>
      <c r="NQ29" s="211">
        <f t="shared" si="194"/>
        <v>0.00216983761997724</v>
      </c>
      <c r="NR29" s="192"/>
      <c r="NT29" s="194"/>
      <c r="NU29" s="194" t="str">
        <f t="shared" si="195"/>
        <v>2026//5/21</v>
      </c>
      <c r="NV29">
        <v>258426.5</v>
      </c>
      <c r="NW29" s="205">
        <f t="shared" si="196"/>
        <v>257376.5</v>
      </c>
      <c r="NX29" s="210">
        <f t="shared" si="197"/>
        <v>1050</v>
      </c>
      <c r="NY29" s="211">
        <f t="shared" si="198"/>
        <v>0.00407962653933051</v>
      </c>
      <c r="NZ29" s="201"/>
      <c r="OA29" s="200"/>
      <c r="OB29" s="194"/>
      <c r="OC29" s="194" t="str">
        <f t="shared" si="199"/>
        <v>2026//5/21</v>
      </c>
      <c r="OD29" s="200">
        <v>15240.97</v>
      </c>
      <c r="OE29" s="12">
        <f t="shared" si="200"/>
        <v>15376.97</v>
      </c>
      <c r="OF29" s="12">
        <f t="shared" si="201"/>
        <v>-136</v>
      </c>
      <c r="OG29" s="199">
        <f t="shared" si="202"/>
        <v>-0.00884439522220568</v>
      </c>
      <c r="OH29" s="192"/>
      <c r="OI29" s="192"/>
      <c r="OJ29" s="194"/>
      <c r="OK29" s="194" t="str">
        <f t="shared" si="203"/>
        <v>2026//5/21</v>
      </c>
      <c r="OL29" s="200">
        <v>14474.65</v>
      </c>
      <c r="OM29" s="12">
        <f t="shared" si="204"/>
        <v>14464.65</v>
      </c>
      <c r="ON29" s="12">
        <f t="shared" si="205"/>
        <v>10</v>
      </c>
      <c r="OO29" s="199">
        <f t="shared" si="206"/>
        <v>0.00069134061314999</v>
      </c>
      <c r="OP29" s="192"/>
      <c r="OQ29" s="192"/>
      <c r="OT29" s="26" t="str">
        <f t="shared" si="207"/>
        <v>2026//5/21</v>
      </c>
      <c r="OU29" s="206">
        <v>147672.4066</v>
      </c>
      <c r="OV29" s="8">
        <f t="shared" si="208"/>
        <v>147552.4066</v>
      </c>
      <c r="OW29" s="191">
        <f t="shared" si="209"/>
        <v>120</v>
      </c>
      <c r="OX29" s="192">
        <f t="shared" si="210"/>
        <v>0.000813270367899238</v>
      </c>
    </row>
    <row r="30" s="8" customFormat="1" ht="17" customHeight="1" spans="1:415">
      <c r="A30" s="15"/>
      <c r="B30" s="15"/>
      <c r="C30" s="15" t="s">
        <v>456</v>
      </c>
      <c r="D30" s="207">
        <v>3102708.77</v>
      </c>
      <c r="E30" s="19">
        <f t="shared" si="8"/>
        <v>3166248.77</v>
      </c>
      <c r="F30" s="19">
        <f t="shared" si="9"/>
        <v>-63540</v>
      </c>
      <c r="G30" s="172">
        <f t="shared" si="10"/>
        <v>-0.0200679114673608</v>
      </c>
      <c r="H30" s="18"/>
      <c r="I30" s="172"/>
      <c r="J30" s="172"/>
      <c r="K30" s="8" t="str">
        <f t="shared" si="11"/>
        <v>2026//5/20</v>
      </c>
      <c r="L30" s="19">
        <v>2492704.4</v>
      </c>
      <c r="M30" s="19">
        <f t="shared" si="12"/>
        <v>2518534.4</v>
      </c>
      <c r="N30" s="19">
        <f t="shared" si="13"/>
        <v>-25830</v>
      </c>
      <c r="O30" s="172">
        <f t="shared" si="14"/>
        <v>-0.0102559647388576</v>
      </c>
      <c r="P30" s="18"/>
      <c r="Q30" s="172"/>
      <c r="R30" s="19"/>
      <c r="S30" s="8" t="str">
        <f t="shared" si="15"/>
        <v>2026//5/20</v>
      </c>
      <c r="T30" s="19">
        <v>1005186.68</v>
      </c>
      <c r="U30" s="19">
        <f t="shared" si="16"/>
        <v>1101486.68</v>
      </c>
      <c r="V30" s="19">
        <f t="shared" si="17"/>
        <v>-96299.9999999999</v>
      </c>
      <c r="W30" s="172">
        <f t="shared" si="18"/>
        <v>-0.0874272941729989</v>
      </c>
      <c r="X30" s="18"/>
      <c r="Y30" s="172"/>
      <c r="Z30" s="19"/>
      <c r="AA30" s="8" t="str">
        <f t="shared" si="19"/>
        <v>2026//5/20</v>
      </c>
      <c r="AB30" s="19">
        <v>439496.86</v>
      </c>
      <c r="AC30" s="19">
        <f t="shared" si="20"/>
        <v>471296.86</v>
      </c>
      <c r="AD30" s="19">
        <f t="shared" si="21"/>
        <v>-31800</v>
      </c>
      <c r="AE30" s="172">
        <f t="shared" si="22"/>
        <v>-0.0674733967037251</v>
      </c>
      <c r="AF30" s="18"/>
      <c r="AG30" s="172"/>
      <c r="AH30" s="19"/>
      <c r="AI30" s="8" t="str">
        <f t="shared" si="23"/>
        <v>2026//5/20</v>
      </c>
      <c r="AJ30" s="19">
        <v>304121.76</v>
      </c>
      <c r="AK30" s="19">
        <f t="shared" si="24"/>
        <v>337521.76</v>
      </c>
      <c r="AL30" s="19">
        <f t="shared" si="25"/>
        <v>-33400</v>
      </c>
      <c r="AM30" s="172">
        <f t="shared" si="26"/>
        <v>-0.0989565828289115</v>
      </c>
      <c r="AN30" s="18"/>
      <c r="AO30" s="18"/>
      <c r="AP30" s="19"/>
      <c r="AQ30" s="8" t="str">
        <f t="shared" si="27"/>
        <v>2026//5/20</v>
      </c>
      <c r="AR30" s="19">
        <v>1195845.4936</v>
      </c>
      <c r="AS30" s="19">
        <f t="shared" si="28"/>
        <v>1200745.4936</v>
      </c>
      <c r="AT30" s="19">
        <f t="shared" si="29"/>
        <v>-4900</v>
      </c>
      <c r="AU30" s="172">
        <f t="shared" si="30"/>
        <v>-0.00408079815924116</v>
      </c>
      <c r="AV30" s="18"/>
      <c r="AW30" s="18"/>
      <c r="AX30" s="17"/>
      <c r="AY30" s="17"/>
      <c r="AZ30" s="8" t="str">
        <f t="shared" si="31"/>
        <v>2026//5/20</v>
      </c>
      <c r="BA30" s="17">
        <v>1454061.6676</v>
      </c>
      <c r="BB30" s="129">
        <f t="shared" si="32"/>
        <v>1490061.6676</v>
      </c>
      <c r="BC30" s="17">
        <f t="shared" si="33"/>
        <v>-36000</v>
      </c>
      <c r="BD30" s="18">
        <f t="shared" si="34"/>
        <v>-0.0241600738967966</v>
      </c>
      <c r="BE30" s="18"/>
      <c r="BF30" s="18"/>
      <c r="BG30" s="74"/>
      <c r="BH30" s="194" t="str">
        <f t="shared" si="35"/>
        <v>2026//5/20</v>
      </c>
      <c r="BI30" s="194">
        <v>1524526.5525</v>
      </c>
      <c r="BJ30" s="195">
        <f t="shared" si="36"/>
        <v>1521626.5525</v>
      </c>
      <c r="BK30" s="195">
        <f t="shared" si="37"/>
        <v>2900</v>
      </c>
      <c r="BL30" s="196">
        <f t="shared" si="38"/>
        <v>0.00190585528047954</v>
      </c>
      <c r="BM30" s="197"/>
      <c r="BN30" s="192"/>
      <c r="BO30" s="194"/>
      <c r="BP30" s="194" t="str">
        <f t="shared" si="39"/>
        <v>2026//5/20</v>
      </c>
      <c r="BQ30" s="198">
        <v>1111762.3921</v>
      </c>
      <c r="BR30" s="12">
        <f t="shared" si="40"/>
        <v>1102962.3921</v>
      </c>
      <c r="BS30" s="12">
        <f t="shared" si="41"/>
        <v>8800</v>
      </c>
      <c r="BT30" s="199">
        <f t="shared" si="42"/>
        <v>0.00797851319594417</v>
      </c>
      <c r="BU30" s="192"/>
      <c r="BV30" s="192"/>
      <c r="BW30" s="194"/>
      <c r="BX30" s="194" t="str">
        <f t="shared" si="43"/>
        <v>2026//5/20</v>
      </c>
      <c r="BY30" s="200">
        <v>2452860.7019</v>
      </c>
      <c r="BZ30" s="12">
        <f t="shared" si="44"/>
        <v>2517060.7019</v>
      </c>
      <c r="CA30" s="12">
        <f t="shared" si="45"/>
        <v>-64200</v>
      </c>
      <c r="CB30" s="199">
        <f t="shared" si="46"/>
        <v>-0.0255059403023291</v>
      </c>
      <c r="CC30" s="192"/>
      <c r="CD30" s="201"/>
      <c r="CE30" s="194"/>
      <c r="CF30" s="194" t="str">
        <f t="shared" si="47"/>
        <v>2026//5/20</v>
      </c>
      <c r="CG30" s="200">
        <v>1274903.9</v>
      </c>
      <c r="CH30" s="12">
        <f t="shared" si="48"/>
        <v>1279453.9</v>
      </c>
      <c r="CI30" s="12">
        <f t="shared" si="49"/>
        <v>-4550</v>
      </c>
      <c r="CJ30" s="199">
        <f t="shared" si="50"/>
        <v>-0.00355620472140497</v>
      </c>
      <c r="CK30" s="192"/>
      <c r="CL30" s="201"/>
      <c r="CM30" s="194"/>
      <c r="CN30" s="194" t="str">
        <f t="shared" si="51"/>
        <v>2026//5/20</v>
      </c>
      <c r="CO30" s="200">
        <v>590846.48</v>
      </c>
      <c r="CP30" s="12">
        <f t="shared" si="52"/>
        <v>595946.48</v>
      </c>
      <c r="CQ30" s="12">
        <f t="shared" si="53"/>
        <v>-5100</v>
      </c>
      <c r="CR30" s="199">
        <f t="shared" si="54"/>
        <v>-0.0085578154602071</v>
      </c>
      <c r="CS30" s="201"/>
      <c r="CT30" s="201"/>
      <c r="CU30" s="194"/>
      <c r="CV30" s="194" t="str">
        <f t="shared" si="55"/>
        <v>2026//5/20</v>
      </c>
      <c r="CW30" s="200">
        <v>587990.4</v>
      </c>
      <c r="CX30" s="12">
        <f t="shared" si="56"/>
        <v>587690.4</v>
      </c>
      <c r="CY30" s="12">
        <f t="shared" si="57"/>
        <v>300</v>
      </c>
      <c r="CZ30" s="199">
        <f t="shared" si="58"/>
        <v>0.000510472861220806</v>
      </c>
      <c r="DA30" s="192"/>
      <c r="DB30" s="192"/>
      <c r="DC30" s="202"/>
      <c r="DD30" s="194" t="str">
        <f t="shared" si="59"/>
        <v>2026//5/20</v>
      </c>
      <c r="DE30" s="200">
        <v>2145117.9986</v>
      </c>
      <c r="DF30" s="12">
        <f t="shared" si="60"/>
        <v>2083117.9986</v>
      </c>
      <c r="DG30" s="12">
        <f t="shared" si="61"/>
        <v>62000</v>
      </c>
      <c r="DH30" s="199">
        <f t="shared" si="62"/>
        <v>0.0297630763315704</v>
      </c>
      <c r="DI30" s="192"/>
      <c r="DJ30" s="192"/>
      <c r="DK30" s="194"/>
      <c r="DL30" s="194" t="str">
        <f t="shared" si="63"/>
        <v>2026//5/20</v>
      </c>
      <c r="DM30" s="200">
        <v>865100.36</v>
      </c>
      <c r="DN30" s="12">
        <f t="shared" si="64"/>
        <v>877900.36</v>
      </c>
      <c r="DO30" s="12">
        <f t="shared" si="65"/>
        <v>-12800</v>
      </c>
      <c r="DP30" s="199">
        <f t="shared" si="66"/>
        <v>-0.0145802423409417</v>
      </c>
      <c r="DQ30" s="192"/>
      <c r="DR30" s="192"/>
      <c r="DS30" s="194"/>
      <c r="DT30" s="194" t="str">
        <f t="shared" si="67"/>
        <v>2026//5/20</v>
      </c>
      <c r="DU30" s="200">
        <v>1288589.48</v>
      </c>
      <c r="DV30" s="12">
        <f t="shared" si="68"/>
        <v>1304789.48</v>
      </c>
      <c r="DW30" s="12">
        <f t="shared" si="69"/>
        <v>-16200</v>
      </c>
      <c r="DX30" s="199">
        <f t="shared" si="70"/>
        <v>-0.0124157959949217</v>
      </c>
      <c r="DY30" s="192"/>
      <c r="DZ30" s="192"/>
      <c r="EA30" s="194"/>
      <c r="EB30" s="194" t="str">
        <f t="shared" si="71"/>
        <v>2026//5/20</v>
      </c>
      <c r="EC30" s="200">
        <v>3514466.82</v>
      </c>
      <c r="ED30" s="12">
        <f t="shared" si="72"/>
        <v>3588866.82</v>
      </c>
      <c r="EE30" s="12">
        <f t="shared" si="73"/>
        <v>-74400</v>
      </c>
      <c r="EF30" s="199">
        <f t="shared" si="74"/>
        <v>-0.0207307776330357</v>
      </c>
      <c r="EG30" s="192"/>
      <c r="EH30" s="192"/>
      <c r="EI30" s="194"/>
      <c r="EJ30" s="194" t="str">
        <f t="shared" si="75"/>
        <v>2026//5/20</v>
      </c>
      <c r="EK30" s="200">
        <v>1242922.9669</v>
      </c>
      <c r="EL30" s="12">
        <f t="shared" si="76"/>
        <v>1242322.9669</v>
      </c>
      <c r="EM30" s="12">
        <f t="shared" si="77"/>
        <v>600</v>
      </c>
      <c r="EN30" s="199">
        <f t="shared" si="78"/>
        <v>0.000482966197990523</v>
      </c>
      <c r="EO30" s="192"/>
      <c r="EP30" s="192"/>
      <c r="EQ30" s="194"/>
      <c r="ER30" s="194" t="str">
        <f t="shared" si="79"/>
        <v>2026//5/20</v>
      </c>
      <c r="ES30">
        <v>404597.02</v>
      </c>
      <c r="ET30" s="12">
        <f t="shared" si="80"/>
        <v>402647.02</v>
      </c>
      <c r="EU30" s="12">
        <f t="shared" si="81"/>
        <v>1950</v>
      </c>
      <c r="EV30" s="199">
        <f t="shared" si="82"/>
        <v>0.00484295152612827</v>
      </c>
      <c r="EW30" s="192"/>
      <c r="EX30" s="192"/>
      <c r="EY30" s="194"/>
      <c r="EZ30" s="194" t="str">
        <f t="shared" si="83"/>
        <v>2026//5/20</v>
      </c>
      <c r="FA30" s="200">
        <v>632208</v>
      </c>
      <c r="FB30" s="12">
        <f t="shared" si="84"/>
        <v>636908</v>
      </c>
      <c r="FC30" s="12">
        <f t="shared" si="85"/>
        <v>-4700</v>
      </c>
      <c r="FD30" s="199">
        <f t="shared" si="86"/>
        <v>-0.00737940173463043</v>
      </c>
      <c r="FE30" s="192"/>
      <c r="FF30" s="192"/>
      <c r="FG30" s="192"/>
      <c r="FH30" s="194" t="str">
        <f t="shared" si="87"/>
        <v>2026//5/20</v>
      </c>
      <c r="FI30" s="198">
        <v>1223695.3365</v>
      </c>
      <c r="FJ30" s="12">
        <f t="shared" si="88"/>
        <v>1225895.3365</v>
      </c>
      <c r="FK30" s="12">
        <f t="shared" si="89"/>
        <v>-2200</v>
      </c>
      <c r="FL30" s="199">
        <f t="shared" si="90"/>
        <v>-0.00179460671274036</v>
      </c>
      <c r="FM30" s="201"/>
      <c r="FN30" s="201"/>
      <c r="FO30" s="194"/>
      <c r="FP30" s="194" t="str">
        <f t="shared" si="91"/>
        <v>2026//5/20</v>
      </c>
      <c r="FQ30" s="200">
        <v>1699018.73</v>
      </c>
      <c r="FR30" s="12">
        <f t="shared" si="92"/>
        <v>1728418.73</v>
      </c>
      <c r="FS30" s="12">
        <f t="shared" si="93"/>
        <v>-29400</v>
      </c>
      <c r="FT30" s="199">
        <f t="shared" si="94"/>
        <v>-0.0170097670718947</v>
      </c>
      <c r="FU30" s="192"/>
      <c r="FV30" s="192"/>
      <c r="FW30" s="194"/>
      <c r="FX30" s="194" t="str">
        <f t="shared" si="95"/>
        <v>2026//5/20</v>
      </c>
      <c r="FY30" s="200">
        <v>8230382.05</v>
      </c>
      <c r="FZ30" s="12">
        <f t="shared" si="96"/>
        <v>8219782.05</v>
      </c>
      <c r="GA30" s="12">
        <f t="shared" si="97"/>
        <v>10600</v>
      </c>
      <c r="GB30" s="199">
        <f t="shared" si="98"/>
        <v>0.00128957190537674</v>
      </c>
      <c r="GC30" s="192"/>
      <c r="GD30" s="192"/>
      <c r="GE30" s="194"/>
      <c r="GF30" s="194" t="str">
        <f t="shared" si="99"/>
        <v>2026//5/20</v>
      </c>
      <c r="GG30" s="200">
        <v>4815069.49</v>
      </c>
      <c r="GH30" s="12">
        <f t="shared" si="100"/>
        <v>4784069.49</v>
      </c>
      <c r="GI30" s="12">
        <f t="shared" si="101"/>
        <v>31000</v>
      </c>
      <c r="GJ30" s="199">
        <f t="shared" si="102"/>
        <v>0.00647983898745584</v>
      </c>
      <c r="GK30" s="192"/>
      <c r="GL30" s="192"/>
      <c r="GM30" s="194"/>
      <c r="GN30" s="194" t="str">
        <f t="shared" si="103"/>
        <v>2026//5/20</v>
      </c>
      <c r="GO30" s="200">
        <v>1882138.1217</v>
      </c>
      <c r="GP30" s="12">
        <f t="shared" si="104"/>
        <v>1883998.1217</v>
      </c>
      <c r="GQ30" s="12">
        <f t="shared" si="105"/>
        <v>-1860</v>
      </c>
      <c r="GR30" s="199">
        <f t="shared" si="106"/>
        <v>-0.000987262130772007</v>
      </c>
      <c r="GS30" s="192"/>
      <c r="GT30" s="192"/>
      <c r="GU30" s="194"/>
      <c r="GV30" s="194" t="str">
        <f t="shared" si="107"/>
        <v>2026//5/20</v>
      </c>
      <c r="GW30" s="200">
        <v>837549.4</v>
      </c>
      <c r="GX30" s="12">
        <f t="shared" si="108"/>
        <v>847349.4</v>
      </c>
      <c r="GY30" s="12">
        <f t="shared" si="109"/>
        <v>-9800</v>
      </c>
      <c r="GZ30" s="199">
        <f t="shared" si="110"/>
        <v>-0.0115654770039372</v>
      </c>
      <c r="HA30" s="192"/>
      <c r="HB30" s="192"/>
      <c r="HC30" s="194"/>
      <c r="HD30" s="194" t="str">
        <f t="shared" si="111"/>
        <v>2026//5/20</v>
      </c>
      <c r="HE30" s="200">
        <v>1228264.6746</v>
      </c>
      <c r="HF30" s="12">
        <f t="shared" si="112"/>
        <v>1264864.6746</v>
      </c>
      <c r="HG30" s="12">
        <f t="shared" si="113"/>
        <v>-36600</v>
      </c>
      <c r="HH30" s="199">
        <f t="shared" si="114"/>
        <v>-0.0289359017885248</v>
      </c>
      <c r="HI30" s="201"/>
      <c r="HJ30" s="192"/>
      <c r="HK30" s="194"/>
      <c r="HL30" s="194" t="str">
        <f t="shared" si="115"/>
        <v>2026//5/20</v>
      </c>
      <c r="HM30" s="200">
        <v>130204.25</v>
      </c>
      <c r="HN30" s="208">
        <f t="shared" si="116"/>
        <v>135554.25</v>
      </c>
      <c r="HO30" s="208">
        <f t="shared" si="117"/>
        <v>-5350</v>
      </c>
      <c r="HP30" s="209">
        <f t="shared" si="118"/>
        <v>-0.0394675932329676</v>
      </c>
      <c r="HQ30" s="192"/>
      <c r="HR30" s="192"/>
      <c r="HS30" s="194"/>
      <c r="HT30" s="194" t="str">
        <f t="shared" si="119"/>
        <v>2026//5/20</v>
      </c>
      <c r="HU30" s="200">
        <v>194168.8265</v>
      </c>
      <c r="HV30" s="12">
        <f t="shared" si="120"/>
        <v>194768.8265</v>
      </c>
      <c r="HW30" s="12">
        <f t="shared" si="121"/>
        <v>-600</v>
      </c>
      <c r="HX30" s="199">
        <f t="shared" si="122"/>
        <v>-0.00308057511451916</v>
      </c>
      <c r="HY30" s="192"/>
      <c r="HZ30" s="192"/>
      <c r="IA30" s="194"/>
      <c r="IB30" s="194" t="str">
        <f t="shared" si="123"/>
        <v>2026//5/20</v>
      </c>
      <c r="IC30" s="200">
        <v>362759.79</v>
      </c>
      <c r="ID30" s="12">
        <f t="shared" si="124"/>
        <v>365059.79</v>
      </c>
      <c r="IE30" s="12">
        <f t="shared" si="125"/>
        <v>-2300</v>
      </c>
      <c r="IF30" s="199">
        <f t="shared" si="126"/>
        <v>-0.00630033781589586</v>
      </c>
      <c r="IG30" s="201"/>
      <c r="IH30" s="192"/>
      <c r="II30" s="194"/>
      <c r="IJ30" s="194" t="str">
        <f t="shared" si="127"/>
        <v>2026//5/20</v>
      </c>
      <c r="IK30" s="200">
        <v>693676.29</v>
      </c>
      <c r="IL30" s="12">
        <f t="shared" si="128"/>
        <v>635116.29</v>
      </c>
      <c r="IM30" s="12">
        <f t="shared" si="129"/>
        <v>58560</v>
      </c>
      <c r="IN30" s="199">
        <f t="shared" si="130"/>
        <v>0.0922035868423403</v>
      </c>
      <c r="IO30" s="192"/>
      <c r="IP30" s="192"/>
      <c r="IQ30" s="194"/>
      <c r="IR30" s="194" t="str">
        <f t="shared" si="131"/>
        <v>2026//5/20</v>
      </c>
      <c r="IS30" s="200">
        <v>140589</v>
      </c>
      <c r="IT30" s="12">
        <f t="shared" si="132"/>
        <v>140589</v>
      </c>
      <c r="IU30" s="12">
        <f t="shared" si="133"/>
        <v>0</v>
      </c>
      <c r="IV30" s="199">
        <f t="shared" si="134"/>
        <v>0</v>
      </c>
      <c r="IW30" s="192"/>
      <c r="IX30" s="192"/>
      <c r="IY30" s="194"/>
      <c r="IZ30" s="194" t="str">
        <f t="shared" si="135"/>
        <v>2026//5/20</v>
      </c>
      <c r="JA30" s="200">
        <v>5223429.15</v>
      </c>
      <c r="JB30" s="12">
        <f t="shared" si="136"/>
        <v>5233129.15</v>
      </c>
      <c r="JC30" s="12">
        <f t="shared" si="137"/>
        <v>-9700</v>
      </c>
      <c r="JD30" s="199">
        <f t="shared" si="138"/>
        <v>-0.00185357550367355</v>
      </c>
      <c r="JE30" s="192"/>
      <c r="JF30" s="192"/>
      <c r="JG30" s="194"/>
      <c r="JH30" s="194" t="str">
        <f t="shared" si="139"/>
        <v>2026//5/20</v>
      </c>
      <c r="JI30" s="200">
        <v>1331547.99</v>
      </c>
      <c r="JJ30" s="12">
        <f t="shared" si="140"/>
        <v>1322247.99</v>
      </c>
      <c r="JK30" s="12">
        <f t="shared" si="141"/>
        <v>9300</v>
      </c>
      <c r="JL30" s="199">
        <f t="shared" si="142"/>
        <v>0.00703347637533561</v>
      </c>
      <c r="JM30" s="192"/>
      <c r="JN30" s="192"/>
      <c r="JO30" s="192"/>
      <c r="JP30" s="194" t="str">
        <f t="shared" si="143"/>
        <v>2026//5/20</v>
      </c>
      <c r="JQ30" s="200">
        <v>1014190.4148</v>
      </c>
      <c r="JR30" s="12">
        <f t="shared" si="144"/>
        <v>1021090.4148</v>
      </c>
      <c r="JS30" s="12">
        <f t="shared" si="145"/>
        <v>-6900</v>
      </c>
      <c r="JT30" s="199">
        <f t="shared" si="146"/>
        <v>-0.00675748190364856</v>
      </c>
      <c r="JU30" s="192"/>
      <c r="JV30" s="192"/>
      <c r="JW30" s="201"/>
      <c r="JX30" s="194" t="str">
        <f t="shared" si="147"/>
        <v>2026//5/20</v>
      </c>
      <c r="JY30" s="200">
        <v>1183648.8</v>
      </c>
      <c r="JZ30" s="12">
        <f t="shared" si="148"/>
        <v>1183698.8</v>
      </c>
      <c r="KA30" s="12">
        <f t="shared" si="149"/>
        <v>-50</v>
      </c>
      <c r="KB30" s="199">
        <f t="shared" si="150"/>
        <v>-4.2240475364172e-5</v>
      </c>
      <c r="KC30" s="192"/>
      <c r="KD30" s="192"/>
      <c r="KE30" s="201"/>
      <c r="KF30" s="194" t="str">
        <f t="shared" si="151"/>
        <v>2026//5/20</v>
      </c>
      <c r="KG30" s="200">
        <v>697555.9219</v>
      </c>
      <c r="KH30" s="12">
        <f t="shared" si="152"/>
        <v>703555.9219</v>
      </c>
      <c r="KI30" s="12">
        <f t="shared" si="153"/>
        <v>-6000</v>
      </c>
      <c r="KJ30" s="199">
        <f t="shared" si="154"/>
        <v>-0.00852810674067898</v>
      </c>
      <c r="KK30" s="201"/>
      <c r="KL30" s="201"/>
      <c r="KM30" s="194"/>
      <c r="KN30" s="194" t="str">
        <f t="shared" si="155"/>
        <v>2026//5/20</v>
      </c>
      <c r="KO30" s="200">
        <v>8328775.95</v>
      </c>
      <c r="KP30" s="12">
        <f t="shared" si="156"/>
        <v>8328775.95</v>
      </c>
      <c r="KQ30" s="12">
        <f t="shared" si="157"/>
        <v>0</v>
      </c>
      <c r="KR30" s="199">
        <f t="shared" si="158"/>
        <v>0</v>
      </c>
      <c r="KS30" s="192"/>
      <c r="KT30" s="192"/>
      <c r="KU30" s="194"/>
      <c r="KV30" s="194" t="str">
        <f t="shared" si="159"/>
        <v>2026//5/20</v>
      </c>
      <c r="KW30" s="200">
        <v>1101672.9726</v>
      </c>
      <c r="KX30" s="12">
        <f t="shared" si="160"/>
        <v>1095772.9726</v>
      </c>
      <c r="KY30" s="12">
        <f t="shared" si="161"/>
        <v>5900</v>
      </c>
      <c r="KZ30" s="199">
        <f t="shared" si="162"/>
        <v>0.00538432699795538</v>
      </c>
      <c r="LA30" s="201"/>
      <c r="LB30" s="192"/>
      <c r="LC30" s="194"/>
      <c r="LD30" s="194" t="str">
        <f t="shared" si="163"/>
        <v>2026//5/20</v>
      </c>
      <c r="LE30" s="200">
        <v>451157.7</v>
      </c>
      <c r="LF30" s="12">
        <f t="shared" si="164"/>
        <v>453857.7</v>
      </c>
      <c r="LG30" s="12">
        <f t="shared" si="165"/>
        <v>-2700</v>
      </c>
      <c r="LH30" s="199">
        <f t="shared" si="166"/>
        <v>-0.00594900119574924</v>
      </c>
      <c r="LI30" s="192"/>
      <c r="LJ30" s="192"/>
      <c r="LK30" s="194"/>
      <c r="LL30" s="194" t="str">
        <f t="shared" si="167"/>
        <v>2026//5/20</v>
      </c>
      <c r="LM30" s="198">
        <v>3484195.02</v>
      </c>
      <c r="LN30" s="12">
        <f t="shared" si="168"/>
        <v>3508495.02</v>
      </c>
      <c r="LO30" s="12">
        <f t="shared" si="169"/>
        <v>-24300</v>
      </c>
      <c r="LP30" s="199">
        <f t="shared" si="170"/>
        <v>-0.00692604659874934</v>
      </c>
      <c r="LQ30" s="192"/>
      <c r="LR30" s="192"/>
      <c r="LS30" s="194"/>
      <c r="LT30" s="194" t="str">
        <f t="shared" si="171"/>
        <v>2026//5/20</v>
      </c>
      <c r="LU30" s="200">
        <v>2454262.904</v>
      </c>
      <c r="LV30" s="12">
        <f t="shared" si="172"/>
        <v>2457262.904</v>
      </c>
      <c r="LW30" s="12">
        <f t="shared" si="173"/>
        <v>-3000</v>
      </c>
      <c r="LX30" s="199">
        <f t="shared" si="174"/>
        <v>-0.00122087058536411</v>
      </c>
      <c r="LY30" s="192"/>
      <c r="LZ30" s="192"/>
      <c r="MA30" s="194"/>
      <c r="MB30" s="194" t="str">
        <f t="shared" si="175"/>
        <v>2026//5/20</v>
      </c>
      <c r="MC30" s="200">
        <v>931967.69</v>
      </c>
      <c r="MD30" s="12">
        <f t="shared" si="176"/>
        <v>934117.69</v>
      </c>
      <c r="ME30" s="12">
        <f t="shared" si="177"/>
        <v>-2150</v>
      </c>
      <c r="MF30" s="199">
        <f t="shared" si="178"/>
        <v>-0.00230163717379124</v>
      </c>
      <c r="MG30" s="192"/>
      <c r="MH30" s="192"/>
      <c r="MK30" s="194" t="str">
        <f t="shared" si="179"/>
        <v>2026//5/20</v>
      </c>
      <c r="ML30">
        <v>186825.5354</v>
      </c>
      <c r="MM30" s="12">
        <f t="shared" si="180"/>
        <v>186465.5354</v>
      </c>
      <c r="MN30" s="12">
        <f t="shared" si="181"/>
        <v>360</v>
      </c>
      <c r="MO30" s="199">
        <f t="shared" si="182"/>
        <v>0.00193065168438628</v>
      </c>
      <c r="MP30" s="192"/>
      <c r="MQ30" s="201"/>
      <c r="MR30" s="201"/>
      <c r="MT30" s="194" t="str">
        <f t="shared" si="183"/>
        <v>2026//5/20</v>
      </c>
      <c r="MU30">
        <v>174314.8</v>
      </c>
      <c r="MV30" s="204">
        <f t="shared" si="184"/>
        <v>176814.8</v>
      </c>
      <c r="MW30" s="8">
        <f t="shared" si="185"/>
        <v>-2500</v>
      </c>
      <c r="MX30" s="192">
        <f t="shared" si="186"/>
        <v>-0.0141390879044062</v>
      </c>
      <c r="MY30" s="192"/>
      <c r="MZ30" s="192"/>
      <c r="NA30" s="192"/>
      <c r="NC30" s="194" t="str">
        <f t="shared" si="187"/>
        <v>2026//5/20</v>
      </c>
      <c r="ND30">
        <v>40491.48</v>
      </c>
      <c r="NE30" s="204">
        <f t="shared" si="188"/>
        <v>40691.48</v>
      </c>
      <c r="NF30" s="8">
        <f t="shared" si="189"/>
        <v>-200</v>
      </c>
      <c r="NG30" s="192">
        <f t="shared" si="190"/>
        <v>-0.00491503381051758</v>
      </c>
      <c r="NH30" s="192"/>
      <c r="NI30" s="192"/>
      <c r="NJ30" s="192"/>
      <c r="NK30" s="192"/>
      <c r="NM30" s="194" t="str">
        <f t="shared" si="191"/>
        <v>2026//5/20</v>
      </c>
      <c r="NN30">
        <v>2673011.08</v>
      </c>
      <c r="NO30" s="8">
        <f t="shared" si="192"/>
        <v>2667411.08</v>
      </c>
      <c r="NP30" s="210">
        <f t="shared" si="193"/>
        <v>5600</v>
      </c>
      <c r="NQ30" s="211">
        <f t="shared" si="194"/>
        <v>0.00209941393810211</v>
      </c>
      <c r="NR30" s="192"/>
      <c r="NT30" s="194"/>
      <c r="NU30" s="194" t="str">
        <f t="shared" si="195"/>
        <v>2026//5/20</v>
      </c>
      <c r="NV30">
        <v>257376.5</v>
      </c>
      <c r="NW30" s="205">
        <f t="shared" si="196"/>
        <v>257476.5</v>
      </c>
      <c r="NX30" s="210">
        <f t="shared" si="197"/>
        <v>-100</v>
      </c>
      <c r="NY30" s="211">
        <f t="shared" si="198"/>
        <v>-0.000388384959404062</v>
      </c>
      <c r="NZ30" s="201"/>
      <c r="OA30" s="200"/>
      <c r="OB30" s="194"/>
      <c r="OC30" s="194" t="str">
        <f t="shared" si="199"/>
        <v>2026//5/20</v>
      </c>
      <c r="OD30" s="200">
        <v>15376.97</v>
      </c>
      <c r="OE30" s="12">
        <f t="shared" si="200"/>
        <v>15253.97</v>
      </c>
      <c r="OF30" s="12">
        <f t="shared" si="201"/>
        <v>123</v>
      </c>
      <c r="OG30" s="199">
        <f t="shared" si="202"/>
        <v>0.00806347462332757</v>
      </c>
      <c r="OH30" s="192"/>
      <c r="OI30" s="192"/>
      <c r="OJ30" s="194"/>
      <c r="OK30" s="194" t="str">
        <f t="shared" si="203"/>
        <v>2026//5/20</v>
      </c>
      <c r="OL30" s="200">
        <v>14464.65</v>
      </c>
      <c r="OM30" s="12">
        <f t="shared" si="204"/>
        <v>14273.65</v>
      </c>
      <c r="ON30" s="12">
        <f t="shared" si="205"/>
        <v>191</v>
      </c>
      <c r="OO30" s="199">
        <f t="shared" si="206"/>
        <v>0.0133813005082792</v>
      </c>
      <c r="OP30" s="192"/>
      <c r="OQ30" s="192"/>
      <c r="OT30" s="26" t="str">
        <f t="shared" si="207"/>
        <v>2026//5/20</v>
      </c>
      <c r="OU30" s="206">
        <v>147552.4066</v>
      </c>
      <c r="OV30" s="8">
        <f t="shared" si="208"/>
        <v>147432.4066</v>
      </c>
      <c r="OW30" s="191">
        <f t="shared" si="209"/>
        <v>120</v>
      </c>
      <c r="OX30" s="192">
        <f t="shared" si="210"/>
        <v>0.000813932314932449</v>
      </c>
    </row>
    <row r="31" s="8" customFormat="1" ht="17" customHeight="1" spans="1:415">
      <c r="A31" s="15"/>
      <c r="B31" s="15"/>
      <c r="C31" s="15" t="s">
        <v>457</v>
      </c>
      <c r="D31" s="207">
        <v>3166248.77</v>
      </c>
      <c r="E31" s="19">
        <f t="shared" si="8"/>
        <v>3218268.77</v>
      </c>
      <c r="F31" s="19">
        <f t="shared" si="9"/>
        <v>-52020</v>
      </c>
      <c r="G31" s="172">
        <f t="shared" si="10"/>
        <v>-0.0161639700465415</v>
      </c>
      <c r="H31" s="18"/>
      <c r="I31" s="172"/>
      <c r="J31" s="172"/>
      <c r="K31" s="8" t="str">
        <f t="shared" si="11"/>
        <v>2026//5/19</v>
      </c>
      <c r="L31" s="19">
        <v>2518534.4</v>
      </c>
      <c r="M31" s="19">
        <f t="shared" si="12"/>
        <v>2558314.4</v>
      </c>
      <c r="N31" s="19">
        <f t="shared" si="13"/>
        <v>-39780</v>
      </c>
      <c r="O31" s="172">
        <f t="shared" si="14"/>
        <v>-0.0155493007427078</v>
      </c>
      <c r="P31" s="18"/>
      <c r="Q31" s="172"/>
      <c r="R31" s="19"/>
      <c r="S31" s="8" t="str">
        <f t="shared" si="15"/>
        <v>2026//5/19</v>
      </c>
      <c r="T31" s="19">
        <v>1101486.68</v>
      </c>
      <c r="U31" s="19">
        <f t="shared" si="16"/>
        <v>1223436.68</v>
      </c>
      <c r="V31" s="19">
        <f t="shared" si="17"/>
        <v>-121950</v>
      </c>
      <c r="W31" s="172">
        <f t="shared" si="18"/>
        <v>-0.0996782277281404</v>
      </c>
      <c r="X31" s="18"/>
      <c r="Y31" s="172"/>
      <c r="Z31" s="19"/>
      <c r="AA31" s="8" t="str">
        <f t="shared" si="19"/>
        <v>2026//5/19</v>
      </c>
      <c r="AB31" s="19">
        <v>471296.86</v>
      </c>
      <c r="AC31" s="19">
        <f t="shared" si="20"/>
        <v>512816.86</v>
      </c>
      <c r="AD31" s="19">
        <f t="shared" si="21"/>
        <v>-41520</v>
      </c>
      <c r="AE31" s="172">
        <f t="shared" si="22"/>
        <v>-0.0809645767106799</v>
      </c>
      <c r="AF31" s="18"/>
      <c r="AG31" s="172"/>
      <c r="AH31" s="19"/>
      <c r="AI31" s="8" t="str">
        <f t="shared" si="23"/>
        <v>2026//5/19</v>
      </c>
      <c r="AJ31" s="19">
        <v>337521.76</v>
      </c>
      <c r="AK31" s="19">
        <f t="shared" si="24"/>
        <v>337521.76</v>
      </c>
      <c r="AL31" s="19">
        <f t="shared" si="25"/>
        <v>0</v>
      </c>
      <c r="AM31" s="172">
        <f t="shared" si="26"/>
        <v>0</v>
      </c>
      <c r="AN31" s="18"/>
      <c r="AO31" s="18"/>
      <c r="AP31" s="19"/>
      <c r="AQ31" s="8" t="str">
        <f t="shared" si="27"/>
        <v>2026//5/19</v>
      </c>
      <c r="AR31" s="19">
        <v>1200745.4936</v>
      </c>
      <c r="AS31" s="19">
        <f t="shared" si="28"/>
        <v>1180945.4936</v>
      </c>
      <c r="AT31" s="19">
        <f t="shared" si="29"/>
        <v>19800</v>
      </c>
      <c r="AU31" s="172">
        <f t="shared" si="30"/>
        <v>0.0167662268134337</v>
      </c>
      <c r="AV31" s="18"/>
      <c r="AW31" s="18"/>
      <c r="AX31" s="17"/>
      <c r="AY31" s="17"/>
      <c r="AZ31" s="8" t="str">
        <f t="shared" si="31"/>
        <v>2026//5/19</v>
      </c>
      <c r="BA31" s="17">
        <v>1490061.6676</v>
      </c>
      <c r="BB31" s="129">
        <f t="shared" si="32"/>
        <v>1523361.6676</v>
      </c>
      <c r="BC31" s="17">
        <f t="shared" si="33"/>
        <v>-33300</v>
      </c>
      <c r="BD31" s="18">
        <f t="shared" si="34"/>
        <v>-0.0218595496448738</v>
      </c>
      <c r="BE31" s="18"/>
      <c r="BF31" s="18"/>
      <c r="BG31" s="74"/>
      <c r="BH31" s="194" t="str">
        <f t="shared" si="35"/>
        <v>2026//5/19</v>
      </c>
      <c r="BI31" s="194">
        <v>1521626.5525</v>
      </c>
      <c r="BJ31" s="195">
        <f t="shared" si="36"/>
        <v>1506126.5525</v>
      </c>
      <c r="BK31" s="195">
        <f t="shared" si="37"/>
        <v>15500</v>
      </c>
      <c r="BL31" s="196">
        <f t="shared" si="38"/>
        <v>0.0102912998740191</v>
      </c>
      <c r="BM31" s="197"/>
      <c r="BN31" s="192"/>
      <c r="BO31" s="194"/>
      <c r="BP31" s="194" t="str">
        <f t="shared" si="39"/>
        <v>2026//5/19</v>
      </c>
      <c r="BQ31" s="198">
        <v>1102962.3921</v>
      </c>
      <c r="BR31" s="12">
        <f t="shared" si="40"/>
        <v>1101362.3921</v>
      </c>
      <c r="BS31" s="12">
        <f t="shared" si="41"/>
        <v>1600</v>
      </c>
      <c r="BT31" s="199">
        <f t="shared" si="42"/>
        <v>0.00145274617280987</v>
      </c>
      <c r="BU31" s="192"/>
      <c r="BV31" s="192"/>
      <c r="BW31" s="194"/>
      <c r="BX31" s="194" t="str">
        <f t="shared" si="43"/>
        <v>2026//5/19</v>
      </c>
      <c r="BY31" s="200">
        <v>2517060.7019</v>
      </c>
      <c r="BZ31" s="12">
        <f t="shared" si="44"/>
        <v>2549260.7019</v>
      </c>
      <c r="CA31" s="12">
        <f t="shared" si="45"/>
        <v>-32200</v>
      </c>
      <c r="CB31" s="199">
        <f t="shared" si="46"/>
        <v>-0.0126311130030761</v>
      </c>
      <c r="CC31" s="192"/>
      <c r="CD31" s="201"/>
      <c r="CE31" s="194"/>
      <c r="CF31" s="194" t="str">
        <f t="shared" si="47"/>
        <v>2026//5/19</v>
      </c>
      <c r="CG31" s="200">
        <v>1279453.9</v>
      </c>
      <c r="CH31" s="12">
        <f t="shared" si="48"/>
        <v>1287453.9</v>
      </c>
      <c r="CI31" s="12">
        <f t="shared" si="49"/>
        <v>-8000</v>
      </c>
      <c r="CJ31" s="199">
        <f t="shared" si="50"/>
        <v>-0.0062138147237738</v>
      </c>
      <c r="CK31" s="192"/>
      <c r="CL31" s="201"/>
      <c r="CM31" s="194"/>
      <c r="CN31" s="194" t="str">
        <f t="shared" si="51"/>
        <v>2026//5/19</v>
      </c>
      <c r="CO31" s="200">
        <v>595946.48</v>
      </c>
      <c r="CP31" s="12">
        <f t="shared" si="52"/>
        <v>600146.48</v>
      </c>
      <c r="CQ31" s="12">
        <f t="shared" si="53"/>
        <v>-4200</v>
      </c>
      <c r="CR31" s="199">
        <f t="shared" si="54"/>
        <v>-0.00699829148377243</v>
      </c>
      <c r="CS31" s="201"/>
      <c r="CT31" s="201"/>
      <c r="CU31" s="194"/>
      <c r="CV31" s="194" t="str">
        <f t="shared" si="55"/>
        <v>2026//5/19</v>
      </c>
      <c r="CW31" s="200">
        <v>587690.4</v>
      </c>
      <c r="CX31" s="12">
        <f t="shared" si="56"/>
        <v>578990.4</v>
      </c>
      <c r="CY31" s="12">
        <f t="shared" si="57"/>
        <v>8700</v>
      </c>
      <c r="CZ31" s="199">
        <f t="shared" si="58"/>
        <v>0.015026155874087</v>
      </c>
      <c r="DA31" s="192"/>
      <c r="DB31" s="192"/>
      <c r="DC31" s="202"/>
      <c r="DD31" s="194" t="str">
        <f t="shared" si="59"/>
        <v>2026//5/19</v>
      </c>
      <c r="DE31" s="200">
        <v>2083117.9986</v>
      </c>
      <c r="DF31" s="12">
        <f t="shared" si="60"/>
        <v>2027917.9986</v>
      </c>
      <c r="DG31" s="12">
        <f t="shared" si="61"/>
        <v>55200</v>
      </c>
      <c r="DH31" s="199">
        <f t="shared" si="62"/>
        <v>0.0272200355429105</v>
      </c>
      <c r="DI31" s="192"/>
      <c r="DJ31" s="192"/>
      <c r="DK31" s="194"/>
      <c r="DL31" s="194" t="str">
        <f t="shared" si="63"/>
        <v>2026//5/19</v>
      </c>
      <c r="DM31" s="200">
        <v>877900.36</v>
      </c>
      <c r="DN31" s="12">
        <f t="shared" si="64"/>
        <v>904700.36</v>
      </c>
      <c r="DO31" s="12">
        <f t="shared" si="65"/>
        <v>-26800</v>
      </c>
      <c r="DP31" s="199">
        <f t="shared" si="66"/>
        <v>-0.0296230676861895</v>
      </c>
      <c r="DQ31" s="192"/>
      <c r="DR31" s="192"/>
      <c r="DS31" s="194"/>
      <c r="DT31" s="194" t="str">
        <f t="shared" si="67"/>
        <v>2026//5/19</v>
      </c>
      <c r="DU31" s="200">
        <v>1304789.48</v>
      </c>
      <c r="DV31" s="12">
        <f t="shared" si="68"/>
        <v>1317689.48</v>
      </c>
      <c r="DW31" s="12">
        <f t="shared" si="69"/>
        <v>-12900</v>
      </c>
      <c r="DX31" s="199">
        <f t="shared" si="70"/>
        <v>-0.0097898633902731</v>
      </c>
      <c r="DY31" s="192"/>
      <c r="DZ31" s="192"/>
      <c r="EA31" s="194"/>
      <c r="EB31" s="194" t="str">
        <f t="shared" si="71"/>
        <v>2026//5/19</v>
      </c>
      <c r="EC31" s="200">
        <v>3588866.82</v>
      </c>
      <c r="ED31" s="12">
        <f t="shared" si="72"/>
        <v>3629066.82</v>
      </c>
      <c r="EE31" s="12">
        <f t="shared" si="73"/>
        <v>-40200</v>
      </c>
      <c r="EF31" s="199">
        <f t="shared" si="74"/>
        <v>-0.0110772278367693</v>
      </c>
      <c r="EG31" s="192"/>
      <c r="EH31" s="192"/>
      <c r="EI31" s="194"/>
      <c r="EJ31" s="194" t="str">
        <f t="shared" si="75"/>
        <v>2026//5/19</v>
      </c>
      <c r="EK31" s="200">
        <v>1242322.9669</v>
      </c>
      <c r="EL31" s="12">
        <f t="shared" si="76"/>
        <v>1243122.9669</v>
      </c>
      <c r="EM31" s="12">
        <f t="shared" si="77"/>
        <v>-800</v>
      </c>
      <c r="EN31" s="199">
        <f t="shared" si="78"/>
        <v>-0.000643540519563383</v>
      </c>
      <c r="EO31" s="192"/>
      <c r="EP31" s="192"/>
      <c r="EQ31" s="194"/>
      <c r="ER31" s="194" t="str">
        <f t="shared" si="79"/>
        <v>2026//5/19</v>
      </c>
      <c r="ES31">
        <v>402647.02</v>
      </c>
      <c r="ET31" s="12">
        <f t="shared" si="80"/>
        <v>404147.02</v>
      </c>
      <c r="EU31" s="12">
        <f t="shared" si="81"/>
        <v>-1500</v>
      </c>
      <c r="EV31" s="199">
        <f t="shared" si="82"/>
        <v>-0.00371152062435101</v>
      </c>
      <c r="EW31" s="192"/>
      <c r="EX31" s="192"/>
      <c r="EY31" s="194"/>
      <c r="EZ31" s="194" t="str">
        <f t="shared" si="83"/>
        <v>2026//5/19</v>
      </c>
      <c r="FA31" s="200">
        <v>636908</v>
      </c>
      <c r="FB31" s="12">
        <f t="shared" si="84"/>
        <v>637808</v>
      </c>
      <c r="FC31" s="12">
        <f t="shared" si="85"/>
        <v>-900</v>
      </c>
      <c r="FD31" s="199">
        <f t="shared" si="86"/>
        <v>-0.00141108295913504</v>
      </c>
      <c r="FE31" s="192"/>
      <c r="FF31" s="192"/>
      <c r="FG31" s="192"/>
      <c r="FH31" s="194" t="str">
        <f t="shared" si="87"/>
        <v>2026//5/19</v>
      </c>
      <c r="FI31" s="198">
        <v>1225895.3365</v>
      </c>
      <c r="FJ31" s="12">
        <f t="shared" si="88"/>
        <v>1222795.3365</v>
      </c>
      <c r="FK31" s="12">
        <f t="shared" si="89"/>
        <v>3100</v>
      </c>
      <c r="FL31" s="199">
        <f t="shared" si="90"/>
        <v>0.0025351748632548</v>
      </c>
      <c r="FM31" s="201"/>
      <c r="FN31" s="201"/>
      <c r="FO31" s="194"/>
      <c r="FP31" s="194" t="str">
        <f t="shared" si="91"/>
        <v>2026//5/19</v>
      </c>
      <c r="FQ31" s="200">
        <v>1728418.73</v>
      </c>
      <c r="FR31" s="12">
        <f t="shared" si="92"/>
        <v>1720318.73</v>
      </c>
      <c r="FS31" s="12">
        <f t="shared" si="93"/>
        <v>8100</v>
      </c>
      <c r="FT31" s="199">
        <f t="shared" si="94"/>
        <v>0.00470842981521221</v>
      </c>
      <c r="FU31" s="192"/>
      <c r="FV31" s="192"/>
      <c r="FW31" s="194"/>
      <c r="FX31" s="194" t="str">
        <f t="shared" si="95"/>
        <v>2026//5/19</v>
      </c>
      <c r="FY31" s="200">
        <v>8219782.05</v>
      </c>
      <c r="FZ31" s="12">
        <f t="shared" si="96"/>
        <v>8194882.05</v>
      </c>
      <c r="GA31" s="12">
        <f t="shared" si="97"/>
        <v>24900</v>
      </c>
      <c r="GB31" s="199">
        <f t="shared" si="98"/>
        <v>0.00303848180462829</v>
      </c>
      <c r="GC31" s="192"/>
      <c r="GD31" s="192"/>
      <c r="GE31" s="194"/>
      <c r="GF31" s="194" t="str">
        <f t="shared" si="99"/>
        <v>2026//5/19</v>
      </c>
      <c r="GG31" s="200">
        <v>4784069.49</v>
      </c>
      <c r="GH31" s="12">
        <f t="shared" si="100"/>
        <v>4740569.49</v>
      </c>
      <c r="GI31" s="12">
        <f t="shared" si="101"/>
        <v>43500</v>
      </c>
      <c r="GJ31" s="199">
        <f t="shared" si="102"/>
        <v>0.0091761127205837</v>
      </c>
      <c r="GK31" s="192"/>
      <c r="GL31" s="192"/>
      <c r="GM31" s="194"/>
      <c r="GN31" s="194" t="str">
        <f t="shared" si="103"/>
        <v>2026//5/19</v>
      </c>
      <c r="GO31" s="200">
        <v>1883998.1217</v>
      </c>
      <c r="GP31" s="12">
        <f t="shared" si="104"/>
        <v>1888018.1217</v>
      </c>
      <c r="GQ31" s="12">
        <f t="shared" si="105"/>
        <v>-4020</v>
      </c>
      <c r="GR31" s="199">
        <f t="shared" si="106"/>
        <v>-0.00212921685114989</v>
      </c>
      <c r="GS31" s="192"/>
      <c r="GT31" s="192"/>
      <c r="GU31" s="194"/>
      <c r="GV31" s="194" t="str">
        <f t="shared" si="107"/>
        <v>2026//5/19</v>
      </c>
      <c r="GW31" s="200">
        <v>847349.4</v>
      </c>
      <c r="GX31" s="12">
        <f t="shared" si="108"/>
        <v>848349.4</v>
      </c>
      <c r="GY31" s="12">
        <f t="shared" si="109"/>
        <v>-1000</v>
      </c>
      <c r="GZ31" s="199">
        <f t="shared" si="110"/>
        <v>-0.00117875960070226</v>
      </c>
      <c r="HA31" s="192"/>
      <c r="HB31" s="192"/>
      <c r="HC31" s="194"/>
      <c r="HD31" s="194" t="str">
        <f t="shared" si="111"/>
        <v>2026//5/19</v>
      </c>
      <c r="HE31" s="200">
        <v>1264864.6746</v>
      </c>
      <c r="HF31" s="12">
        <f t="shared" si="112"/>
        <v>1276564.6746</v>
      </c>
      <c r="HG31" s="12">
        <f t="shared" si="113"/>
        <v>-11700</v>
      </c>
      <c r="HH31" s="199">
        <f t="shared" si="114"/>
        <v>-0.00916522306530696</v>
      </c>
      <c r="HI31" s="201"/>
      <c r="HJ31" s="192"/>
      <c r="HK31" s="194"/>
      <c r="HL31" s="194" t="str">
        <f t="shared" si="115"/>
        <v>2026//5/19</v>
      </c>
      <c r="HM31" s="200">
        <v>135554.25</v>
      </c>
      <c r="HN31" s="208">
        <f t="shared" si="116"/>
        <v>137254.25</v>
      </c>
      <c r="HO31" s="208">
        <f t="shared" si="117"/>
        <v>-1700</v>
      </c>
      <c r="HP31" s="209">
        <f t="shared" si="118"/>
        <v>-0.0123857731181366</v>
      </c>
      <c r="HQ31" s="192"/>
      <c r="HR31" s="192"/>
      <c r="HS31" s="194"/>
      <c r="HT31" s="194" t="str">
        <f t="shared" si="119"/>
        <v>2026//5/19</v>
      </c>
      <c r="HU31" s="200">
        <v>194768.8265</v>
      </c>
      <c r="HV31" s="12">
        <f t="shared" si="120"/>
        <v>200568.8265</v>
      </c>
      <c r="HW31" s="12">
        <f t="shared" si="121"/>
        <v>-5800</v>
      </c>
      <c r="HX31" s="199">
        <f t="shared" si="122"/>
        <v>-0.028917754075806</v>
      </c>
      <c r="HY31" s="192"/>
      <c r="HZ31" s="192"/>
      <c r="IA31" s="194"/>
      <c r="IB31" s="194" t="str">
        <f t="shared" si="123"/>
        <v>2026//5/19</v>
      </c>
      <c r="IC31" s="200">
        <v>365059.79</v>
      </c>
      <c r="ID31" s="12">
        <f t="shared" si="124"/>
        <v>365534.79</v>
      </c>
      <c r="IE31" s="12">
        <f t="shared" si="125"/>
        <v>-475</v>
      </c>
      <c r="IF31" s="199">
        <f t="shared" si="126"/>
        <v>-0.0012994659140379</v>
      </c>
      <c r="IG31" s="201"/>
      <c r="IH31" s="192"/>
      <c r="II31" s="194"/>
      <c r="IJ31" s="194" t="str">
        <f t="shared" si="127"/>
        <v>2026//5/19</v>
      </c>
      <c r="IK31" s="200">
        <v>635116.29</v>
      </c>
      <c r="IL31" s="12">
        <f t="shared" si="128"/>
        <v>626076.29</v>
      </c>
      <c r="IM31" s="12">
        <f t="shared" si="129"/>
        <v>9040</v>
      </c>
      <c r="IN31" s="199">
        <f t="shared" si="130"/>
        <v>0.0144391348856223</v>
      </c>
      <c r="IO31" s="192"/>
      <c r="IP31" s="192"/>
      <c r="IQ31" s="194"/>
      <c r="IR31" s="194" t="str">
        <f t="shared" si="131"/>
        <v>2026//5/19</v>
      </c>
      <c r="IS31" s="200">
        <v>140589</v>
      </c>
      <c r="IT31" s="12">
        <f t="shared" si="132"/>
        <v>136889</v>
      </c>
      <c r="IU31" s="12">
        <f t="shared" si="133"/>
        <v>3700</v>
      </c>
      <c r="IV31" s="199">
        <f t="shared" si="134"/>
        <v>0.027029198839936</v>
      </c>
      <c r="IW31" s="192"/>
      <c r="IX31" s="192"/>
      <c r="IY31" s="194"/>
      <c r="IZ31" s="194" t="str">
        <f t="shared" si="135"/>
        <v>2026//5/19</v>
      </c>
      <c r="JA31" s="200">
        <v>5233129.15</v>
      </c>
      <c r="JB31" s="12">
        <f t="shared" si="136"/>
        <v>5231829.15</v>
      </c>
      <c r="JC31" s="12">
        <f t="shared" si="137"/>
        <v>1300</v>
      </c>
      <c r="JD31" s="199">
        <f t="shared" si="138"/>
        <v>0.000248479062050411</v>
      </c>
      <c r="JE31" s="192"/>
      <c r="JF31" s="192"/>
      <c r="JG31" s="194"/>
      <c r="JH31" s="194" t="str">
        <f t="shared" si="139"/>
        <v>2026//5/19</v>
      </c>
      <c r="JI31" s="200">
        <v>1322247.99</v>
      </c>
      <c r="JJ31" s="12">
        <f t="shared" si="140"/>
        <v>1324347.99</v>
      </c>
      <c r="JK31" s="12">
        <f t="shared" si="141"/>
        <v>-2100</v>
      </c>
      <c r="JL31" s="199">
        <f t="shared" si="142"/>
        <v>-0.00158568594950637</v>
      </c>
      <c r="JM31" s="192"/>
      <c r="JN31" s="192"/>
      <c r="JO31" s="192"/>
      <c r="JP31" s="194" t="str">
        <f t="shared" si="143"/>
        <v>2026//5/19</v>
      </c>
      <c r="JQ31" s="200">
        <v>1021090.4148</v>
      </c>
      <c r="JR31" s="12">
        <f t="shared" si="144"/>
        <v>1031590.4148</v>
      </c>
      <c r="JS31" s="12">
        <f t="shared" si="145"/>
        <v>-10500</v>
      </c>
      <c r="JT31" s="199">
        <f t="shared" si="146"/>
        <v>-0.0101784582808824</v>
      </c>
      <c r="JU31" s="192"/>
      <c r="JV31" s="192"/>
      <c r="JW31" s="201"/>
      <c r="JX31" s="194" t="str">
        <f t="shared" si="147"/>
        <v>2026//5/19</v>
      </c>
      <c r="JY31" s="200">
        <v>1183698.8</v>
      </c>
      <c r="JZ31" s="12">
        <f t="shared" si="148"/>
        <v>1184248.8</v>
      </c>
      <c r="KA31" s="12">
        <f t="shared" si="149"/>
        <v>-550</v>
      </c>
      <c r="KB31" s="199">
        <f t="shared" si="150"/>
        <v>-0.000464429434085135</v>
      </c>
      <c r="KC31" s="192"/>
      <c r="KD31" s="192"/>
      <c r="KE31" s="201"/>
      <c r="KF31" s="194" t="str">
        <f t="shared" si="151"/>
        <v>2026//5/19</v>
      </c>
      <c r="KG31" s="200">
        <v>703555.9219</v>
      </c>
      <c r="KH31" s="12">
        <f t="shared" si="152"/>
        <v>703555.9219</v>
      </c>
      <c r="KI31" s="12">
        <f t="shared" si="153"/>
        <v>0</v>
      </c>
      <c r="KJ31" s="199">
        <f t="shared" si="154"/>
        <v>0</v>
      </c>
      <c r="KK31" s="201"/>
      <c r="KL31" s="201"/>
      <c r="KM31" s="194"/>
      <c r="KN31" s="194" t="str">
        <f t="shared" si="155"/>
        <v>2026//5/19</v>
      </c>
      <c r="KO31" s="200">
        <v>8328775.95</v>
      </c>
      <c r="KP31" s="12">
        <f t="shared" si="156"/>
        <v>8328775.95</v>
      </c>
      <c r="KQ31" s="12">
        <f t="shared" si="157"/>
        <v>0</v>
      </c>
      <c r="KR31" s="199">
        <f t="shared" si="158"/>
        <v>0</v>
      </c>
      <c r="KS31" s="192"/>
      <c r="KT31" s="192"/>
      <c r="KU31" s="194"/>
      <c r="KV31" s="194" t="str">
        <f t="shared" si="159"/>
        <v>2026//5/19</v>
      </c>
      <c r="KW31" s="200">
        <v>1095772.9726</v>
      </c>
      <c r="KX31" s="12">
        <f t="shared" si="160"/>
        <v>1087872.9726</v>
      </c>
      <c r="KY31" s="12">
        <f t="shared" si="161"/>
        <v>7900</v>
      </c>
      <c r="KZ31" s="199">
        <f t="shared" si="162"/>
        <v>0.00726187725862802</v>
      </c>
      <c r="LA31" s="201"/>
      <c r="LB31" s="192"/>
      <c r="LC31" s="194"/>
      <c r="LD31" s="194" t="str">
        <f t="shared" si="163"/>
        <v>2026//5/19</v>
      </c>
      <c r="LE31" s="200">
        <v>453857.7</v>
      </c>
      <c r="LF31" s="12">
        <f t="shared" si="164"/>
        <v>466107.7</v>
      </c>
      <c r="LG31" s="12">
        <f t="shared" si="165"/>
        <v>-12250</v>
      </c>
      <c r="LH31" s="199">
        <f t="shared" si="166"/>
        <v>-0.0262814795807922</v>
      </c>
      <c r="LI31" s="192"/>
      <c r="LJ31" s="192"/>
      <c r="LK31" s="194"/>
      <c r="LL31" s="194" t="str">
        <f t="shared" si="167"/>
        <v>2026//5/19</v>
      </c>
      <c r="LM31" s="198">
        <v>3508495.02</v>
      </c>
      <c r="LN31" s="12">
        <f t="shared" si="168"/>
        <v>3530635.02</v>
      </c>
      <c r="LO31" s="12">
        <f t="shared" si="169"/>
        <v>-22140</v>
      </c>
      <c r="LP31" s="199">
        <f t="shared" si="170"/>
        <v>-0.00627082660047937</v>
      </c>
      <c r="LQ31" s="192"/>
      <c r="LR31" s="192"/>
      <c r="LS31" s="194"/>
      <c r="LT31" s="194" t="str">
        <f t="shared" si="171"/>
        <v>2026//5/19</v>
      </c>
      <c r="LU31" s="200">
        <v>2457262.904</v>
      </c>
      <c r="LV31" s="12">
        <f t="shared" si="172"/>
        <v>2453062.904</v>
      </c>
      <c r="LW31" s="12">
        <f t="shared" si="173"/>
        <v>4200</v>
      </c>
      <c r="LX31" s="199">
        <f t="shared" si="174"/>
        <v>0.00171214525039346</v>
      </c>
      <c r="LY31" s="192"/>
      <c r="LZ31" s="192"/>
      <c r="MA31" s="194"/>
      <c r="MB31" s="194" t="str">
        <f t="shared" si="175"/>
        <v>2026//5/19</v>
      </c>
      <c r="MC31" s="200">
        <v>934117.69</v>
      </c>
      <c r="MD31" s="12">
        <f t="shared" si="176"/>
        <v>922617.69</v>
      </c>
      <c r="ME31" s="12">
        <f t="shared" si="177"/>
        <v>11500</v>
      </c>
      <c r="MF31" s="199">
        <f t="shared" si="178"/>
        <v>0.0124645344703937</v>
      </c>
      <c r="MG31" s="192"/>
      <c r="MH31" s="192"/>
      <c r="MK31" s="194" t="str">
        <f t="shared" si="179"/>
        <v>2026//5/19</v>
      </c>
      <c r="ML31">
        <v>186465.5354</v>
      </c>
      <c r="MM31" s="12">
        <f t="shared" si="180"/>
        <v>184305.5354</v>
      </c>
      <c r="MN31" s="12">
        <f t="shared" si="181"/>
        <v>2160</v>
      </c>
      <c r="MO31" s="199">
        <f t="shared" si="182"/>
        <v>0.0117196697066756</v>
      </c>
      <c r="MP31" s="192"/>
      <c r="MQ31" s="201"/>
      <c r="MR31" s="201"/>
      <c r="MT31" s="194" t="str">
        <f t="shared" si="183"/>
        <v>2026//5/19</v>
      </c>
      <c r="MU31">
        <v>176814.8</v>
      </c>
      <c r="MV31" s="204">
        <f t="shared" si="184"/>
        <v>178414.8</v>
      </c>
      <c r="MW31" s="8">
        <f t="shared" si="185"/>
        <v>-1600</v>
      </c>
      <c r="MX31" s="192">
        <f t="shared" si="186"/>
        <v>-0.00896786589453341</v>
      </c>
      <c r="MY31" s="192"/>
      <c r="MZ31" s="192"/>
      <c r="NA31" s="192"/>
      <c r="NC31" s="194" t="str">
        <f t="shared" si="187"/>
        <v>2026//5/19</v>
      </c>
      <c r="ND31">
        <v>40691.48</v>
      </c>
      <c r="NE31" s="204">
        <f t="shared" si="188"/>
        <v>40891.48</v>
      </c>
      <c r="NF31" s="8">
        <f t="shared" si="189"/>
        <v>-200</v>
      </c>
      <c r="NG31" s="192">
        <f t="shared" si="190"/>
        <v>-0.00489099440763699</v>
      </c>
      <c r="NH31" s="192"/>
      <c r="NI31" s="192"/>
      <c r="NJ31" s="192"/>
      <c r="NK31" s="192"/>
      <c r="NM31" s="194" t="str">
        <f t="shared" si="191"/>
        <v>2026//5/19</v>
      </c>
      <c r="NN31">
        <v>2667411.08</v>
      </c>
      <c r="NO31" s="8">
        <f t="shared" si="192"/>
        <v>2676211.08</v>
      </c>
      <c r="NP31" s="210">
        <f t="shared" si="193"/>
        <v>-8800</v>
      </c>
      <c r="NQ31" s="211">
        <f t="shared" si="194"/>
        <v>-0.00328823091189055</v>
      </c>
      <c r="NR31" s="192"/>
      <c r="NT31" s="194"/>
      <c r="NU31" s="194" t="str">
        <f t="shared" si="195"/>
        <v>2026//5/19</v>
      </c>
      <c r="NV31">
        <v>257476.5</v>
      </c>
      <c r="NW31" s="205">
        <f t="shared" si="196"/>
        <v>259376.5</v>
      </c>
      <c r="NX31" s="210">
        <f t="shared" si="197"/>
        <v>-1900</v>
      </c>
      <c r="NY31" s="211">
        <f t="shared" si="198"/>
        <v>-0.00732525884187658</v>
      </c>
      <c r="NZ31" s="201"/>
      <c r="OA31" s="200"/>
      <c r="OB31" s="194"/>
      <c r="OC31" s="194" t="str">
        <f t="shared" si="199"/>
        <v>2026//5/19</v>
      </c>
      <c r="OD31" s="200">
        <v>15253.97</v>
      </c>
      <c r="OE31" s="12">
        <f t="shared" si="200"/>
        <v>15223.97</v>
      </c>
      <c r="OF31" s="12">
        <f t="shared" si="201"/>
        <v>30</v>
      </c>
      <c r="OG31" s="199">
        <f t="shared" si="202"/>
        <v>0.00197057666298607</v>
      </c>
      <c r="OH31" s="192"/>
      <c r="OI31" s="192"/>
      <c r="OJ31" s="194"/>
      <c r="OK31" s="194" t="str">
        <f t="shared" si="203"/>
        <v>2026//5/19</v>
      </c>
      <c r="OL31" s="200">
        <v>14273.65</v>
      </c>
      <c r="OM31" s="12">
        <f t="shared" si="204"/>
        <v>13838.65</v>
      </c>
      <c r="ON31" s="12">
        <f t="shared" si="205"/>
        <v>435</v>
      </c>
      <c r="OO31" s="199">
        <f t="shared" si="206"/>
        <v>0.0314337019868268</v>
      </c>
      <c r="OP31" s="192"/>
      <c r="OQ31" s="192"/>
      <c r="OT31" s="26" t="str">
        <f t="shared" si="207"/>
        <v>2026//5/19</v>
      </c>
      <c r="OU31" s="206">
        <v>147432.4066</v>
      </c>
      <c r="OV31" s="8">
        <f t="shared" si="208"/>
        <v>147312.4066</v>
      </c>
      <c r="OW31" s="191">
        <f t="shared" si="209"/>
        <v>120</v>
      </c>
      <c r="OX31" s="192">
        <f t="shared" si="210"/>
        <v>0.000814595340403596</v>
      </c>
    </row>
    <row r="32" s="8" customFormat="1" ht="17" customHeight="1" spans="1:415">
      <c r="A32" s="15"/>
      <c r="B32" s="15"/>
      <c r="C32" s="15" t="s">
        <v>458</v>
      </c>
      <c r="D32" s="207">
        <v>3218268.77</v>
      </c>
      <c r="E32" s="19">
        <f t="shared" si="8"/>
        <v>3216288.77</v>
      </c>
      <c r="F32" s="19">
        <f t="shared" si="9"/>
        <v>1980</v>
      </c>
      <c r="G32" s="172">
        <f t="shared" si="10"/>
        <v>0.000615616364571643</v>
      </c>
      <c r="H32" s="18"/>
      <c r="I32" s="172"/>
      <c r="J32" s="172"/>
      <c r="K32" s="8" t="str">
        <f t="shared" si="11"/>
        <v>2026//5/18</v>
      </c>
      <c r="L32" s="19">
        <v>2558314.4</v>
      </c>
      <c r="M32" s="19">
        <f t="shared" si="12"/>
        <v>2571904.4</v>
      </c>
      <c r="N32" s="19">
        <f t="shared" si="13"/>
        <v>-13590</v>
      </c>
      <c r="O32" s="172">
        <f t="shared" si="14"/>
        <v>-0.00528402222104367</v>
      </c>
      <c r="P32" s="18"/>
      <c r="Q32" s="172"/>
      <c r="R32" s="19"/>
      <c r="S32" s="8" t="str">
        <f t="shared" si="15"/>
        <v>2026//5/18</v>
      </c>
      <c r="T32" s="19">
        <v>1223436.68</v>
      </c>
      <c r="U32" s="19">
        <f t="shared" si="16"/>
        <v>1190946.68</v>
      </c>
      <c r="V32" s="19">
        <f t="shared" si="17"/>
        <v>32490</v>
      </c>
      <c r="W32" s="172">
        <f t="shared" si="18"/>
        <v>0.0272808183150567</v>
      </c>
      <c r="X32" s="18"/>
      <c r="Y32" s="172"/>
      <c r="Z32" s="19"/>
      <c r="AA32" s="8" t="str">
        <f t="shared" si="19"/>
        <v>2026//5/18</v>
      </c>
      <c r="AB32" s="19">
        <v>512816.86</v>
      </c>
      <c r="AC32" s="19">
        <f t="shared" si="20"/>
        <v>523536.86</v>
      </c>
      <c r="AD32" s="19">
        <f t="shared" si="21"/>
        <v>-10720</v>
      </c>
      <c r="AE32" s="172">
        <f t="shared" si="22"/>
        <v>-0.02047611318141</v>
      </c>
      <c r="AF32" s="18"/>
      <c r="AG32" s="172"/>
      <c r="AH32" s="19"/>
      <c r="AI32" s="8" t="str">
        <f t="shared" si="23"/>
        <v>2026//5/18</v>
      </c>
      <c r="AJ32" s="19">
        <v>337521.76</v>
      </c>
      <c r="AK32" s="19">
        <f t="shared" si="24"/>
        <v>346321.76</v>
      </c>
      <c r="AL32" s="19">
        <f t="shared" si="25"/>
        <v>-8800</v>
      </c>
      <c r="AM32" s="172">
        <f t="shared" si="26"/>
        <v>-0.0254098962768034</v>
      </c>
      <c r="AN32" s="18"/>
      <c r="AO32" s="18"/>
      <c r="AP32" s="19"/>
      <c r="AQ32" s="8" t="str">
        <f t="shared" si="27"/>
        <v>2026//5/18</v>
      </c>
      <c r="AR32" s="19">
        <v>1180945.4936</v>
      </c>
      <c r="AS32" s="19">
        <f t="shared" si="28"/>
        <v>1199345.4936</v>
      </c>
      <c r="AT32" s="19">
        <f t="shared" si="29"/>
        <v>-18400</v>
      </c>
      <c r="AU32" s="172">
        <f t="shared" si="30"/>
        <v>-0.015341701034595</v>
      </c>
      <c r="AV32" s="18"/>
      <c r="AW32" s="18"/>
      <c r="AX32" s="17"/>
      <c r="AY32" s="17"/>
      <c r="AZ32" s="8" t="str">
        <f t="shared" si="31"/>
        <v>2026//5/18</v>
      </c>
      <c r="BA32" s="17">
        <v>1523361.6676</v>
      </c>
      <c r="BB32" s="129">
        <f t="shared" si="32"/>
        <v>1525881.6676</v>
      </c>
      <c r="BC32" s="17">
        <f t="shared" si="33"/>
        <v>-2520</v>
      </c>
      <c r="BD32" s="18">
        <f t="shared" si="34"/>
        <v>-0.00165150421130861</v>
      </c>
      <c r="BE32" s="18"/>
      <c r="BF32" s="18"/>
      <c r="BG32" s="74"/>
      <c r="BH32" s="194" t="str">
        <f t="shared" si="35"/>
        <v>2026//5/18</v>
      </c>
      <c r="BI32" s="194">
        <v>1506126.5525</v>
      </c>
      <c r="BJ32" s="195">
        <f t="shared" si="36"/>
        <v>1520826.5525</v>
      </c>
      <c r="BK32" s="195">
        <f t="shared" si="37"/>
        <v>-14700</v>
      </c>
      <c r="BL32" s="196">
        <f t="shared" si="38"/>
        <v>-0.0096657965208692</v>
      </c>
      <c r="BM32" s="197"/>
      <c r="BN32" s="192"/>
      <c r="BO32" s="194"/>
      <c r="BP32" s="194" t="str">
        <f t="shared" si="39"/>
        <v>2026//5/18</v>
      </c>
      <c r="BQ32" s="198">
        <v>1101362.3921</v>
      </c>
      <c r="BR32" s="12">
        <f t="shared" si="40"/>
        <v>1116062.3921</v>
      </c>
      <c r="BS32" s="12">
        <f t="shared" si="41"/>
        <v>-14700</v>
      </c>
      <c r="BT32" s="199">
        <f t="shared" si="42"/>
        <v>-0.013171306643834</v>
      </c>
      <c r="BU32" s="192"/>
      <c r="BV32" s="192"/>
      <c r="BW32" s="194"/>
      <c r="BX32" s="194" t="str">
        <f t="shared" si="43"/>
        <v>2026//5/18</v>
      </c>
      <c r="BY32" s="200">
        <v>2549260.7019</v>
      </c>
      <c r="BZ32" s="12">
        <f t="shared" si="44"/>
        <v>2674260.7019</v>
      </c>
      <c r="CA32" s="12">
        <f t="shared" si="45"/>
        <v>-125000</v>
      </c>
      <c r="CB32" s="199">
        <f t="shared" si="46"/>
        <v>-0.0467418901647062</v>
      </c>
      <c r="CC32" s="192"/>
      <c r="CD32" s="201"/>
      <c r="CE32" s="194"/>
      <c r="CF32" s="194" t="str">
        <f t="shared" si="47"/>
        <v>2026//5/18</v>
      </c>
      <c r="CG32" s="200">
        <v>1287453.9</v>
      </c>
      <c r="CH32" s="12">
        <f t="shared" si="48"/>
        <v>1302403.9</v>
      </c>
      <c r="CI32" s="12">
        <f t="shared" si="49"/>
        <v>-14950</v>
      </c>
      <c r="CJ32" s="199">
        <f t="shared" si="50"/>
        <v>-0.011478773980944</v>
      </c>
      <c r="CK32" s="192"/>
      <c r="CL32" s="201"/>
      <c r="CM32" s="194"/>
      <c r="CN32" s="194" t="str">
        <f t="shared" si="51"/>
        <v>2026//5/18</v>
      </c>
      <c r="CO32" s="200">
        <v>600146.48</v>
      </c>
      <c r="CP32" s="12">
        <f t="shared" si="52"/>
        <v>597546.48</v>
      </c>
      <c r="CQ32" s="12">
        <f t="shared" si="53"/>
        <v>2600</v>
      </c>
      <c r="CR32" s="199">
        <f t="shared" si="54"/>
        <v>0.00435112595759915</v>
      </c>
      <c r="CS32" s="201"/>
      <c r="CT32" s="201"/>
      <c r="CU32" s="194"/>
      <c r="CV32" s="194" t="str">
        <f t="shared" si="55"/>
        <v>2026//5/18</v>
      </c>
      <c r="CW32" s="200">
        <v>578990.4</v>
      </c>
      <c r="CX32" s="12">
        <f t="shared" si="56"/>
        <v>575290.4</v>
      </c>
      <c r="CY32" s="12">
        <f t="shared" si="57"/>
        <v>3700</v>
      </c>
      <c r="CZ32" s="199">
        <f t="shared" si="58"/>
        <v>0.00643153440418961</v>
      </c>
      <c r="DA32" s="192"/>
      <c r="DB32" s="192"/>
      <c r="DC32" s="202"/>
      <c r="DD32" s="194" t="str">
        <f t="shared" si="59"/>
        <v>2026//5/18</v>
      </c>
      <c r="DE32" s="200">
        <v>2027917.9986</v>
      </c>
      <c r="DF32" s="12">
        <f t="shared" si="60"/>
        <v>1975517.9986</v>
      </c>
      <c r="DG32" s="12">
        <f t="shared" si="61"/>
        <v>52400</v>
      </c>
      <c r="DH32" s="199">
        <f t="shared" si="62"/>
        <v>0.0265246887333522</v>
      </c>
      <c r="DI32" s="192"/>
      <c r="DJ32" s="192"/>
      <c r="DK32" s="194"/>
      <c r="DL32" s="194" t="str">
        <f t="shared" si="63"/>
        <v>2026//5/18</v>
      </c>
      <c r="DM32" s="200">
        <v>904700.36</v>
      </c>
      <c r="DN32" s="12">
        <f t="shared" si="64"/>
        <v>930500.36</v>
      </c>
      <c r="DO32" s="12">
        <f t="shared" si="65"/>
        <v>-25800</v>
      </c>
      <c r="DP32" s="199">
        <f t="shared" si="66"/>
        <v>-0.0277270177520404</v>
      </c>
      <c r="DQ32" s="192"/>
      <c r="DR32" s="192"/>
      <c r="DS32" s="194"/>
      <c r="DT32" s="194" t="str">
        <f t="shared" si="67"/>
        <v>2026//5/18</v>
      </c>
      <c r="DU32" s="200">
        <v>1317689.48</v>
      </c>
      <c r="DV32" s="12">
        <f t="shared" si="68"/>
        <v>1354289.48</v>
      </c>
      <c r="DW32" s="12">
        <f t="shared" si="69"/>
        <v>-36600</v>
      </c>
      <c r="DX32" s="199">
        <f t="shared" si="70"/>
        <v>-0.0270252413095611</v>
      </c>
      <c r="DY32" s="192"/>
      <c r="DZ32" s="192"/>
      <c r="EA32" s="194"/>
      <c r="EB32" s="194" t="str">
        <f t="shared" si="71"/>
        <v>2026//5/18</v>
      </c>
      <c r="EC32" s="200">
        <v>3629066.82</v>
      </c>
      <c r="ED32" s="12">
        <f t="shared" si="72"/>
        <v>3725966.82</v>
      </c>
      <c r="EE32" s="12">
        <f t="shared" si="73"/>
        <v>-96900</v>
      </c>
      <c r="EF32" s="199">
        <f t="shared" si="74"/>
        <v>-0.0260066728130445</v>
      </c>
      <c r="EG32" s="192"/>
      <c r="EH32" s="192"/>
      <c r="EI32" s="194"/>
      <c r="EJ32" s="194" t="str">
        <f t="shared" si="75"/>
        <v>2026//5/18</v>
      </c>
      <c r="EK32" s="200">
        <v>1243122.9669</v>
      </c>
      <c r="EL32" s="12">
        <f t="shared" si="76"/>
        <v>1252522.9669</v>
      </c>
      <c r="EM32" s="12">
        <f t="shared" si="77"/>
        <v>-9400</v>
      </c>
      <c r="EN32" s="199">
        <f t="shared" si="78"/>
        <v>-0.00750485240463498</v>
      </c>
      <c r="EO32" s="192"/>
      <c r="EP32" s="192"/>
      <c r="EQ32" s="194"/>
      <c r="ER32" s="194" t="str">
        <f t="shared" si="79"/>
        <v>2026//5/18</v>
      </c>
      <c r="ES32">
        <v>404147.02</v>
      </c>
      <c r="ET32" s="12">
        <f t="shared" si="80"/>
        <v>407147.02</v>
      </c>
      <c r="EU32" s="12">
        <f t="shared" si="81"/>
        <v>-3000</v>
      </c>
      <c r="EV32" s="199">
        <f t="shared" si="82"/>
        <v>-0.00736834571452838</v>
      </c>
      <c r="EW32" s="192"/>
      <c r="EX32" s="192"/>
      <c r="EY32" s="194"/>
      <c r="EZ32" s="194" t="str">
        <f t="shared" si="83"/>
        <v>2026//5/18</v>
      </c>
      <c r="FA32" s="200">
        <v>637808</v>
      </c>
      <c r="FB32" s="12">
        <f t="shared" si="84"/>
        <v>644408</v>
      </c>
      <c r="FC32" s="12">
        <f t="shared" si="85"/>
        <v>-6600</v>
      </c>
      <c r="FD32" s="199">
        <f t="shared" si="86"/>
        <v>-0.0102419585107572</v>
      </c>
      <c r="FE32" s="192"/>
      <c r="FF32" s="192"/>
      <c r="FG32" s="192"/>
      <c r="FH32" s="194" t="str">
        <f t="shared" si="87"/>
        <v>2026//5/18</v>
      </c>
      <c r="FI32" s="198">
        <v>1222795.3365</v>
      </c>
      <c r="FJ32" s="12">
        <f t="shared" si="88"/>
        <v>1240995.3365</v>
      </c>
      <c r="FK32" s="12">
        <f t="shared" si="89"/>
        <v>-18200</v>
      </c>
      <c r="FL32" s="199">
        <f t="shared" si="90"/>
        <v>-0.0146656473757023</v>
      </c>
      <c r="FM32" s="201"/>
      <c r="FN32" s="201"/>
      <c r="FO32" s="194"/>
      <c r="FP32" s="194" t="str">
        <f t="shared" si="91"/>
        <v>2026//5/18</v>
      </c>
      <c r="FQ32" s="200">
        <v>1720318.73</v>
      </c>
      <c r="FR32" s="12">
        <f t="shared" si="92"/>
        <v>1718668.73</v>
      </c>
      <c r="FS32" s="12">
        <f t="shared" si="93"/>
        <v>1650</v>
      </c>
      <c r="FT32" s="199">
        <f t="shared" si="94"/>
        <v>0.000960045395135571</v>
      </c>
      <c r="FU32" s="192"/>
      <c r="FV32" s="192"/>
      <c r="FW32" s="194"/>
      <c r="FX32" s="194" t="str">
        <f t="shared" si="95"/>
        <v>2026//5/18</v>
      </c>
      <c r="FY32" s="200">
        <v>8194882.05</v>
      </c>
      <c r="FZ32" s="12">
        <f t="shared" si="96"/>
        <v>8171482.05</v>
      </c>
      <c r="GA32" s="12">
        <f t="shared" si="97"/>
        <v>23400</v>
      </c>
      <c r="GB32" s="199">
        <f t="shared" si="98"/>
        <v>0.00286361762246054</v>
      </c>
      <c r="GC32" s="192"/>
      <c r="GD32" s="192"/>
      <c r="GE32" s="194"/>
      <c r="GF32" s="194" t="str">
        <f t="shared" si="99"/>
        <v>2026//5/18</v>
      </c>
      <c r="GG32" s="200">
        <v>4740569.49</v>
      </c>
      <c r="GH32" s="12">
        <f t="shared" si="100"/>
        <v>4667669.49</v>
      </c>
      <c r="GI32" s="12">
        <f t="shared" si="101"/>
        <v>72900</v>
      </c>
      <c r="GJ32" s="199">
        <f t="shared" si="102"/>
        <v>0.0156180723926963</v>
      </c>
      <c r="GK32" s="192"/>
      <c r="GL32" s="192"/>
      <c r="GM32" s="194"/>
      <c r="GN32" s="194" t="str">
        <f t="shared" si="103"/>
        <v>2026//5/18</v>
      </c>
      <c r="GO32" s="200">
        <v>1888018.1217</v>
      </c>
      <c r="GP32" s="12">
        <f t="shared" si="104"/>
        <v>1881718.1217</v>
      </c>
      <c r="GQ32" s="12">
        <f t="shared" si="105"/>
        <v>6300</v>
      </c>
      <c r="GR32" s="199">
        <f t="shared" si="106"/>
        <v>0.00334800410717647</v>
      </c>
      <c r="GS32" s="192"/>
      <c r="GT32" s="192"/>
      <c r="GU32" s="194"/>
      <c r="GV32" s="194" t="str">
        <f t="shared" si="107"/>
        <v>2026//5/18</v>
      </c>
      <c r="GW32" s="200">
        <v>848349.4</v>
      </c>
      <c r="GX32" s="12">
        <f t="shared" si="108"/>
        <v>853149.4</v>
      </c>
      <c r="GY32" s="12">
        <f t="shared" si="109"/>
        <v>-4800</v>
      </c>
      <c r="GZ32" s="199">
        <f t="shared" si="110"/>
        <v>-0.00562621271256828</v>
      </c>
      <c r="HA32" s="192"/>
      <c r="HB32" s="192"/>
      <c r="HC32" s="194"/>
      <c r="HD32" s="194" t="str">
        <f t="shared" si="111"/>
        <v>2026//5/18</v>
      </c>
      <c r="HE32" s="200">
        <v>1276564.6746</v>
      </c>
      <c r="HF32" s="12">
        <f t="shared" si="112"/>
        <v>1286364.6746</v>
      </c>
      <c r="HG32" s="12">
        <f t="shared" si="113"/>
        <v>-9800</v>
      </c>
      <c r="HH32" s="199">
        <f t="shared" si="114"/>
        <v>-0.00761836840944606</v>
      </c>
      <c r="HI32" s="201"/>
      <c r="HJ32" s="192"/>
      <c r="HK32" s="194"/>
      <c r="HL32" s="194" t="str">
        <f t="shared" si="115"/>
        <v>2026//5/18</v>
      </c>
      <c r="HM32" s="200">
        <v>137254.25</v>
      </c>
      <c r="HN32" s="208">
        <f t="shared" si="116"/>
        <v>137504.25</v>
      </c>
      <c r="HO32" s="208">
        <f t="shared" si="117"/>
        <v>-250</v>
      </c>
      <c r="HP32" s="209">
        <f t="shared" si="118"/>
        <v>-0.0018181256215717</v>
      </c>
      <c r="HQ32" s="192"/>
      <c r="HR32" s="192"/>
      <c r="HS32" s="194"/>
      <c r="HT32" s="194" t="str">
        <f t="shared" si="119"/>
        <v>2026//5/18</v>
      </c>
      <c r="HU32" s="200">
        <v>200568.8265</v>
      </c>
      <c r="HV32" s="12">
        <f t="shared" si="120"/>
        <v>207968.8265</v>
      </c>
      <c r="HW32" s="12">
        <f t="shared" si="121"/>
        <v>-7400</v>
      </c>
      <c r="HX32" s="199">
        <f t="shared" si="122"/>
        <v>-0.0355822558819891</v>
      </c>
      <c r="HY32" s="192"/>
      <c r="HZ32" s="192"/>
      <c r="IA32" s="194"/>
      <c r="IB32" s="194" t="str">
        <f t="shared" si="123"/>
        <v>2026//5/18</v>
      </c>
      <c r="IC32" s="200">
        <v>365534.79</v>
      </c>
      <c r="ID32" s="12">
        <f t="shared" si="124"/>
        <v>366684.79</v>
      </c>
      <c r="IE32" s="12">
        <f t="shared" si="125"/>
        <v>-1150</v>
      </c>
      <c r="IF32" s="199">
        <f t="shared" si="126"/>
        <v>-0.00313620862212474</v>
      </c>
      <c r="IG32" s="201"/>
      <c r="IH32" s="192"/>
      <c r="II32" s="194"/>
      <c r="IJ32" s="194" t="str">
        <f t="shared" si="127"/>
        <v>2026//5/18</v>
      </c>
      <c r="IK32" s="200">
        <v>626076.29</v>
      </c>
      <c r="IL32" s="12">
        <f t="shared" si="128"/>
        <v>624236.29</v>
      </c>
      <c r="IM32" s="12">
        <f t="shared" si="129"/>
        <v>1840</v>
      </c>
      <c r="IN32" s="199">
        <f t="shared" si="130"/>
        <v>0.00294760178072954</v>
      </c>
      <c r="IO32" s="192"/>
      <c r="IP32" s="192"/>
      <c r="IQ32" s="194"/>
      <c r="IR32" s="194" t="str">
        <f t="shared" si="131"/>
        <v>2026//5/18</v>
      </c>
      <c r="IS32" s="200">
        <v>136889</v>
      </c>
      <c r="IT32" s="12">
        <f t="shared" si="132"/>
        <v>138089</v>
      </c>
      <c r="IU32" s="12">
        <f t="shared" si="133"/>
        <v>-1200</v>
      </c>
      <c r="IV32" s="199">
        <f t="shared" si="134"/>
        <v>-0.00869004772284541</v>
      </c>
      <c r="IW32" s="192"/>
      <c r="IX32" s="192"/>
      <c r="IY32" s="194"/>
      <c r="IZ32" s="194" t="str">
        <f t="shared" si="135"/>
        <v>2026//5/18</v>
      </c>
      <c r="JA32" s="200">
        <v>5231829.15</v>
      </c>
      <c r="JB32" s="12">
        <f t="shared" si="136"/>
        <v>5246329.15</v>
      </c>
      <c r="JC32" s="12">
        <f t="shared" si="137"/>
        <v>-14500</v>
      </c>
      <c r="JD32" s="199">
        <f t="shared" si="138"/>
        <v>-0.00276383726324148</v>
      </c>
      <c r="JE32" s="192"/>
      <c r="JF32" s="192"/>
      <c r="JG32" s="194"/>
      <c r="JH32" s="194" t="str">
        <f t="shared" si="139"/>
        <v>2026//5/18</v>
      </c>
      <c r="JI32" s="200">
        <v>1324347.99</v>
      </c>
      <c r="JJ32" s="12">
        <f t="shared" si="140"/>
        <v>1336047.99</v>
      </c>
      <c r="JK32" s="12">
        <f t="shared" si="141"/>
        <v>-11700</v>
      </c>
      <c r="JL32" s="199">
        <f t="shared" si="142"/>
        <v>-0.00875717046660876</v>
      </c>
      <c r="JM32" s="192"/>
      <c r="JN32" s="192"/>
      <c r="JO32" s="192"/>
      <c r="JP32" s="194" t="str">
        <f t="shared" si="143"/>
        <v>2026//5/18</v>
      </c>
      <c r="JQ32" s="200">
        <v>1031590.4148</v>
      </c>
      <c r="JR32" s="12">
        <f t="shared" si="144"/>
        <v>1031590.4148</v>
      </c>
      <c r="JS32" s="12">
        <f t="shared" si="145"/>
        <v>0</v>
      </c>
      <c r="JT32" s="199">
        <f t="shared" si="146"/>
        <v>0</v>
      </c>
      <c r="JU32" s="192"/>
      <c r="JV32" s="192"/>
      <c r="JW32" s="201"/>
      <c r="JX32" s="194" t="str">
        <f t="shared" si="147"/>
        <v>2026//5/18</v>
      </c>
      <c r="JY32" s="200">
        <v>1184248.8</v>
      </c>
      <c r="JZ32" s="12">
        <f t="shared" si="148"/>
        <v>1185748.8</v>
      </c>
      <c r="KA32" s="12">
        <f t="shared" si="149"/>
        <v>-1500</v>
      </c>
      <c r="KB32" s="199">
        <f t="shared" si="150"/>
        <v>-0.00126502341811352</v>
      </c>
      <c r="KC32" s="192"/>
      <c r="KD32" s="192"/>
      <c r="KE32" s="201"/>
      <c r="KF32" s="194" t="str">
        <f t="shared" si="151"/>
        <v>2026//5/18</v>
      </c>
      <c r="KG32" s="200">
        <v>703555.9219</v>
      </c>
      <c r="KH32" s="12">
        <f t="shared" si="152"/>
        <v>705555.9219</v>
      </c>
      <c r="KI32" s="12">
        <f t="shared" si="153"/>
        <v>-2000</v>
      </c>
      <c r="KJ32" s="199">
        <f t="shared" si="154"/>
        <v>-0.00283464419746372</v>
      </c>
      <c r="KK32" s="201"/>
      <c r="KL32" s="201"/>
      <c r="KM32" s="194"/>
      <c r="KN32" s="194" t="str">
        <f t="shared" si="155"/>
        <v>2026//5/18</v>
      </c>
      <c r="KO32" s="200">
        <v>8328775.95</v>
      </c>
      <c r="KP32" s="12">
        <f t="shared" si="156"/>
        <v>8328775.95</v>
      </c>
      <c r="KQ32" s="12">
        <f t="shared" si="157"/>
        <v>0</v>
      </c>
      <c r="KR32" s="199">
        <f t="shared" si="158"/>
        <v>0</v>
      </c>
      <c r="KS32" s="192"/>
      <c r="KT32" s="192"/>
      <c r="KU32" s="194"/>
      <c r="KV32" s="194" t="str">
        <f t="shared" si="159"/>
        <v>2026//5/18</v>
      </c>
      <c r="KW32" s="200">
        <v>1087872.9726</v>
      </c>
      <c r="KX32" s="12">
        <f t="shared" si="160"/>
        <v>1087372.9726</v>
      </c>
      <c r="KY32" s="12">
        <f t="shared" si="161"/>
        <v>500</v>
      </c>
      <c r="KZ32" s="199">
        <f t="shared" si="162"/>
        <v>0.000459823825494263</v>
      </c>
      <c r="LA32" s="201"/>
      <c r="LB32" s="192"/>
      <c r="LC32" s="194"/>
      <c r="LD32" s="194" t="str">
        <f t="shared" si="163"/>
        <v>2026//5/18</v>
      </c>
      <c r="LE32" s="200">
        <v>466107.7</v>
      </c>
      <c r="LF32" s="12">
        <f t="shared" si="164"/>
        <v>473107.7</v>
      </c>
      <c r="LG32" s="12">
        <f t="shared" si="165"/>
        <v>-7000</v>
      </c>
      <c r="LH32" s="199">
        <f t="shared" si="166"/>
        <v>-0.0147957853993921</v>
      </c>
      <c r="LI32" s="192"/>
      <c r="LJ32" s="192"/>
      <c r="LK32" s="194"/>
      <c r="LL32" s="194" t="str">
        <f t="shared" si="167"/>
        <v>2026//5/18</v>
      </c>
      <c r="LM32" s="198">
        <v>3530635.02</v>
      </c>
      <c r="LN32" s="12">
        <f t="shared" si="168"/>
        <v>3557815.02</v>
      </c>
      <c r="LO32" s="12">
        <f t="shared" si="169"/>
        <v>-27180</v>
      </c>
      <c r="LP32" s="199">
        <f t="shared" si="170"/>
        <v>-0.00763952028062437</v>
      </c>
      <c r="LQ32" s="192"/>
      <c r="LR32" s="192"/>
      <c r="LS32" s="194"/>
      <c r="LT32" s="194" t="str">
        <f t="shared" si="171"/>
        <v>2026//5/18</v>
      </c>
      <c r="LU32" s="200">
        <v>2453062.904</v>
      </c>
      <c r="LV32" s="12">
        <f t="shared" si="172"/>
        <v>2452662.904</v>
      </c>
      <c r="LW32" s="12">
        <f t="shared" si="173"/>
        <v>400</v>
      </c>
      <c r="LX32" s="199">
        <f t="shared" si="174"/>
        <v>0.000163088045792044</v>
      </c>
      <c r="LY32" s="192"/>
      <c r="LZ32" s="192"/>
      <c r="MA32" s="194"/>
      <c r="MB32" s="194" t="str">
        <f t="shared" si="175"/>
        <v>2026//5/18</v>
      </c>
      <c r="MC32" s="200">
        <v>922617.69</v>
      </c>
      <c r="MD32" s="12">
        <f t="shared" si="176"/>
        <v>870567.69</v>
      </c>
      <c r="ME32" s="12">
        <f t="shared" si="177"/>
        <v>52050</v>
      </c>
      <c r="MF32" s="199">
        <f t="shared" si="178"/>
        <v>0.0597885731320904</v>
      </c>
      <c r="MG32" s="192"/>
      <c r="MH32" s="192"/>
      <c r="MK32" s="194" t="str">
        <f t="shared" si="179"/>
        <v>2026//5/18</v>
      </c>
      <c r="ML32">
        <v>184305.5354</v>
      </c>
      <c r="MM32" s="12">
        <f t="shared" si="180"/>
        <v>189825.5354</v>
      </c>
      <c r="MN32" s="12">
        <f t="shared" si="181"/>
        <v>-5520</v>
      </c>
      <c r="MO32" s="199">
        <f t="shared" si="182"/>
        <v>-0.029079333232846</v>
      </c>
      <c r="MP32" s="192"/>
      <c r="MQ32" s="201"/>
      <c r="MR32" s="201"/>
      <c r="MT32" s="194" t="str">
        <f t="shared" si="183"/>
        <v>2026//5/18</v>
      </c>
      <c r="MU32">
        <v>178414.8</v>
      </c>
      <c r="MV32" s="204">
        <f t="shared" si="184"/>
        <v>177914.8</v>
      </c>
      <c r="MW32" s="8">
        <f t="shared" si="185"/>
        <v>500</v>
      </c>
      <c r="MX32" s="192">
        <f t="shared" si="186"/>
        <v>0.00281033393511951</v>
      </c>
      <c r="MY32" s="192"/>
      <c r="MZ32" s="192"/>
      <c r="NA32" s="192"/>
      <c r="NC32" s="194" t="str">
        <f t="shared" si="187"/>
        <v>2026//5/18</v>
      </c>
      <c r="ND32">
        <v>40891.48</v>
      </c>
      <c r="NE32" s="204">
        <f t="shared" si="188"/>
        <v>41291.48</v>
      </c>
      <c r="NF32" s="8">
        <f t="shared" si="189"/>
        <v>-400</v>
      </c>
      <c r="NG32" s="192">
        <f t="shared" si="190"/>
        <v>-0.00968722845487737</v>
      </c>
      <c r="NH32" s="192"/>
      <c r="NI32" s="192"/>
      <c r="NJ32" s="192"/>
      <c r="NK32" s="192"/>
      <c r="NM32" s="194" t="str">
        <f t="shared" si="191"/>
        <v>2026//5/18</v>
      </c>
      <c r="NN32">
        <v>2676211.08</v>
      </c>
      <c r="NO32" s="8">
        <f t="shared" si="192"/>
        <v>2665711.08</v>
      </c>
      <c r="NP32" s="210">
        <f t="shared" si="193"/>
        <v>10500</v>
      </c>
      <c r="NQ32" s="211">
        <f t="shared" si="194"/>
        <v>0.00393891148923761</v>
      </c>
      <c r="NR32" s="192"/>
      <c r="NT32" s="194"/>
      <c r="NU32" s="194" t="str">
        <f t="shared" si="195"/>
        <v>2026//5/18</v>
      </c>
      <c r="NV32">
        <v>259376.5</v>
      </c>
      <c r="NW32" s="205">
        <f t="shared" si="196"/>
        <v>259526.5</v>
      </c>
      <c r="NX32" s="210">
        <f t="shared" si="197"/>
        <v>-150</v>
      </c>
      <c r="NY32" s="211">
        <f t="shared" si="198"/>
        <v>-0.000577975659518392</v>
      </c>
      <c r="NZ32" s="201"/>
      <c r="OA32" s="200"/>
      <c r="OB32" s="194"/>
      <c r="OC32" s="194" t="str">
        <f t="shared" si="199"/>
        <v>2026//5/18</v>
      </c>
      <c r="OD32" s="200">
        <v>15223.97</v>
      </c>
      <c r="OE32" s="12">
        <f t="shared" si="200"/>
        <v>14988.97</v>
      </c>
      <c r="OF32" s="12">
        <f t="shared" si="201"/>
        <v>235</v>
      </c>
      <c r="OG32" s="199">
        <f t="shared" si="202"/>
        <v>0.015678195366326</v>
      </c>
      <c r="OH32" s="192"/>
      <c r="OI32" s="192"/>
      <c r="OJ32" s="194"/>
      <c r="OK32" s="194" t="str">
        <f t="shared" si="203"/>
        <v>2026//5/18</v>
      </c>
      <c r="OL32" s="200">
        <v>13838.65</v>
      </c>
      <c r="OM32" s="12">
        <f t="shared" si="204"/>
        <v>13754.65</v>
      </c>
      <c r="ON32" s="12">
        <f t="shared" si="205"/>
        <v>84</v>
      </c>
      <c r="OO32" s="199">
        <f t="shared" si="206"/>
        <v>0.00610702562406168</v>
      </c>
      <c r="OP32" s="192"/>
      <c r="OQ32" s="192"/>
      <c r="OT32" s="26" t="str">
        <f t="shared" si="207"/>
        <v>2026//5/18</v>
      </c>
      <c r="OU32" s="206">
        <v>147312.4066</v>
      </c>
      <c r="OV32" s="8">
        <f t="shared" si="208"/>
        <v>147192.4066</v>
      </c>
      <c r="OW32" s="191">
        <f t="shared" si="209"/>
        <v>120</v>
      </c>
      <c r="OX32" s="192">
        <f t="shared" si="210"/>
        <v>0.000815259446950302</v>
      </c>
    </row>
    <row r="33" s="9" customFormat="1" ht="17" customHeight="1" spans="1:414">
      <c r="A33" s="212"/>
      <c r="B33" s="212"/>
      <c r="C33" s="212" t="s">
        <v>459</v>
      </c>
      <c r="D33" s="213">
        <v>3216288.77</v>
      </c>
      <c r="E33" s="214">
        <f t="shared" si="8"/>
        <v>3209178.77</v>
      </c>
      <c r="F33" s="214">
        <f t="shared" si="9"/>
        <v>7110</v>
      </c>
      <c r="G33" s="215">
        <f t="shared" si="10"/>
        <v>0.00221552007836572</v>
      </c>
      <c r="H33" s="216">
        <f>(D33-D38)/D38</f>
        <v>-0.0880869722019115</v>
      </c>
      <c r="I33" s="215"/>
      <c r="J33" s="215"/>
      <c r="K33" s="9" t="str">
        <f t="shared" si="11"/>
        <v>2026//5/15</v>
      </c>
      <c r="L33" s="214">
        <v>2571904.4</v>
      </c>
      <c r="M33" s="214">
        <f t="shared" si="12"/>
        <v>2581084.4</v>
      </c>
      <c r="N33" s="214">
        <f t="shared" si="13"/>
        <v>-9180</v>
      </c>
      <c r="O33" s="215">
        <f t="shared" si="14"/>
        <v>-0.00355664464129883</v>
      </c>
      <c r="P33" s="216">
        <f>(L33-L38)/L38</f>
        <v>-0.088599113427702</v>
      </c>
      <c r="Q33" s="215"/>
      <c r="R33" s="214"/>
      <c r="S33" s="9" t="str">
        <f t="shared" si="15"/>
        <v>2026//5/15</v>
      </c>
      <c r="T33" s="214">
        <v>1190946.68</v>
      </c>
      <c r="U33" s="214">
        <f t="shared" si="16"/>
        <v>1171686.68</v>
      </c>
      <c r="V33" s="214">
        <f t="shared" si="17"/>
        <v>19260</v>
      </c>
      <c r="W33" s="215">
        <f t="shared" si="18"/>
        <v>0.0164378415567547</v>
      </c>
      <c r="X33" s="216">
        <f>(T33-T38)/T38</f>
        <v>-0.155145259519925</v>
      </c>
      <c r="Y33" s="215"/>
      <c r="Z33" s="214"/>
      <c r="AA33" s="9" t="str">
        <f t="shared" si="19"/>
        <v>2026//5/15</v>
      </c>
      <c r="AB33" s="214">
        <v>523536.86</v>
      </c>
      <c r="AC33" s="214">
        <f t="shared" si="20"/>
        <v>503096.86</v>
      </c>
      <c r="AD33" s="214">
        <f t="shared" si="21"/>
        <v>20440</v>
      </c>
      <c r="AE33" s="215">
        <f t="shared" si="22"/>
        <v>0.0406283593183229</v>
      </c>
      <c r="AF33" s="216">
        <f>(AB33-AB38)/AB38</f>
        <v>-0.129494208060612</v>
      </c>
      <c r="AG33" s="215"/>
      <c r="AH33" s="214"/>
      <c r="AI33" s="9" t="str">
        <f t="shared" si="23"/>
        <v>2026//5/15</v>
      </c>
      <c r="AJ33" s="214">
        <v>346321.76</v>
      </c>
      <c r="AK33" s="214">
        <f t="shared" si="24"/>
        <v>332321.76</v>
      </c>
      <c r="AL33" s="214">
        <f t="shared" si="25"/>
        <v>14000</v>
      </c>
      <c r="AM33" s="215">
        <f t="shared" si="26"/>
        <v>0.0421278462174731</v>
      </c>
      <c r="AN33" s="216">
        <f>(AJ33-AJ38)/AJ38</f>
        <v>-0.183437888213988</v>
      </c>
      <c r="AO33" s="216"/>
      <c r="AP33" s="214"/>
      <c r="AQ33" s="9" t="str">
        <f t="shared" si="27"/>
        <v>2026//5/15</v>
      </c>
      <c r="AR33" s="214">
        <v>1199345.4936</v>
      </c>
      <c r="AS33" s="214">
        <f t="shared" si="28"/>
        <v>1215645.4936</v>
      </c>
      <c r="AT33" s="214">
        <f t="shared" si="29"/>
        <v>-16300</v>
      </c>
      <c r="AU33" s="215">
        <f t="shared" si="30"/>
        <v>-0.0134085143126137</v>
      </c>
      <c r="AV33" s="216">
        <f>(AR33-AR38)/AR38</f>
        <v>-0.0132461719466447</v>
      </c>
      <c r="AW33" s="216"/>
      <c r="AX33" s="217"/>
      <c r="AY33" s="217"/>
      <c r="AZ33" s="9" t="str">
        <f t="shared" si="31"/>
        <v>2026//5/15</v>
      </c>
      <c r="BA33" s="217">
        <v>1525881.6676</v>
      </c>
      <c r="BB33" s="218">
        <f t="shared" si="32"/>
        <v>1530471.6676</v>
      </c>
      <c r="BC33" s="217">
        <f t="shared" si="33"/>
        <v>-4590</v>
      </c>
      <c r="BD33" s="216">
        <f t="shared" si="34"/>
        <v>-0.00299907544658947</v>
      </c>
      <c r="BE33" s="216">
        <f>(BA33-BA38)/BA38</f>
        <v>-0.0964600712604277</v>
      </c>
      <c r="BF33" s="216"/>
      <c r="BG33" s="219"/>
      <c r="BH33" s="220" t="str">
        <f t="shared" si="35"/>
        <v>2026//5/15</v>
      </c>
      <c r="BI33" s="220">
        <v>1520826.5525</v>
      </c>
      <c r="BJ33" s="221">
        <f t="shared" si="36"/>
        <v>1553426.5525</v>
      </c>
      <c r="BK33" s="221">
        <f t="shared" si="37"/>
        <v>-32600</v>
      </c>
      <c r="BL33" s="222">
        <f t="shared" si="38"/>
        <v>-0.0209858650526704</v>
      </c>
      <c r="BM33" s="223">
        <f>(BI33-BI38)/BI38</f>
        <v>-0.0613494451418701</v>
      </c>
      <c r="BN33" s="224"/>
      <c r="BO33" s="220"/>
      <c r="BP33" s="220" t="str">
        <f t="shared" si="39"/>
        <v>2026//5/15</v>
      </c>
      <c r="BQ33" s="225">
        <v>1116062.3921</v>
      </c>
      <c r="BR33" s="13">
        <f t="shared" si="40"/>
        <v>1108962.3921</v>
      </c>
      <c r="BS33" s="13">
        <f t="shared" si="41"/>
        <v>7100</v>
      </c>
      <c r="BT33" s="226">
        <f t="shared" si="42"/>
        <v>0.00640238122643185</v>
      </c>
      <c r="BU33" s="224">
        <f>(BQ33-BQ38)/BQ38</f>
        <v>-0.0311642118234044</v>
      </c>
      <c r="BV33" s="224"/>
      <c r="BW33" s="220"/>
      <c r="BX33" s="220" t="str">
        <f t="shared" si="43"/>
        <v>2026//5/15</v>
      </c>
      <c r="BY33" s="227">
        <v>2674260.7019</v>
      </c>
      <c r="BZ33" s="13">
        <f t="shared" si="44"/>
        <v>2756110.7019</v>
      </c>
      <c r="CA33" s="13">
        <f t="shared" si="45"/>
        <v>-81850</v>
      </c>
      <c r="CB33" s="226">
        <f t="shared" si="46"/>
        <v>-0.0296976460138464</v>
      </c>
      <c r="CC33" s="224">
        <f>(BY33-BY38)/BY38</f>
        <v>-0.104553450888808</v>
      </c>
      <c r="CD33" s="228"/>
      <c r="CE33" s="220"/>
      <c r="CF33" s="220" t="str">
        <f t="shared" si="47"/>
        <v>2026//5/15</v>
      </c>
      <c r="CG33" s="227">
        <v>1302403.9</v>
      </c>
      <c r="CH33" s="13">
        <f t="shared" si="48"/>
        <v>1316703.9</v>
      </c>
      <c r="CI33" s="13">
        <f t="shared" si="49"/>
        <v>-14300</v>
      </c>
      <c r="CJ33" s="226">
        <f t="shared" si="50"/>
        <v>-0.0108604523765746</v>
      </c>
      <c r="CK33" s="224">
        <f>(CG33-CG38)/CG38</f>
        <v>-0.0376116554456098</v>
      </c>
      <c r="CL33" s="228"/>
      <c r="CM33" s="220"/>
      <c r="CN33" s="220" t="str">
        <f t="shared" si="51"/>
        <v>2026//5/15</v>
      </c>
      <c r="CO33" s="227">
        <v>597546.48</v>
      </c>
      <c r="CP33" s="13">
        <f t="shared" si="52"/>
        <v>599946.48</v>
      </c>
      <c r="CQ33" s="13">
        <f t="shared" si="53"/>
        <v>-2400</v>
      </c>
      <c r="CR33" s="226">
        <f t="shared" si="54"/>
        <v>-0.0040003568318294</v>
      </c>
      <c r="CS33" s="228">
        <f>(CO33-CO38)/CO38</f>
        <v>-0.0364430029498837</v>
      </c>
      <c r="CT33" s="228"/>
      <c r="CU33" s="220"/>
      <c r="CV33" s="220" t="str">
        <f t="shared" si="55"/>
        <v>2026//5/15</v>
      </c>
      <c r="CW33" s="227">
        <v>575290.4</v>
      </c>
      <c r="CX33" s="13">
        <f t="shared" si="56"/>
        <v>579390.4</v>
      </c>
      <c r="CY33" s="13">
        <f t="shared" si="57"/>
        <v>-4100</v>
      </c>
      <c r="CZ33" s="226">
        <f t="shared" si="58"/>
        <v>-0.00707640306087225</v>
      </c>
      <c r="DA33" s="224">
        <f>(CW33-CW38)/CW38</f>
        <v>0.000173855474639354</v>
      </c>
      <c r="DB33" s="224"/>
      <c r="DC33" s="229"/>
      <c r="DD33" s="220" t="str">
        <f t="shared" si="59"/>
        <v>2026//5/15</v>
      </c>
      <c r="DE33" s="227">
        <v>1975517.9986</v>
      </c>
      <c r="DF33" s="13">
        <f t="shared" si="60"/>
        <v>1966517.9986</v>
      </c>
      <c r="DG33" s="13">
        <f t="shared" si="61"/>
        <v>9000</v>
      </c>
      <c r="DH33" s="226">
        <f t="shared" si="62"/>
        <v>0.00457661715092731</v>
      </c>
      <c r="DI33" s="224">
        <f>(DE33-DE38)/DE38</f>
        <v>-0.0604037635276203</v>
      </c>
      <c r="DJ33" s="224"/>
      <c r="DK33" s="220"/>
      <c r="DL33" s="220" t="str">
        <f t="shared" si="63"/>
        <v>2026//5/15</v>
      </c>
      <c r="DM33" s="227">
        <v>930500.36</v>
      </c>
      <c r="DN33" s="13">
        <f t="shared" si="64"/>
        <v>973300.36</v>
      </c>
      <c r="DO33" s="13">
        <f t="shared" si="65"/>
        <v>-42800</v>
      </c>
      <c r="DP33" s="226">
        <f t="shared" si="66"/>
        <v>-0.0439740924374055</v>
      </c>
      <c r="DQ33" s="224">
        <f>(DM33-DM38)/DM38</f>
        <v>-0.0994870455672734</v>
      </c>
      <c r="DR33" s="224"/>
      <c r="DS33" s="220"/>
      <c r="DT33" s="220" t="str">
        <f t="shared" si="67"/>
        <v>2026//5/15</v>
      </c>
      <c r="DU33" s="227">
        <v>1354289.48</v>
      </c>
      <c r="DV33" s="13">
        <f t="shared" si="68"/>
        <v>1359989.48</v>
      </c>
      <c r="DW33" s="13">
        <f t="shared" si="69"/>
        <v>-5700</v>
      </c>
      <c r="DX33" s="226">
        <f t="shared" si="70"/>
        <v>-0.00419120889082171</v>
      </c>
      <c r="DY33" s="224">
        <f>(DU33-DU38)/DU38</f>
        <v>-0.043641310011003</v>
      </c>
      <c r="DZ33" s="224"/>
      <c r="EA33" s="220"/>
      <c r="EB33" s="220" t="str">
        <f t="shared" si="71"/>
        <v>2026//5/15</v>
      </c>
      <c r="EC33" s="227">
        <v>3725966.82</v>
      </c>
      <c r="ED33" s="13">
        <f t="shared" si="72"/>
        <v>3783866.82</v>
      </c>
      <c r="EE33" s="13">
        <f t="shared" si="73"/>
        <v>-57900</v>
      </c>
      <c r="EF33" s="226">
        <f t="shared" si="74"/>
        <v>-0.0153018070546151</v>
      </c>
      <c r="EG33" s="224">
        <f>(EC33-EC38)/EC38</f>
        <v>-0.0691056545559432</v>
      </c>
      <c r="EH33" s="224"/>
      <c r="EI33" s="220"/>
      <c r="EJ33" s="220" t="str">
        <f t="shared" si="75"/>
        <v>2026//5/15</v>
      </c>
      <c r="EK33" s="227">
        <v>1252522.9669</v>
      </c>
      <c r="EL33" s="13">
        <f t="shared" si="76"/>
        <v>1240922.9669</v>
      </c>
      <c r="EM33" s="13">
        <f t="shared" si="77"/>
        <v>11600</v>
      </c>
      <c r="EN33" s="226">
        <f t="shared" si="78"/>
        <v>0.00934788081888631</v>
      </c>
      <c r="EO33" s="224">
        <f>(EK33-EK38)/EK38</f>
        <v>-0.0212546001779504</v>
      </c>
      <c r="EP33" s="224"/>
      <c r="EQ33" s="220"/>
      <c r="ER33" s="220" t="str">
        <f t="shared" si="79"/>
        <v>2026//5/15</v>
      </c>
      <c r="ES33" s="230">
        <v>407147.02</v>
      </c>
      <c r="ET33" s="13">
        <f t="shared" si="80"/>
        <v>406547.02</v>
      </c>
      <c r="EU33" s="13">
        <f t="shared" si="81"/>
        <v>600</v>
      </c>
      <c r="EV33" s="226">
        <f t="shared" si="82"/>
        <v>0.00147584404874004</v>
      </c>
      <c r="EW33" s="224">
        <f>(ES33-ES38)/ES38</f>
        <v>-0.0275855796633088</v>
      </c>
      <c r="EX33" s="224"/>
      <c r="EY33" s="220"/>
      <c r="EZ33" s="220" t="str">
        <f t="shared" si="83"/>
        <v>2026//5/15</v>
      </c>
      <c r="FA33" s="227">
        <v>644408</v>
      </c>
      <c r="FB33" s="13">
        <f t="shared" si="84"/>
        <v>655508</v>
      </c>
      <c r="FC33" s="13">
        <f t="shared" si="85"/>
        <v>-11100</v>
      </c>
      <c r="FD33" s="226">
        <f t="shared" si="86"/>
        <v>-0.0169334317811529</v>
      </c>
      <c r="FE33" s="224">
        <f>(FA33-FA38)/FA38</f>
        <v>-0.0859564714159272</v>
      </c>
      <c r="FF33" s="224"/>
      <c r="FG33" s="224"/>
      <c r="FH33" s="220" t="str">
        <f t="shared" si="87"/>
        <v>2026//5/15</v>
      </c>
      <c r="FI33" s="225">
        <v>1240995.3365</v>
      </c>
      <c r="FJ33" s="13">
        <f t="shared" si="88"/>
        <v>1289995.3365</v>
      </c>
      <c r="FK33" s="13">
        <f t="shared" si="89"/>
        <v>-49000</v>
      </c>
      <c r="FL33" s="226">
        <f t="shared" si="90"/>
        <v>-0.0379846334428977</v>
      </c>
      <c r="FM33" s="228">
        <f>(FI33-FI38)/FI38</f>
        <v>-0.0663559354881923</v>
      </c>
      <c r="FN33" s="228"/>
      <c r="FO33" s="220"/>
      <c r="FP33" s="220" t="str">
        <f t="shared" si="91"/>
        <v>2026//5/15</v>
      </c>
      <c r="FQ33" s="227">
        <v>1718668.73</v>
      </c>
      <c r="FR33" s="13">
        <f t="shared" si="92"/>
        <v>1765168.73</v>
      </c>
      <c r="FS33" s="13">
        <f t="shared" si="93"/>
        <v>-46500</v>
      </c>
      <c r="FT33" s="226">
        <f t="shared" si="94"/>
        <v>-0.0263430907253835</v>
      </c>
      <c r="FU33" s="224">
        <f>(FQ33-FQ38)/FQ38</f>
        <v>-0.10881408447612</v>
      </c>
      <c r="FV33" s="224"/>
      <c r="FW33" s="220"/>
      <c r="FX33" s="220" t="str">
        <f t="shared" si="95"/>
        <v>2026//5/15</v>
      </c>
      <c r="FY33" s="227">
        <v>8171482.05</v>
      </c>
      <c r="FZ33" s="13">
        <f t="shared" si="96"/>
        <v>8166982.05</v>
      </c>
      <c r="GA33" s="13">
        <f t="shared" si="97"/>
        <v>4500</v>
      </c>
      <c r="GB33" s="226">
        <f t="shared" si="98"/>
        <v>0.000550999129476475</v>
      </c>
      <c r="GC33" s="224">
        <f>(FY33-FY38)/FY38</f>
        <v>0.00987445959347344</v>
      </c>
      <c r="GD33" s="224"/>
      <c r="GE33" s="220"/>
      <c r="GF33" s="220" t="str">
        <f t="shared" si="99"/>
        <v>2026//5/15</v>
      </c>
      <c r="GG33" s="227">
        <v>4667669.49</v>
      </c>
      <c r="GH33" s="13">
        <f t="shared" si="100"/>
        <v>4658269.49</v>
      </c>
      <c r="GI33" s="13">
        <f t="shared" si="101"/>
        <v>9400</v>
      </c>
      <c r="GJ33" s="226">
        <f t="shared" si="102"/>
        <v>0.00201791674358454</v>
      </c>
      <c r="GK33" s="224">
        <f>(GG33-GG38)/GG38</f>
        <v>-0.00670331216335847</v>
      </c>
      <c r="GL33" s="224"/>
      <c r="GM33" s="220"/>
      <c r="GN33" s="220" t="str">
        <f t="shared" si="103"/>
        <v>2026//5/15</v>
      </c>
      <c r="GO33" s="227">
        <v>1881718.1217</v>
      </c>
      <c r="GP33" s="13">
        <f t="shared" si="104"/>
        <v>1905538.1217</v>
      </c>
      <c r="GQ33" s="13">
        <f t="shared" si="105"/>
        <v>-23820</v>
      </c>
      <c r="GR33" s="226">
        <f t="shared" si="106"/>
        <v>-0.0125004059109294</v>
      </c>
      <c r="GS33" s="224">
        <f>(GO33-GO38)/GO38</f>
        <v>0.0223627819815781</v>
      </c>
      <c r="GT33" s="224"/>
      <c r="GU33" s="220"/>
      <c r="GV33" s="220" t="str">
        <f t="shared" si="107"/>
        <v>2026//5/15</v>
      </c>
      <c r="GW33" s="227">
        <v>853149.4</v>
      </c>
      <c r="GX33" s="13">
        <f t="shared" si="108"/>
        <v>888349.4</v>
      </c>
      <c r="GY33" s="13">
        <f t="shared" si="109"/>
        <v>-35200</v>
      </c>
      <c r="GZ33" s="226">
        <f t="shared" si="110"/>
        <v>-0.0396240488258336</v>
      </c>
      <c r="HA33" s="224">
        <f>(GW33-GW38)/GW38</f>
        <v>-0.0555709673355625</v>
      </c>
      <c r="HB33" s="224"/>
      <c r="HC33" s="220"/>
      <c r="HD33" s="220" t="str">
        <f t="shared" si="111"/>
        <v>2026//5/15</v>
      </c>
      <c r="HE33" s="227">
        <v>1286364.6746</v>
      </c>
      <c r="HF33" s="13">
        <f t="shared" si="112"/>
        <v>1318264.6746</v>
      </c>
      <c r="HG33" s="13">
        <f t="shared" si="113"/>
        <v>-31900</v>
      </c>
      <c r="HH33" s="226">
        <f t="shared" si="114"/>
        <v>-0.0241984789660539</v>
      </c>
      <c r="HI33" s="228">
        <f>(HE33-HE38)/HE38</f>
        <v>-0.0517483621049614</v>
      </c>
      <c r="HJ33" s="224"/>
      <c r="HK33" s="220"/>
      <c r="HL33" s="220" t="str">
        <f t="shared" si="115"/>
        <v>2026//5/15</v>
      </c>
      <c r="HM33" s="227">
        <v>137504.25</v>
      </c>
      <c r="HN33" s="13">
        <f t="shared" si="116"/>
        <v>138104.25</v>
      </c>
      <c r="HO33" s="13">
        <f t="shared" si="117"/>
        <v>-600</v>
      </c>
      <c r="HP33" s="226">
        <f t="shared" si="118"/>
        <v>-0.00434454406725354</v>
      </c>
      <c r="HQ33" s="224">
        <f>(HM33-HM38)/HM38</f>
        <v>-0.0377875395588305</v>
      </c>
      <c r="HR33" s="224"/>
      <c r="HS33" s="220"/>
      <c r="HT33" s="220" t="str">
        <f t="shared" si="119"/>
        <v>2026//5/15</v>
      </c>
      <c r="HU33" s="227">
        <v>207968.8265</v>
      </c>
      <c r="HV33" s="13">
        <f t="shared" si="120"/>
        <v>211668.8265</v>
      </c>
      <c r="HW33" s="13">
        <f t="shared" si="121"/>
        <v>-3700</v>
      </c>
      <c r="HX33" s="226">
        <f t="shared" si="122"/>
        <v>-0.0174801365944172</v>
      </c>
      <c r="HY33" s="224">
        <f>(HU33-HU38)/HU38</f>
        <v>0.0431361319167919</v>
      </c>
      <c r="HZ33" s="224"/>
      <c r="IA33" s="220"/>
      <c r="IB33" s="220" t="str">
        <f t="shared" si="123"/>
        <v>2026//5/15</v>
      </c>
      <c r="IC33" s="227">
        <v>366684.79</v>
      </c>
      <c r="ID33" s="13">
        <f t="shared" si="124"/>
        <v>374809.79</v>
      </c>
      <c r="IE33" s="13">
        <f t="shared" si="125"/>
        <v>-8125</v>
      </c>
      <c r="IF33" s="226">
        <f t="shared" si="126"/>
        <v>-0.0216776621549827</v>
      </c>
      <c r="IG33" s="228">
        <f>(IC33-IC38)/IC38</f>
        <v>0.0231594649985006</v>
      </c>
      <c r="IH33" s="224"/>
      <c r="II33" s="220"/>
      <c r="IJ33" s="220" t="str">
        <f t="shared" si="127"/>
        <v>2026//5/15</v>
      </c>
      <c r="IK33" s="227">
        <v>624236.29</v>
      </c>
      <c r="IL33" s="13">
        <f t="shared" si="128"/>
        <v>625356.29</v>
      </c>
      <c r="IM33" s="13">
        <f t="shared" si="129"/>
        <v>-1120</v>
      </c>
      <c r="IN33" s="226">
        <f t="shared" si="130"/>
        <v>-0.00179097902733176</v>
      </c>
      <c r="IO33" s="224">
        <f>(IK33-IK38)/IK38</f>
        <v>-0.00611390695865943</v>
      </c>
      <c r="IP33" s="224"/>
      <c r="IQ33" s="220"/>
      <c r="IR33" s="220" t="str">
        <f t="shared" si="131"/>
        <v>2026//5/15</v>
      </c>
      <c r="IS33" s="227">
        <v>138089</v>
      </c>
      <c r="IT33" s="13">
        <f t="shared" si="132"/>
        <v>141889</v>
      </c>
      <c r="IU33" s="13">
        <f t="shared" si="133"/>
        <v>-3800</v>
      </c>
      <c r="IV33" s="226">
        <f t="shared" si="134"/>
        <v>-0.0267814982133922</v>
      </c>
      <c r="IW33" s="224">
        <f>(IS33-IS38)/IS38</f>
        <v>-0.0308795766690762</v>
      </c>
      <c r="IX33" s="224"/>
      <c r="IY33" s="220"/>
      <c r="IZ33" s="220" t="str">
        <f t="shared" si="135"/>
        <v>2026//5/15</v>
      </c>
      <c r="JA33" s="227">
        <v>5246329.15</v>
      </c>
      <c r="JB33" s="13">
        <f t="shared" si="136"/>
        <v>5229229.15</v>
      </c>
      <c r="JC33" s="13">
        <f t="shared" si="137"/>
        <v>17100</v>
      </c>
      <c r="JD33" s="226">
        <f t="shared" si="138"/>
        <v>0.00327008044770805</v>
      </c>
      <c r="JE33" s="224">
        <f>(JA33-JA38)/JA38</f>
        <v>0.0290694871862946</v>
      </c>
      <c r="JF33" s="224"/>
      <c r="JG33" s="220"/>
      <c r="JH33" s="220" t="str">
        <f t="shared" si="139"/>
        <v>2026//5/15</v>
      </c>
      <c r="JI33" s="227">
        <v>1336047.99</v>
      </c>
      <c r="JJ33" s="13">
        <f t="shared" si="140"/>
        <v>1334787.99</v>
      </c>
      <c r="JK33" s="13">
        <f t="shared" si="141"/>
        <v>1260</v>
      </c>
      <c r="JL33" s="226">
        <f t="shared" si="142"/>
        <v>0.000943970135661769</v>
      </c>
      <c r="JM33" s="224">
        <f>(JI33-JI38)/JI38</f>
        <v>0.0116303018701639</v>
      </c>
      <c r="JN33" s="224"/>
      <c r="JO33" s="224"/>
      <c r="JP33" s="220" t="str">
        <f t="shared" si="143"/>
        <v>2026//5/15</v>
      </c>
      <c r="JQ33" s="227">
        <v>1031590.4148</v>
      </c>
      <c r="JR33" s="13">
        <f t="shared" si="144"/>
        <v>1042990.4148</v>
      </c>
      <c r="JS33" s="13">
        <f t="shared" si="145"/>
        <v>-11400</v>
      </c>
      <c r="JT33" s="226">
        <f t="shared" si="146"/>
        <v>-0.0109301100357533</v>
      </c>
      <c r="JU33" s="224">
        <f>(JQ33-JQ38)/JQ38</f>
        <v>-0.0295393068110664</v>
      </c>
      <c r="JV33" s="224"/>
      <c r="JW33" s="228"/>
      <c r="JX33" s="220" t="str">
        <f t="shared" si="147"/>
        <v>2026//5/15</v>
      </c>
      <c r="JY33" s="227">
        <v>1185748.8</v>
      </c>
      <c r="JZ33" s="13">
        <f t="shared" si="148"/>
        <v>1185898.8</v>
      </c>
      <c r="KA33" s="13">
        <f t="shared" si="149"/>
        <v>-150</v>
      </c>
      <c r="KB33" s="226">
        <f t="shared" si="150"/>
        <v>-0.000126486340993009</v>
      </c>
      <c r="KC33" s="224">
        <f>(JY33-JY38)/JY38</f>
        <v>0.0124663919734196</v>
      </c>
      <c r="KD33" s="224"/>
      <c r="KE33" s="228"/>
      <c r="KF33" s="220" t="str">
        <f t="shared" si="151"/>
        <v>2026//5/15</v>
      </c>
      <c r="KG33" s="227">
        <v>705555.9219</v>
      </c>
      <c r="KH33" s="13">
        <f t="shared" si="152"/>
        <v>709955.9219</v>
      </c>
      <c r="KI33" s="13">
        <f t="shared" si="153"/>
        <v>-4400</v>
      </c>
      <c r="KJ33" s="226">
        <f t="shared" si="154"/>
        <v>-0.00619756785495164</v>
      </c>
      <c r="KK33" s="228">
        <f>(KG33-KG38)/KG38</f>
        <v>-0.0251465990802831</v>
      </c>
      <c r="KL33" s="228"/>
      <c r="KM33" s="220"/>
      <c r="KN33" s="220" t="str">
        <f t="shared" si="155"/>
        <v>2026//5/15</v>
      </c>
      <c r="KO33" s="227">
        <v>8328775.95</v>
      </c>
      <c r="KP33" s="13">
        <f t="shared" si="156"/>
        <v>8328775.95</v>
      </c>
      <c r="KQ33" s="13">
        <f t="shared" si="157"/>
        <v>0</v>
      </c>
      <c r="KR33" s="226">
        <f t="shared" si="158"/>
        <v>0</v>
      </c>
      <c r="KS33" s="224">
        <f>(KO33-KO38)/KO38</f>
        <v>0</v>
      </c>
      <c r="KT33" s="224"/>
      <c r="KU33" s="220"/>
      <c r="KV33" s="220" t="str">
        <f t="shared" si="159"/>
        <v>2026//5/15</v>
      </c>
      <c r="KW33" s="227">
        <v>1087372.9726</v>
      </c>
      <c r="KX33" s="13">
        <f t="shared" si="160"/>
        <v>1066972.9726</v>
      </c>
      <c r="KY33" s="13">
        <f t="shared" si="161"/>
        <v>20400</v>
      </c>
      <c r="KZ33" s="226">
        <f t="shared" si="162"/>
        <v>0.0191195096069672</v>
      </c>
      <c r="LA33" s="228">
        <f>(KW33-KW38)/KW38</f>
        <v>0.0316896171612513</v>
      </c>
      <c r="LB33" s="224"/>
      <c r="LC33" s="220"/>
      <c r="LD33" s="220" t="str">
        <f t="shared" si="163"/>
        <v>2026//5/15</v>
      </c>
      <c r="LE33" s="227">
        <v>473107.7</v>
      </c>
      <c r="LF33" s="13">
        <f t="shared" si="164"/>
        <v>484957.7</v>
      </c>
      <c r="LG33" s="13">
        <f t="shared" si="165"/>
        <v>-11850</v>
      </c>
      <c r="LH33" s="226">
        <f t="shared" si="166"/>
        <v>-0.0244351208363121</v>
      </c>
      <c r="LI33" s="224">
        <f>(LE33-LE38)/LE38</f>
        <v>0.0119784123341712</v>
      </c>
      <c r="LJ33" s="224"/>
      <c r="LK33" s="220"/>
      <c r="LL33" s="220" t="str">
        <f t="shared" si="167"/>
        <v>2026//5/15</v>
      </c>
      <c r="LM33" s="225">
        <v>3557815.02</v>
      </c>
      <c r="LN33" s="13">
        <f t="shared" si="168"/>
        <v>3512275.02</v>
      </c>
      <c r="LO33" s="13">
        <f t="shared" si="169"/>
        <v>45540</v>
      </c>
      <c r="LP33" s="226">
        <f t="shared" si="170"/>
        <v>0.0129659550407303</v>
      </c>
      <c r="LQ33" s="224">
        <f>(LM33-LM38)/LM38</f>
        <v>0.0218159571733116</v>
      </c>
      <c r="LR33" s="224"/>
      <c r="LS33" s="220"/>
      <c r="LT33" s="220" t="str">
        <f t="shared" si="171"/>
        <v>2026//5/15</v>
      </c>
      <c r="LU33" s="227">
        <v>2452662.904</v>
      </c>
      <c r="LV33" s="13">
        <f t="shared" si="172"/>
        <v>2454062.904</v>
      </c>
      <c r="LW33" s="13">
        <f t="shared" si="173"/>
        <v>-1400</v>
      </c>
      <c r="LX33" s="226">
        <f t="shared" si="174"/>
        <v>-0.000570482524192053</v>
      </c>
      <c r="LY33" s="224">
        <f>(LU33-LU38)/LU38</f>
        <v>-0.00325115642089592</v>
      </c>
      <c r="LZ33" s="224"/>
      <c r="MA33" s="220"/>
      <c r="MB33" s="220" t="str">
        <f t="shared" si="175"/>
        <v>2026//5/15</v>
      </c>
      <c r="MC33" s="227">
        <v>870567.69</v>
      </c>
      <c r="MD33" s="13">
        <f t="shared" si="176"/>
        <v>841417.69</v>
      </c>
      <c r="ME33" s="13">
        <f t="shared" si="177"/>
        <v>29150</v>
      </c>
      <c r="MF33" s="226">
        <f t="shared" si="178"/>
        <v>0.0346439115155756</v>
      </c>
      <c r="MG33" s="224">
        <f>(MC33-MC38)/MC38</f>
        <v>0.0154551809143236</v>
      </c>
      <c r="MH33" s="224"/>
      <c r="MK33" s="220" t="str">
        <f t="shared" si="179"/>
        <v>2026//5/15</v>
      </c>
      <c r="ML33" s="230">
        <v>189825.5354</v>
      </c>
      <c r="MM33" s="13">
        <f t="shared" si="180"/>
        <v>196065.5354</v>
      </c>
      <c r="MN33" s="13">
        <f t="shared" si="181"/>
        <v>-6240</v>
      </c>
      <c r="MO33" s="226">
        <f t="shared" si="182"/>
        <v>-0.0318260931849627</v>
      </c>
      <c r="MP33" s="224">
        <f>(ML33-ML38)/ML38</f>
        <v>-0.13741361156364</v>
      </c>
      <c r="MQ33" s="228"/>
      <c r="MR33" s="228"/>
      <c r="MT33" s="220" t="str">
        <f t="shared" si="183"/>
        <v>2026//5/15</v>
      </c>
      <c r="MU33" s="230">
        <v>177914.8</v>
      </c>
      <c r="MV33" s="231">
        <f t="shared" si="184"/>
        <v>178414.8</v>
      </c>
      <c r="MW33" s="9">
        <f t="shared" si="185"/>
        <v>-500</v>
      </c>
      <c r="MX33" s="224">
        <f t="shared" si="186"/>
        <v>-0.00280245809204169</v>
      </c>
      <c r="MY33" s="224">
        <f>(MU33-MU38)/MU38</f>
        <v>-0.0373346723314367</v>
      </c>
      <c r="MZ33" s="224"/>
      <c r="NA33" s="224"/>
      <c r="NC33" s="220" t="str">
        <f t="shared" si="187"/>
        <v>2026//5/15</v>
      </c>
      <c r="ND33" s="230">
        <v>41291.48</v>
      </c>
      <c r="NE33" s="231">
        <f t="shared" si="188"/>
        <v>41291.48</v>
      </c>
      <c r="NF33" s="9">
        <f t="shared" si="189"/>
        <v>0</v>
      </c>
      <c r="NG33" s="224">
        <f t="shared" si="190"/>
        <v>0</v>
      </c>
      <c r="NH33" s="224">
        <f>(ND33-ND38)/ND38</f>
        <v>-0.0236454245630562</v>
      </c>
      <c r="NI33" s="224"/>
      <c r="NJ33" s="224"/>
      <c r="NK33" s="224"/>
      <c r="NM33" s="220" t="str">
        <f t="shared" si="191"/>
        <v>2026//5/15</v>
      </c>
      <c r="NN33" s="230">
        <v>2665711.08</v>
      </c>
      <c r="NO33" s="9">
        <f t="shared" si="192"/>
        <v>2641311.08</v>
      </c>
      <c r="NP33" s="9">
        <f t="shared" si="193"/>
        <v>24400</v>
      </c>
      <c r="NQ33" s="224">
        <f t="shared" si="194"/>
        <v>0.00923783653684594</v>
      </c>
      <c r="NR33" s="224">
        <f>(NN33-NN38)/NN38</f>
        <v>0.0229085748937031</v>
      </c>
      <c r="NT33" s="220"/>
      <c r="NU33" s="220" t="str">
        <f t="shared" si="195"/>
        <v>2026//5/15</v>
      </c>
      <c r="NV33" s="230">
        <v>259526.5</v>
      </c>
      <c r="NW33" s="232">
        <f t="shared" si="196"/>
        <v>259026.5</v>
      </c>
      <c r="NX33" s="9">
        <f t="shared" si="197"/>
        <v>500</v>
      </c>
      <c r="NY33" s="224">
        <f t="shared" si="198"/>
        <v>0.00193030442831139</v>
      </c>
      <c r="NZ33" s="228">
        <f>(NV33-NV38)/NV38</f>
        <v>-0.00326450351702247</v>
      </c>
      <c r="OA33" s="227"/>
      <c r="OB33" s="220"/>
      <c r="OC33" s="220" t="str">
        <f t="shared" si="199"/>
        <v>2026//5/15</v>
      </c>
      <c r="OD33" s="227">
        <v>14988.97</v>
      </c>
      <c r="OE33" s="13">
        <f t="shared" si="200"/>
        <v>15009.97</v>
      </c>
      <c r="OF33" s="13">
        <f t="shared" si="201"/>
        <v>-21</v>
      </c>
      <c r="OG33" s="226">
        <f t="shared" si="202"/>
        <v>-0.00139907008475034</v>
      </c>
      <c r="OH33" s="224">
        <f>(OD33-OD38)/OD38</f>
        <v>0.0301010860444355</v>
      </c>
      <c r="OI33" s="224"/>
      <c r="OJ33" s="220"/>
      <c r="OK33" s="220" t="str">
        <f t="shared" si="203"/>
        <v>2026//5/15</v>
      </c>
      <c r="OL33" s="227">
        <v>13754.65</v>
      </c>
      <c r="OM33" s="13">
        <f t="shared" si="204"/>
        <v>13754.65</v>
      </c>
      <c r="ON33" s="13">
        <f t="shared" si="205"/>
        <v>0</v>
      </c>
      <c r="OO33" s="226">
        <f t="shared" si="206"/>
        <v>0</v>
      </c>
      <c r="OP33" s="224">
        <f>(OL33-OL38)/OL38</f>
        <v>-0.0111433429309868</v>
      </c>
      <c r="OQ33" s="224"/>
      <c r="OT33" s="233" t="str">
        <f t="shared" si="207"/>
        <v>2026//5/15</v>
      </c>
      <c r="OU33" s="206">
        <v>147192.4066</v>
      </c>
      <c r="OV33" s="8">
        <f t="shared" si="208"/>
        <v>147072.4066</v>
      </c>
      <c r="OW33" s="191">
        <f t="shared" si="209"/>
        <v>120</v>
      </c>
      <c r="OX33" s="192">
        <f t="shared" si="210"/>
        <v>0.000815924637218794</v>
      </c>
    </row>
    <row r="34" s="8" customFormat="1" ht="17" customHeight="1" spans="1:414">
      <c r="A34" s="15"/>
      <c r="B34" s="15"/>
      <c r="C34" s="108" t="s">
        <v>460</v>
      </c>
      <c r="D34" s="207">
        <v>3209178.77</v>
      </c>
      <c r="E34" s="19">
        <f t="shared" si="8"/>
        <v>3272718.77</v>
      </c>
      <c r="F34" s="19">
        <f t="shared" si="9"/>
        <v>-63540</v>
      </c>
      <c r="G34" s="172">
        <f t="shared" si="10"/>
        <v>-0.0194150504413797</v>
      </c>
      <c r="H34" s="18"/>
      <c r="I34" s="172"/>
      <c r="J34" s="172"/>
      <c r="K34" s="8" t="str">
        <f t="shared" si="11"/>
        <v>2026//5/14</v>
      </c>
      <c r="L34" s="19">
        <v>2581084.4</v>
      </c>
      <c r="M34" s="19">
        <f t="shared" si="12"/>
        <v>2626714.4</v>
      </c>
      <c r="N34" s="19">
        <f t="shared" si="13"/>
        <v>-45630</v>
      </c>
      <c r="O34" s="172">
        <f t="shared" si="14"/>
        <v>-0.0173715117258275</v>
      </c>
      <c r="P34" s="18"/>
      <c r="Q34" s="172"/>
      <c r="R34" s="19"/>
      <c r="S34" s="8" t="str">
        <f t="shared" si="15"/>
        <v>2026//5/14</v>
      </c>
      <c r="T34" s="19">
        <v>1171686.68</v>
      </c>
      <c r="U34" s="19">
        <f t="shared" si="16"/>
        <v>1211556.68</v>
      </c>
      <c r="V34" s="19">
        <f t="shared" si="17"/>
        <v>-39870</v>
      </c>
      <c r="W34" s="172">
        <f t="shared" si="18"/>
        <v>-0.0329080765746758</v>
      </c>
      <c r="X34" s="18"/>
      <c r="Y34" s="172"/>
      <c r="Z34" s="19"/>
      <c r="AA34" s="8" t="str">
        <f t="shared" si="19"/>
        <v>2026//5/14</v>
      </c>
      <c r="AB34" s="19">
        <v>503096.86</v>
      </c>
      <c r="AC34" s="19">
        <f t="shared" si="20"/>
        <v>529376.86</v>
      </c>
      <c r="AD34" s="19">
        <f t="shared" si="21"/>
        <v>-26280</v>
      </c>
      <c r="AE34" s="172">
        <f t="shared" si="22"/>
        <v>-0.0496432730361505</v>
      </c>
      <c r="AF34" s="18"/>
      <c r="AG34" s="172"/>
      <c r="AH34" s="19"/>
      <c r="AI34" s="8" t="str">
        <f t="shared" si="23"/>
        <v>2026//5/14</v>
      </c>
      <c r="AJ34" s="19">
        <v>332321.76</v>
      </c>
      <c r="AK34" s="19">
        <f t="shared" si="24"/>
        <v>359721.76</v>
      </c>
      <c r="AL34" s="19">
        <f t="shared" si="25"/>
        <v>-27400</v>
      </c>
      <c r="AM34" s="172">
        <f t="shared" si="26"/>
        <v>-0.0761699820438997</v>
      </c>
      <c r="AN34" s="18"/>
      <c r="AO34" s="18"/>
      <c r="AP34" s="19"/>
      <c r="AQ34" s="8" t="str">
        <f t="shared" si="27"/>
        <v>2026//5/14</v>
      </c>
      <c r="AR34" s="19">
        <v>1215645.4936</v>
      </c>
      <c r="AS34" s="19">
        <f t="shared" si="28"/>
        <v>1205245.4936</v>
      </c>
      <c r="AT34" s="19">
        <f t="shared" si="29"/>
        <v>10400</v>
      </c>
      <c r="AU34" s="172">
        <f t="shared" si="30"/>
        <v>0.00862894742625072</v>
      </c>
      <c r="AV34" s="18"/>
      <c r="AW34" s="18"/>
      <c r="AX34" s="17"/>
      <c r="AY34" s="17"/>
      <c r="AZ34" s="8" t="str">
        <f t="shared" si="31"/>
        <v>2026//5/14</v>
      </c>
      <c r="BA34" s="17">
        <v>1530471.6676</v>
      </c>
      <c r="BB34" s="129">
        <f t="shared" si="32"/>
        <v>1559451.6676</v>
      </c>
      <c r="BC34" s="17">
        <f t="shared" si="33"/>
        <v>-28980</v>
      </c>
      <c r="BD34" s="18">
        <f t="shared" si="34"/>
        <v>-0.0185834550708457</v>
      </c>
      <c r="BE34" s="18"/>
      <c r="BF34" s="18"/>
      <c r="BG34" s="74"/>
      <c r="BH34" s="194" t="str">
        <f t="shared" si="35"/>
        <v>2026//5/14</v>
      </c>
      <c r="BI34" s="194">
        <v>1553426.5525</v>
      </c>
      <c r="BJ34" s="195">
        <f t="shared" si="36"/>
        <v>1549726.5525</v>
      </c>
      <c r="BK34" s="195">
        <f t="shared" si="37"/>
        <v>3700</v>
      </c>
      <c r="BL34" s="196">
        <f t="shared" si="38"/>
        <v>0.00238751797472348</v>
      </c>
      <c r="BM34" s="197"/>
      <c r="BN34" s="192"/>
      <c r="BO34" s="194"/>
      <c r="BP34" s="194" t="str">
        <f t="shared" si="39"/>
        <v>2026//5/14</v>
      </c>
      <c r="BQ34" s="198">
        <v>1108962.3921</v>
      </c>
      <c r="BR34" s="12">
        <f t="shared" si="40"/>
        <v>1098462.3921</v>
      </c>
      <c r="BS34" s="12">
        <f t="shared" si="41"/>
        <v>10500</v>
      </c>
      <c r="BT34" s="199">
        <f t="shared" si="42"/>
        <v>0.00955881610104692</v>
      </c>
      <c r="BU34" s="192"/>
      <c r="BV34" s="192"/>
      <c r="BW34" s="194"/>
      <c r="BX34" s="194" t="str">
        <f t="shared" si="43"/>
        <v>2026//5/14</v>
      </c>
      <c r="BY34" s="200">
        <v>2756110.7019</v>
      </c>
      <c r="BZ34" s="12">
        <f t="shared" si="44"/>
        <v>2846360.7019</v>
      </c>
      <c r="CA34" s="12">
        <f t="shared" si="45"/>
        <v>-90250</v>
      </c>
      <c r="CB34" s="199">
        <f t="shared" si="46"/>
        <v>-0.0317071550136834</v>
      </c>
      <c r="CC34" s="192"/>
      <c r="CD34" s="201"/>
      <c r="CE34" s="194"/>
      <c r="CF34" s="194" t="str">
        <f t="shared" si="47"/>
        <v>2026//5/14</v>
      </c>
      <c r="CG34" s="200">
        <v>1316703.9</v>
      </c>
      <c r="CH34" s="12">
        <f t="shared" si="48"/>
        <v>1330253.9</v>
      </c>
      <c r="CI34" s="12">
        <f t="shared" si="49"/>
        <v>-13550</v>
      </c>
      <c r="CJ34" s="199">
        <f t="shared" si="50"/>
        <v>-0.0101860253895892</v>
      </c>
      <c r="CK34" s="192"/>
      <c r="CL34" s="201"/>
      <c r="CM34" s="194"/>
      <c r="CN34" s="194" t="str">
        <f t="shared" si="51"/>
        <v>2026//5/14</v>
      </c>
      <c r="CO34" s="200">
        <v>599946.48</v>
      </c>
      <c r="CP34" s="12">
        <f t="shared" si="52"/>
        <v>606146.48</v>
      </c>
      <c r="CQ34" s="12">
        <f t="shared" si="53"/>
        <v>-6200</v>
      </c>
      <c r="CR34" s="199">
        <f t="shared" si="54"/>
        <v>-0.0102285506961948</v>
      </c>
      <c r="CS34" s="201"/>
      <c r="CT34" s="201"/>
      <c r="CU34" s="194"/>
      <c r="CV34" s="194" t="str">
        <f t="shared" si="55"/>
        <v>2026//5/14</v>
      </c>
      <c r="CW34" s="200">
        <v>579390.4</v>
      </c>
      <c r="CX34" s="12">
        <f t="shared" si="56"/>
        <v>578490.4</v>
      </c>
      <c r="CY34" s="12">
        <f t="shared" si="57"/>
        <v>900</v>
      </c>
      <c r="CZ34" s="199">
        <f t="shared" si="58"/>
        <v>0.00155577344066557</v>
      </c>
      <c r="DA34" s="192"/>
      <c r="DB34" s="192"/>
      <c r="DC34" s="202"/>
      <c r="DD34" s="194" t="str">
        <f t="shared" si="59"/>
        <v>2026//5/14</v>
      </c>
      <c r="DE34" s="200">
        <v>1966517.9986</v>
      </c>
      <c r="DF34" s="12">
        <f t="shared" si="60"/>
        <v>1975317.9986</v>
      </c>
      <c r="DG34" s="12">
        <f t="shared" si="61"/>
        <v>-8800</v>
      </c>
      <c r="DH34" s="199">
        <f t="shared" si="62"/>
        <v>-0.00445497889769494</v>
      </c>
      <c r="DI34" s="192"/>
      <c r="DJ34" s="192"/>
      <c r="DK34" s="194"/>
      <c r="DL34" s="194" t="str">
        <f t="shared" si="63"/>
        <v>2026//5/14</v>
      </c>
      <c r="DM34" s="200">
        <v>973300.36</v>
      </c>
      <c r="DN34" s="12">
        <f t="shared" si="64"/>
        <v>978500.36</v>
      </c>
      <c r="DO34" s="12">
        <f t="shared" si="65"/>
        <v>-5200</v>
      </c>
      <c r="DP34" s="199">
        <f t="shared" si="66"/>
        <v>-0.00531425455990635</v>
      </c>
      <c r="DQ34" s="192"/>
      <c r="DR34" s="192"/>
      <c r="DS34" s="194"/>
      <c r="DT34" s="194" t="str">
        <f t="shared" si="67"/>
        <v>2026//5/14</v>
      </c>
      <c r="DU34" s="200">
        <v>1359989.48</v>
      </c>
      <c r="DV34" s="12">
        <f t="shared" si="68"/>
        <v>1368389.48</v>
      </c>
      <c r="DW34" s="12">
        <f t="shared" si="69"/>
        <v>-8400</v>
      </c>
      <c r="DX34" s="199">
        <f t="shared" si="70"/>
        <v>-0.00613860317020268</v>
      </c>
      <c r="DY34" s="192"/>
      <c r="DZ34" s="192"/>
      <c r="EA34" s="194"/>
      <c r="EB34" s="194" t="str">
        <f t="shared" si="71"/>
        <v>2026//5/14</v>
      </c>
      <c r="EC34" s="200">
        <v>3783866.82</v>
      </c>
      <c r="ED34" s="12">
        <f t="shared" si="72"/>
        <v>3820766.82</v>
      </c>
      <c r="EE34" s="12">
        <f t="shared" si="73"/>
        <v>-36900</v>
      </c>
      <c r="EF34" s="199">
        <f t="shared" si="74"/>
        <v>-0.00965774718489625</v>
      </c>
      <c r="EG34" s="192"/>
      <c r="EH34" s="192"/>
      <c r="EI34" s="194"/>
      <c r="EJ34" s="194" t="str">
        <f t="shared" si="75"/>
        <v>2026//5/14</v>
      </c>
      <c r="EK34" s="200">
        <v>1240922.9669</v>
      </c>
      <c r="EL34" s="12">
        <f t="shared" si="76"/>
        <v>1232322.9669</v>
      </c>
      <c r="EM34" s="12">
        <f t="shared" si="77"/>
        <v>8600</v>
      </c>
      <c r="EN34" s="199">
        <f t="shared" si="78"/>
        <v>0.00697869002769131</v>
      </c>
      <c r="EO34" s="192"/>
      <c r="EP34" s="192"/>
      <c r="EQ34" s="194"/>
      <c r="ER34" s="194" t="str">
        <f t="shared" si="79"/>
        <v>2026//5/14</v>
      </c>
      <c r="ES34">
        <v>406547.02</v>
      </c>
      <c r="ET34" s="12">
        <f t="shared" si="80"/>
        <v>407597.02</v>
      </c>
      <c r="EU34" s="12">
        <f t="shared" si="81"/>
        <v>-1050</v>
      </c>
      <c r="EV34" s="199">
        <f t="shared" si="82"/>
        <v>-0.00257607378974459</v>
      </c>
      <c r="EW34" s="192"/>
      <c r="EX34" s="192"/>
      <c r="EY34" s="194"/>
      <c r="EZ34" s="194" t="str">
        <f t="shared" si="83"/>
        <v>2026//5/14</v>
      </c>
      <c r="FA34" s="200">
        <v>655508</v>
      </c>
      <c r="FB34" s="12">
        <f t="shared" si="84"/>
        <v>666008</v>
      </c>
      <c r="FC34" s="12">
        <f t="shared" si="85"/>
        <v>-10500</v>
      </c>
      <c r="FD34" s="199">
        <f t="shared" si="86"/>
        <v>-0.0157655763894728</v>
      </c>
      <c r="FE34" s="192"/>
      <c r="FF34" s="192"/>
      <c r="FG34" s="192"/>
      <c r="FH34" s="194" t="str">
        <f t="shared" si="87"/>
        <v>2026//5/14</v>
      </c>
      <c r="FI34" s="198">
        <v>1289995.3365</v>
      </c>
      <c r="FJ34" s="12">
        <f t="shared" si="88"/>
        <v>1324995.3365</v>
      </c>
      <c r="FK34" s="12">
        <f t="shared" si="89"/>
        <v>-35000</v>
      </c>
      <c r="FL34" s="199">
        <f t="shared" si="90"/>
        <v>-0.026415187311114</v>
      </c>
      <c r="FM34" s="201"/>
      <c r="FN34" s="201"/>
      <c r="FO34" s="194"/>
      <c r="FP34" s="194" t="str">
        <f t="shared" si="91"/>
        <v>2026//5/14</v>
      </c>
      <c r="FQ34" s="200">
        <v>1765168.73</v>
      </c>
      <c r="FR34" s="12">
        <f t="shared" si="92"/>
        <v>1807618.73</v>
      </c>
      <c r="FS34" s="12">
        <f t="shared" si="93"/>
        <v>-42450</v>
      </c>
      <c r="FT34" s="199">
        <f t="shared" si="94"/>
        <v>-0.0234839345795006</v>
      </c>
      <c r="FU34" s="192"/>
      <c r="FV34" s="192"/>
      <c r="FW34" s="194"/>
      <c r="FX34" s="194" t="str">
        <f t="shared" si="95"/>
        <v>2026//5/14</v>
      </c>
      <c r="FY34" s="200">
        <v>8166982.05</v>
      </c>
      <c r="FZ34" s="12">
        <f t="shared" si="96"/>
        <v>8100182.05</v>
      </c>
      <c r="GA34" s="12">
        <f t="shared" si="97"/>
        <v>66800</v>
      </c>
      <c r="GB34" s="199">
        <f t="shared" si="98"/>
        <v>0.0082467282324846</v>
      </c>
      <c r="GC34" s="192"/>
      <c r="GD34" s="192"/>
      <c r="GE34" s="194"/>
      <c r="GF34" s="194" t="str">
        <f t="shared" si="99"/>
        <v>2026//5/14</v>
      </c>
      <c r="GG34" s="200">
        <v>4658269.49</v>
      </c>
      <c r="GH34" s="12">
        <f t="shared" si="100"/>
        <v>4623369.49</v>
      </c>
      <c r="GI34" s="12">
        <f t="shared" si="101"/>
        <v>34900</v>
      </c>
      <c r="GJ34" s="199">
        <f t="shared" si="102"/>
        <v>0.00754860715231306</v>
      </c>
      <c r="GK34" s="192"/>
      <c r="GL34" s="192"/>
      <c r="GM34" s="194"/>
      <c r="GN34" s="194" t="str">
        <f t="shared" si="103"/>
        <v>2026//5/14</v>
      </c>
      <c r="GO34" s="200">
        <v>1905538.1217</v>
      </c>
      <c r="GP34" s="12">
        <f t="shared" si="104"/>
        <v>1908238.1217</v>
      </c>
      <c r="GQ34" s="12">
        <f t="shared" si="105"/>
        <v>-2700</v>
      </c>
      <c r="GR34" s="199">
        <f t="shared" si="106"/>
        <v>-0.00141491775543958</v>
      </c>
      <c r="GS34" s="192"/>
      <c r="GT34" s="192"/>
      <c r="GU34" s="194"/>
      <c r="GV34" s="194" t="str">
        <f t="shared" si="107"/>
        <v>2026//5/14</v>
      </c>
      <c r="GW34" s="200">
        <v>888349.4</v>
      </c>
      <c r="GX34" s="12">
        <f t="shared" si="108"/>
        <v>908949.4</v>
      </c>
      <c r="GY34" s="12">
        <f t="shared" si="109"/>
        <v>-20600</v>
      </c>
      <c r="GZ34" s="199">
        <f t="shared" si="110"/>
        <v>-0.0226635278047381</v>
      </c>
      <c r="HA34" s="192"/>
      <c r="HB34" s="192"/>
      <c r="HC34" s="194"/>
      <c r="HD34" s="194" t="str">
        <f t="shared" si="111"/>
        <v>2026//5/14</v>
      </c>
      <c r="HE34" s="200">
        <v>1318264.6746</v>
      </c>
      <c r="HF34" s="12">
        <f t="shared" si="112"/>
        <v>1345864.6746</v>
      </c>
      <c r="HG34" s="12">
        <f t="shared" si="113"/>
        <v>-27600</v>
      </c>
      <c r="HH34" s="199">
        <f t="shared" si="114"/>
        <v>-0.0205072623725732</v>
      </c>
      <c r="HI34" s="201"/>
      <c r="HJ34" s="192"/>
      <c r="HK34" s="194"/>
      <c r="HL34" s="194" t="str">
        <f t="shared" si="115"/>
        <v>2026//5/14</v>
      </c>
      <c r="HM34" s="200">
        <v>138104.25</v>
      </c>
      <c r="HN34" s="208">
        <f t="shared" si="116"/>
        <v>142154.25</v>
      </c>
      <c r="HO34" s="208">
        <f t="shared" si="117"/>
        <v>-4050</v>
      </c>
      <c r="HP34" s="209">
        <f t="shared" si="118"/>
        <v>-0.0284901788022518</v>
      </c>
      <c r="HQ34" s="192"/>
      <c r="HR34" s="192"/>
      <c r="HS34" s="194"/>
      <c r="HT34" s="194" t="str">
        <f t="shared" si="119"/>
        <v>2026//5/14</v>
      </c>
      <c r="HU34" s="200">
        <v>211668.8265</v>
      </c>
      <c r="HV34" s="12">
        <f t="shared" si="120"/>
        <v>211868.8265</v>
      </c>
      <c r="HW34" s="12">
        <f t="shared" si="121"/>
        <v>-200</v>
      </c>
      <c r="HX34" s="199">
        <f t="shared" si="122"/>
        <v>-0.000943980307551286</v>
      </c>
      <c r="HY34" s="192"/>
      <c r="HZ34" s="192"/>
      <c r="IA34" s="194"/>
      <c r="IB34" s="194" t="str">
        <f t="shared" si="123"/>
        <v>2026//5/14</v>
      </c>
      <c r="IC34" s="200">
        <v>374809.79</v>
      </c>
      <c r="ID34" s="12">
        <f t="shared" si="124"/>
        <v>378409.79</v>
      </c>
      <c r="IE34" s="12">
        <f t="shared" si="125"/>
        <v>-3600</v>
      </c>
      <c r="IF34" s="199">
        <f t="shared" si="126"/>
        <v>-0.00951349593782973</v>
      </c>
      <c r="IG34" s="201"/>
      <c r="IH34" s="192"/>
      <c r="II34" s="194"/>
      <c r="IJ34" s="194" t="str">
        <f t="shared" si="127"/>
        <v>2026//5/14</v>
      </c>
      <c r="IK34" s="200">
        <v>625356.29</v>
      </c>
      <c r="IL34" s="12">
        <f t="shared" si="128"/>
        <v>642076.29</v>
      </c>
      <c r="IM34" s="12">
        <f t="shared" si="129"/>
        <v>-16720</v>
      </c>
      <c r="IN34" s="199">
        <f t="shared" si="130"/>
        <v>-0.0260405192660206</v>
      </c>
      <c r="IO34" s="192"/>
      <c r="IP34" s="192"/>
      <c r="IQ34" s="194"/>
      <c r="IR34" s="194" t="str">
        <f t="shared" si="131"/>
        <v>2026//5/14</v>
      </c>
      <c r="IS34" s="200">
        <v>141889</v>
      </c>
      <c r="IT34" s="12">
        <f t="shared" si="132"/>
        <v>139189</v>
      </c>
      <c r="IU34" s="12">
        <f t="shared" si="133"/>
        <v>2700</v>
      </c>
      <c r="IV34" s="199">
        <f t="shared" si="134"/>
        <v>0.0193980846187558</v>
      </c>
      <c r="IW34" s="192"/>
      <c r="IX34" s="192"/>
      <c r="IY34" s="194"/>
      <c r="IZ34" s="194" t="str">
        <f t="shared" si="135"/>
        <v>2026//5/14</v>
      </c>
      <c r="JA34" s="200">
        <v>5229229.15</v>
      </c>
      <c r="JB34" s="12">
        <f t="shared" si="136"/>
        <v>5218229.15</v>
      </c>
      <c r="JC34" s="12">
        <f t="shared" si="137"/>
        <v>11000</v>
      </c>
      <c r="JD34" s="199">
        <f t="shared" si="138"/>
        <v>0.00210799481659405</v>
      </c>
      <c r="JE34" s="192"/>
      <c r="JF34" s="192"/>
      <c r="JG34" s="194"/>
      <c r="JH34" s="194" t="str">
        <f t="shared" si="139"/>
        <v>2026//5/14</v>
      </c>
      <c r="JI34" s="200">
        <v>1334787.99</v>
      </c>
      <c r="JJ34" s="12">
        <f t="shared" si="140"/>
        <v>1332207.99</v>
      </c>
      <c r="JK34" s="12">
        <f t="shared" si="141"/>
        <v>2580</v>
      </c>
      <c r="JL34" s="199">
        <f t="shared" si="142"/>
        <v>0.00193663453407152</v>
      </c>
      <c r="JM34" s="192"/>
      <c r="JN34" s="192"/>
      <c r="JO34" s="192"/>
      <c r="JP34" s="194" t="str">
        <f t="shared" si="143"/>
        <v>2026//5/14</v>
      </c>
      <c r="JQ34" s="200">
        <v>1042990.4148</v>
      </c>
      <c r="JR34" s="12">
        <f t="shared" si="144"/>
        <v>1045390.4148</v>
      </c>
      <c r="JS34" s="12">
        <f t="shared" si="145"/>
        <v>-2400</v>
      </c>
      <c r="JT34" s="199">
        <f t="shared" si="146"/>
        <v>-0.00229579300328591</v>
      </c>
      <c r="JU34" s="192"/>
      <c r="JV34" s="192"/>
      <c r="JW34" s="201"/>
      <c r="JX34" s="194" t="str">
        <f t="shared" si="147"/>
        <v>2026//5/14</v>
      </c>
      <c r="JY34" s="200">
        <v>1185898.8</v>
      </c>
      <c r="JZ34" s="12">
        <f t="shared" si="148"/>
        <v>1186298.8</v>
      </c>
      <c r="KA34" s="12">
        <f t="shared" si="149"/>
        <v>-400</v>
      </c>
      <c r="KB34" s="199">
        <f t="shared" si="150"/>
        <v>-0.000337183178470719</v>
      </c>
      <c r="KC34" s="192"/>
      <c r="KD34" s="192"/>
      <c r="KE34" s="201"/>
      <c r="KF34" s="194" t="str">
        <f t="shared" si="151"/>
        <v>2026//5/14</v>
      </c>
      <c r="KG34" s="200">
        <v>709955.9219</v>
      </c>
      <c r="KH34" s="12">
        <f t="shared" si="152"/>
        <v>715755.9219</v>
      </c>
      <c r="KI34" s="12">
        <f t="shared" si="153"/>
        <v>-5800</v>
      </c>
      <c r="KJ34" s="199">
        <f t="shared" si="154"/>
        <v>-0.00810332101005003</v>
      </c>
      <c r="KK34" s="201"/>
      <c r="KL34" s="201"/>
      <c r="KM34" s="194"/>
      <c r="KN34" s="194" t="str">
        <f t="shared" si="155"/>
        <v>2026//5/14</v>
      </c>
      <c r="KO34" s="200">
        <v>8328775.95</v>
      </c>
      <c r="KP34" s="12">
        <f t="shared" si="156"/>
        <v>8328775.95</v>
      </c>
      <c r="KQ34" s="12">
        <f t="shared" si="157"/>
        <v>0</v>
      </c>
      <c r="KR34" s="199">
        <f t="shared" si="158"/>
        <v>0</v>
      </c>
      <c r="KS34" s="192"/>
      <c r="KT34" s="192"/>
      <c r="KU34" s="194"/>
      <c r="KV34" s="194" t="str">
        <f t="shared" si="159"/>
        <v>2026//5/14</v>
      </c>
      <c r="KW34" s="200">
        <v>1066972.9726</v>
      </c>
      <c r="KX34" s="12">
        <f t="shared" si="160"/>
        <v>1047772.9726</v>
      </c>
      <c r="KY34" s="12">
        <f t="shared" si="161"/>
        <v>19200</v>
      </c>
      <c r="KZ34" s="199">
        <f t="shared" si="162"/>
        <v>0.0183245803261713</v>
      </c>
      <c r="LA34" s="201"/>
      <c r="LB34" s="192"/>
      <c r="LC34" s="194"/>
      <c r="LD34" s="194" t="str">
        <f t="shared" si="163"/>
        <v>2026//5/14</v>
      </c>
      <c r="LE34" s="200">
        <v>484957.7</v>
      </c>
      <c r="LF34" s="12">
        <f t="shared" si="164"/>
        <v>491607.7</v>
      </c>
      <c r="LG34" s="12">
        <f t="shared" si="165"/>
        <v>-6650</v>
      </c>
      <c r="LH34" s="199">
        <f t="shared" si="166"/>
        <v>-0.0135270460572526</v>
      </c>
      <c r="LI34" s="192"/>
      <c r="LJ34" s="192"/>
      <c r="LK34" s="194"/>
      <c r="LL34" s="194" t="str">
        <f t="shared" si="167"/>
        <v>2026//5/14</v>
      </c>
      <c r="LM34" s="198">
        <v>3512275.02</v>
      </c>
      <c r="LN34" s="12">
        <f t="shared" si="168"/>
        <v>3547015.02</v>
      </c>
      <c r="LO34" s="12">
        <f t="shared" si="169"/>
        <v>-34740</v>
      </c>
      <c r="LP34" s="199">
        <f t="shared" si="170"/>
        <v>-0.0097941508011996</v>
      </c>
      <c r="LQ34" s="192"/>
      <c r="LR34" s="192"/>
      <c r="LS34" s="194"/>
      <c r="LT34" s="194" t="str">
        <f t="shared" si="171"/>
        <v>2026//5/14</v>
      </c>
      <c r="LU34" s="200">
        <v>2454062.904</v>
      </c>
      <c r="LV34" s="12">
        <f t="shared" si="172"/>
        <v>2462862.904</v>
      </c>
      <c r="LW34" s="12">
        <f t="shared" si="173"/>
        <v>-8800</v>
      </c>
      <c r="LX34" s="199">
        <f t="shared" si="174"/>
        <v>-0.00357307748868509</v>
      </c>
      <c r="LY34" s="192"/>
      <c r="LZ34" s="192"/>
      <c r="MA34" s="194"/>
      <c r="MB34" s="194" t="str">
        <f t="shared" si="175"/>
        <v>2026//5/14</v>
      </c>
      <c r="MC34" s="200">
        <v>841417.69</v>
      </c>
      <c r="MD34" s="12">
        <f t="shared" si="176"/>
        <v>854167.69</v>
      </c>
      <c r="ME34" s="12">
        <f t="shared" si="177"/>
        <v>-12750</v>
      </c>
      <c r="MF34" s="199">
        <f t="shared" si="178"/>
        <v>-0.0149268113852445</v>
      </c>
      <c r="MG34" s="192"/>
      <c r="MH34" s="192"/>
      <c r="MK34" s="194" t="str">
        <f t="shared" si="179"/>
        <v>2026//5/14</v>
      </c>
      <c r="ML34">
        <v>196065.5354</v>
      </c>
      <c r="MM34" s="12">
        <f t="shared" si="180"/>
        <v>199545.5354</v>
      </c>
      <c r="MN34" s="12">
        <f t="shared" si="181"/>
        <v>-3480</v>
      </c>
      <c r="MO34" s="199">
        <f t="shared" si="182"/>
        <v>-0.0174396284688813</v>
      </c>
      <c r="MP34" s="192"/>
      <c r="MQ34" s="201"/>
      <c r="MR34" s="201"/>
      <c r="MT34" s="194" t="str">
        <f t="shared" si="183"/>
        <v>2026//5/14</v>
      </c>
      <c r="MU34">
        <v>178414.8</v>
      </c>
      <c r="MV34" s="204">
        <f t="shared" si="184"/>
        <v>179414.8</v>
      </c>
      <c r="MW34" s="8">
        <f t="shared" si="185"/>
        <v>-1000</v>
      </c>
      <c r="MX34" s="192">
        <f t="shared" si="186"/>
        <v>-0.00557367619616665</v>
      </c>
      <c r="MY34" s="192"/>
      <c r="MZ34" s="192"/>
      <c r="NA34" s="192"/>
      <c r="NC34" s="194" t="str">
        <f t="shared" si="187"/>
        <v>2026//5/14</v>
      </c>
      <c r="ND34">
        <v>41291.48</v>
      </c>
      <c r="NE34" s="204">
        <f t="shared" si="188"/>
        <v>41691.48</v>
      </c>
      <c r="NF34" s="8">
        <f t="shared" si="189"/>
        <v>-400</v>
      </c>
      <c r="NG34" s="192">
        <f t="shared" si="190"/>
        <v>-0.00959428641055679</v>
      </c>
      <c r="NH34" s="192"/>
      <c r="NI34" s="192"/>
      <c r="NJ34" s="192"/>
      <c r="NK34" s="192"/>
      <c r="NM34" s="194" t="str">
        <f t="shared" si="191"/>
        <v>2026//5/14</v>
      </c>
      <c r="NN34">
        <v>2641311.08</v>
      </c>
      <c r="NO34" s="8">
        <f t="shared" si="192"/>
        <v>2636511.08</v>
      </c>
      <c r="NP34" s="210">
        <f t="shared" si="193"/>
        <v>4800</v>
      </c>
      <c r="NQ34" s="211">
        <f t="shared" si="194"/>
        <v>0.00182058783534488</v>
      </c>
      <c r="NR34" s="192"/>
      <c r="NT34" s="194"/>
      <c r="NU34" s="194" t="str">
        <f t="shared" si="195"/>
        <v>2026//5/14</v>
      </c>
      <c r="NV34">
        <v>259026.5</v>
      </c>
      <c r="NW34" s="205">
        <f t="shared" si="196"/>
        <v>259226.5</v>
      </c>
      <c r="NX34" s="210">
        <f t="shared" si="197"/>
        <v>-200</v>
      </c>
      <c r="NY34" s="211">
        <f t="shared" si="198"/>
        <v>-0.000771526059257059</v>
      </c>
      <c r="NZ34" s="201"/>
      <c r="OA34" s="200"/>
      <c r="OB34" s="194"/>
      <c r="OC34" s="194" t="str">
        <f t="shared" si="199"/>
        <v>2026//5/14</v>
      </c>
      <c r="OD34" s="200">
        <v>15009.97</v>
      </c>
      <c r="OE34" s="12">
        <f t="shared" si="200"/>
        <v>14925.97</v>
      </c>
      <c r="OF34" s="12">
        <f t="shared" si="201"/>
        <v>84</v>
      </c>
      <c r="OG34" s="199">
        <f t="shared" si="202"/>
        <v>0.00562777494527994</v>
      </c>
      <c r="OH34" s="192"/>
      <c r="OI34" s="192"/>
      <c r="OJ34" s="194"/>
      <c r="OK34" s="194" t="str">
        <f t="shared" si="203"/>
        <v>2026//5/14</v>
      </c>
      <c r="OL34" s="200">
        <v>13754.65</v>
      </c>
      <c r="OM34" s="12">
        <f t="shared" si="204"/>
        <v>13755.65</v>
      </c>
      <c r="ON34" s="12">
        <f t="shared" si="205"/>
        <v>-1</v>
      </c>
      <c r="OO34" s="199">
        <f t="shared" si="206"/>
        <v>-7.26974007044378e-5</v>
      </c>
      <c r="OP34" s="192"/>
      <c r="OQ34" s="192"/>
      <c r="OT34" s="26" t="str">
        <f t="shared" si="207"/>
        <v>2026//5/14</v>
      </c>
      <c r="OU34" s="206">
        <v>147072.4066</v>
      </c>
      <c r="OV34" s="8">
        <f t="shared" si="208"/>
        <v>146952.4066</v>
      </c>
      <c r="OW34" s="191">
        <f t="shared" si="209"/>
        <v>120</v>
      </c>
      <c r="OX34" s="192">
        <f t="shared" si="210"/>
        <v>0.000816590913863945</v>
      </c>
    </row>
    <row r="35" s="8" customFormat="1" ht="17" customHeight="1" spans="1:414">
      <c r="A35" s="15"/>
      <c r="B35" s="15"/>
      <c r="C35" s="108" t="s">
        <v>461</v>
      </c>
      <c r="D35" s="207">
        <v>3272718.77</v>
      </c>
      <c r="E35" s="19">
        <f t="shared" si="8"/>
        <v>3337158.77</v>
      </c>
      <c r="F35" s="19">
        <f t="shared" si="9"/>
        <v>-64440</v>
      </c>
      <c r="G35" s="172">
        <f t="shared" si="10"/>
        <v>-0.0193098394296655</v>
      </c>
      <c r="H35" s="18"/>
      <c r="I35" s="172"/>
      <c r="J35" s="172"/>
      <c r="K35" s="8" t="str">
        <f t="shared" si="11"/>
        <v>2026//5/13</v>
      </c>
      <c r="L35" s="19">
        <v>2626714.4</v>
      </c>
      <c r="M35" s="19">
        <f t="shared" si="12"/>
        <v>2677384.4</v>
      </c>
      <c r="N35" s="19">
        <f t="shared" si="13"/>
        <v>-50670</v>
      </c>
      <c r="O35" s="172">
        <f t="shared" si="14"/>
        <v>-0.0189251868353308</v>
      </c>
      <c r="P35" s="18"/>
      <c r="Q35" s="172"/>
      <c r="R35" s="19"/>
      <c r="S35" s="8" t="str">
        <f t="shared" si="15"/>
        <v>2026//5/13</v>
      </c>
      <c r="T35" s="19">
        <v>1211556.68</v>
      </c>
      <c r="U35" s="19">
        <f t="shared" si="16"/>
        <v>1242426.68</v>
      </c>
      <c r="V35" s="19">
        <f t="shared" si="17"/>
        <v>-30870</v>
      </c>
      <c r="W35" s="172">
        <f t="shared" si="18"/>
        <v>-0.0248465366181608</v>
      </c>
      <c r="X35" s="18"/>
      <c r="Y35" s="172"/>
      <c r="Z35" s="19"/>
      <c r="AA35" s="8" t="str">
        <f t="shared" si="19"/>
        <v>2026//5/13</v>
      </c>
      <c r="AB35" s="19">
        <v>529376.86</v>
      </c>
      <c r="AC35" s="19">
        <f t="shared" si="20"/>
        <v>537296.86</v>
      </c>
      <c r="AD35" s="19">
        <f t="shared" si="21"/>
        <v>-7920</v>
      </c>
      <c r="AE35" s="172">
        <f t="shared" si="22"/>
        <v>-0.0147404546529455</v>
      </c>
      <c r="AF35" s="18"/>
      <c r="AG35" s="172"/>
      <c r="AH35" s="19"/>
      <c r="AI35" s="8" t="str">
        <f t="shared" si="23"/>
        <v>2026//5/13</v>
      </c>
      <c r="AJ35" s="19">
        <v>359721.76</v>
      </c>
      <c r="AK35" s="19">
        <f t="shared" si="24"/>
        <v>347521.76</v>
      </c>
      <c r="AL35" s="19">
        <f t="shared" si="25"/>
        <v>12200</v>
      </c>
      <c r="AM35" s="172">
        <f t="shared" si="26"/>
        <v>0.0351057153946274</v>
      </c>
      <c r="AN35" s="18"/>
      <c r="AO35" s="18"/>
      <c r="AP35" s="19"/>
      <c r="AQ35" s="8" t="str">
        <f t="shared" si="27"/>
        <v>2026//5/13</v>
      </c>
      <c r="AR35" s="19">
        <v>1205245.4936</v>
      </c>
      <c r="AS35" s="19">
        <f t="shared" si="28"/>
        <v>1197145.4936</v>
      </c>
      <c r="AT35" s="19">
        <f t="shared" si="29"/>
        <v>8100</v>
      </c>
      <c r="AU35" s="172">
        <f t="shared" si="30"/>
        <v>0.00676609488429185</v>
      </c>
      <c r="AV35" s="18"/>
      <c r="AW35" s="18"/>
      <c r="AX35" s="17"/>
      <c r="AY35" s="17"/>
      <c r="AZ35" s="8" t="str">
        <f t="shared" si="31"/>
        <v>2026//5/13</v>
      </c>
      <c r="BA35" s="17">
        <v>1559451.6676</v>
      </c>
      <c r="BB35" s="129">
        <f t="shared" si="32"/>
        <v>1595811.6676</v>
      </c>
      <c r="BC35" s="17">
        <f t="shared" si="33"/>
        <v>-36360</v>
      </c>
      <c r="BD35" s="18">
        <f t="shared" si="34"/>
        <v>-0.0227846435379703</v>
      </c>
      <c r="BE35" s="18"/>
      <c r="BF35" s="18"/>
      <c r="BG35" s="74"/>
      <c r="BH35" s="194" t="str">
        <f t="shared" si="35"/>
        <v>2026//5/13</v>
      </c>
      <c r="BI35" s="194">
        <v>1549726.5525</v>
      </c>
      <c r="BJ35" s="195">
        <f t="shared" si="36"/>
        <v>1545726.5525</v>
      </c>
      <c r="BK35" s="195">
        <f t="shared" si="37"/>
        <v>4000</v>
      </c>
      <c r="BL35" s="196">
        <f t="shared" si="38"/>
        <v>0.0025877798330698</v>
      </c>
      <c r="BM35" s="197"/>
      <c r="BN35" s="192"/>
      <c r="BO35" s="194"/>
      <c r="BP35" s="194" t="str">
        <f t="shared" si="39"/>
        <v>2026//5/13</v>
      </c>
      <c r="BQ35" s="198">
        <v>1098462.3921</v>
      </c>
      <c r="BR35" s="12">
        <f t="shared" si="40"/>
        <v>1135662.3921</v>
      </c>
      <c r="BS35" s="12">
        <f t="shared" si="41"/>
        <v>-37200</v>
      </c>
      <c r="BT35" s="199">
        <f t="shared" si="42"/>
        <v>-0.0327562136941173</v>
      </c>
      <c r="BU35" s="192"/>
      <c r="BV35" s="192"/>
      <c r="BW35" s="194"/>
      <c r="BX35" s="194" t="str">
        <f t="shared" si="43"/>
        <v>2026//5/13</v>
      </c>
      <c r="BY35" s="200">
        <v>2846360.7019</v>
      </c>
      <c r="BZ35" s="12">
        <f t="shared" si="44"/>
        <v>2872760.7019</v>
      </c>
      <c r="CA35" s="12">
        <f t="shared" si="45"/>
        <v>-26400</v>
      </c>
      <c r="CB35" s="199">
        <f t="shared" si="46"/>
        <v>-0.00918976647882277</v>
      </c>
      <c r="CC35" s="192"/>
      <c r="CD35" s="201"/>
      <c r="CE35" s="194"/>
      <c r="CF35" s="194" t="str">
        <f t="shared" si="47"/>
        <v>2026//5/13</v>
      </c>
      <c r="CG35" s="200">
        <v>1330253.9</v>
      </c>
      <c r="CH35" s="12">
        <f t="shared" si="48"/>
        <v>1339603.9</v>
      </c>
      <c r="CI35" s="12">
        <f t="shared" si="49"/>
        <v>-9350</v>
      </c>
      <c r="CJ35" s="199">
        <f t="shared" si="50"/>
        <v>-0.00697967511142659</v>
      </c>
      <c r="CK35" s="192"/>
      <c r="CL35" s="201"/>
      <c r="CM35" s="194"/>
      <c r="CN35" s="194" t="str">
        <f t="shared" si="51"/>
        <v>2026//5/13</v>
      </c>
      <c r="CO35" s="200">
        <v>606146.48</v>
      </c>
      <c r="CP35" s="12">
        <f t="shared" si="52"/>
        <v>611046.48</v>
      </c>
      <c r="CQ35" s="12">
        <f t="shared" si="53"/>
        <v>-4900</v>
      </c>
      <c r="CR35" s="199">
        <f t="shared" si="54"/>
        <v>-0.00801902991078518</v>
      </c>
      <c r="CS35" s="201"/>
      <c r="CT35" s="201"/>
      <c r="CU35" s="194"/>
      <c r="CV35" s="194" t="str">
        <f t="shared" si="55"/>
        <v>2026//5/13</v>
      </c>
      <c r="CW35" s="200">
        <v>578490.4</v>
      </c>
      <c r="CX35" s="12">
        <f t="shared" si="56"/>
        <v>574940.4</v>
      </c>
      <c r="CY35" s="12">
        <f t="shared" si="57"/>
        <v>3550</v>
      </c>
      <c r="CZ35" s="199">
        <f t="shared" si="58"/>
        <v>0.00617455304932476</v>
      </c>
      <c r="DA35" s="192"/>
      <c r="DB35" s="192"/>
      <c r="DC35" s="202"/>
      <c r="DD35" s="194" t="str">
        <f t="shared" si="59"/>
        <v>2026//5/13</v>
      </c>
      <c r="DE35" s="200">
        <v>1975317.9986</v>
      </c>
      <c r="DF35" s="12">
        <f t="shared" si="60"/>
        <v>1963317.9986</v>
      </c>
      <c r="DG35" s="12">
        <f t="shared" si="61"/>
        <v>12000</v>
      </c>
      <c r="DH35" s="199">
        <f t="shared" si="62"/>
        <v>0.00611210206831341</v>
      </c>
      <c r="DI35" s="192"/>
      <c r="DJ35" s="192"/>
      <c r="DK35" s="194"/>
      <c r="DL35" s="194" t="str">
        <f t="shared" si="63"/>
        <v>2026//5/13</v>
      </c>
      <c r="DM35" s="200">
        <v>978500.36</v>
      </c>
      <c r="DN35" s="12">
        <f t="shared" si="64"/>
        <v>986900.36</v>
      </c>
      <c r="DO35" s="12">
        <f t="shared" si="65"/>
        <v>-8400</v>
      </c>
      <c r="DP35" s="199">
        <f t="shared" si="66"/>
        <v>-0.00851149755381587</v>
      </c>
      <c r="DQ35" s="192"/>
      <c r="DR35" s="192"/>
      <c r="DS35" s="194"/>
      <c r="DT35" s="194" t="str">
        <f t="shared" si="67"/>
        <v>2026//5/13</v>
      </c>
      <c r="DU35" s="200">
        <v>1368389.48</v>
      </c>
      <c r="DV35" s="12">
        <f t="shared" si="68"/>
        <v>1362689.48</v>
      </c>
      <c r="DW35" s="12">
        <f t="shared" si="69"/>
        <v>5700</v>
      </c>
      <c r="DX35" s="199">
        <f t="shared" si="70"/>
        <v>0.00418290453082532</v>
      </c>
      <c r="DY35" s="192"/>
      <c r="DZ35" s="192"/>
      <c r="EA35" s="194"/>
      <c r="EB35" s="194" t="str">
        <f t="shared" si="71"/>
        <v>2026//5/13</v>
      </c>
      <c r="EC35" s="200">
        <v>3820766.82</v>
      </c>
      <c r="ED35" s="12">
        <f t="shared" si="72"/>
        <v>3847466.82</v>
      </c>
      <c r="EE35" s="12">
        <f t="shared" si="73"/>
        <v>-26700</v>
      </c>
      <c r="EF35" s="199">
        <f t="shared" si="74"/>
        <v>-0.00693963099596009</v>
      </c>
      <c r="EG35" s="192"/>
      <c r="EH35" s="192"/>
      <c r="EI35" s="194"/>
      <c r="EJ35" s="194" t="str">
        <f t="shared" si="75"/>
        <v>2026//5/13</v>
      </c>
      <c r="EK35" s="200">
        <v>1232322.9669</v>
      </c>
      <c r="EL35" s="12">
        <f t="shared" si="76"/>
        <v>1245122.9669</v>
      </c>
      <c r="EM35" s="12">
        <f t="shared" si="77"/>
        <v>-12800</v>
      </c>
      <c r="EN35" s="199">
        <f t="shared" si="78"/>
        <v>-0.0102801091460616</v>
      </c>
      <c r="EO35" s="192"/>
      <c r="EP35" s="192"/>
      <c r="EQ35" s="194"/>
      <c r="ER35" s="194" t="str">
        <f t="shared" si="79"/>
        <v>2026//5/13</v>
      </c>
      <c r="ES35">
        <v>407597.02</v>
      </c>
      <c r="ET35" s="12">
        <f t="shared" si="80"/>
        <v>411347.02</v>
      </c>
      <c r="EU35" s="12">
        <f t="shared" si="81"/>
        <v>-3750</v>
      </c>
      <c r="EV35" s="199">
        <f t="shared" si="82"/>
        <v>-0.00911639034117714</v>
      </c>
      <c r="EW35" s="192"/>
      <c r="EX35" s="192"/>
      <c r="EY35" s="194"/>
      <c r="EZ35" s="194" t="str">
        <f t="shared" si="83"/>
        <v>2026//5/13</v>
      </c>
      <c r="FA35" s="200">
        <v>666008</v>
      </c>
      <c r="FB35" s="12">
        <f t="shared" si="84"/>
        <v>685308</v>
      </c>
      <c r="FC35" s="12">
        <f t="shared" si="85"/>
        <v>-19300</v>
      </c>
      <c r="FD35" s="199">
        <f t="shared" si="86"/>
        <v>-0.0281625196262119</v>
      </c>
      <c r="FE35" s="192"/>
      <c r="FF35" s="192"/>
      <c r="FG35" s="192"/>
      <c r="FH35" s="194" t="str">
        <f t="shared" si="87"/>
        <v>2026//5/13</v>
      </c>
      <c r="FI35" s="198">
        <v>1324995.3365</v>
      </c>
      <c r="FJ35" s="12">
        <f t="shared" si="88"/>
        <v>1321295.3365</v>
      </c>
      <c r="FK35" s="12">
        <f t="shared" si="89"/>
        <v>3700</v>
      </c>
      <c r="FL35" s="199">
        <f t="shared" si="90"/>
        <v>0.0028002823424784</v>
      </c>
      <c r="FM35" s="201"/>
      <c r="FN35" s="201"/>
      <c r="FO35" s="194"/>
      <c r="FP35" s="194" t="str">
        <f t="shared" si="91"/>
        <v>2026//5/13</v>
      </c>
      <c r="FQ35" s="200">
        <v>1807618.73</v>
      </c>
      <c r="FR35" s="12">
        <f t="shared" si="92"/>
        <v>1836418.73</v>
      </c>
      <c r="FS35" s="12">
        <f t="shared" si="93"/>
        <v>-28800</v>
      </c>
      <c r="FT35" s="199">
        <f t="shared" si="94"/>
        <v>-0.0156826978126062</v>
      </c>
      <c r="FU35" s="192"/>
      <c r="FV35" s="192"/>
      <c r="FW35" s="194"/>
      <c r="FX35" s="194" t="str">
        <f t="shared" si="95"/>
        <v>2026//5/13</v>
      </c>
      <c r="FY35" s="200">
        <v>8100182.05</v>
      </c>
      <c r="FZ35" s="12">
        <f t="shared" si="96"/>
        <v>8076282.05</v>
      </c>
      <c r="GA35" s="12">
        <f t="shared" si="97"/>
        <v>23900</v>
      </c>
      <c r="GB35" s="199">
        <f t="shared" si="98"/>
        <v>0.00295928248320649</v>
      </c>
      <c r="GC35" s="192"/>
      <c r="GD35" s="192"/>
      <c r="GE35" s="194"/>
      <c r="GF35" s="194" t="str">
        <f t="shared" si="99"/>
        <v>2026//5/13</v>
      </c>
      <c r="GG35" s="200">
        <v>4623369.49</v>
      </c>
      <c r="GH35" s="12">
        <f t="shared" si="100"/>
        <v>4636969.49</v>
      </c>
      <c r="GI35" s="12">
        <f t="shared" si="101"/>
        <v>-13600</v>
      </c>
      <c r="GJ35" s="199">
        <f t="shared" si="102"/>
        <v>-0.00293295007209547</v>
      </c>
      <c r="GK35" s="192"/>
      <c r="GL35" s="192"/>
      <c r="GM35" s="194"/>
      <c r="GN35" s="194" t="str">
        <f t="shared" si="103"/>
        <v>2026//5/13</v>
      </c>
      <c r="GO35" s="200">
        <v>1908238.1217</v>
      </c>
      <c r="GP35" s="12">
        <f t="shared" si="104"/>
        <v>1890838.1217</v>
      </c>
      <c r="GQ35" s="12">
        <f t="shared" si="105"/>
        <v>17400</v>
      </c>
      <c r="GR35" s="199">
        <f t="shared" si="106"/>
        <v>0.00920226845456032</v>
      </c>
      <c r="GS35" s="192"/>
      <c r="GT35" s="192"/>
      <c r="GU35" s="194"/>
      <c r="GV35" s="194" t="str">
        <f t="shared" si="107"/>
        <v>2026//5/13</v>
      </c>
      <c r="GW35" s="200">
        <v>908949.4</v>
      </c>
      <c r="GX35" s="12">
        <f t="shared" si="108"/>
        <v>892749.4</v>
      </c>
      <c r="GY35" s="12">
        <f t="shared" si="109"/>
        <v>16200</v>
      </c>
      <c r="GZ35" s="199">
        <f t="shared" si="110"/>
        <v>0.0181461897370079</v>
      </c>
      <c r="HA35" s="192"/>
      <c r="HB35" s="192"/>
      <c r="HC35" s="194"/>
      <c r="HD35" s="194" t="str">
        <f t="shared" si="111"/>
        <v>2026//5/13</v>
      </c>
      <c r="HE35" s="200">
        <v>1345864.6746</v>
      </c>
      <c r="HF35" s="12">
        <f t="shared" si="112"/>
        <v>1359264.6746</v>
      </c>
      <c r="HG35" s="12">
        <f t="shared" si="113"/>
        <v>-13400</v>
      </c>
      <c r="HH35" s="199">
        <f t="shared" si="114"/>
        <v>-0.00985827135097387</v>
      </c>
      <c r="HI35" s="201"/>
      <c r="HJ35" s="192"/>
      <c r="HK35" s="194"/>
      <c r="HL35" s="194" t="str">
        <f t="shared" si="115"/>
        <v>2026//5/13</v>
      </c>
      <c r="HM35" s="200">
        <v>142154.25</v>
      </c>
      <c r="HN35" s="208">
        <f t="shared" si="116"/>
        <v>142304.25</v>
      </c>
      <c r="HO35" s="208">
        <f t="shared" si="117"/>
        <v>-150</v>
      </c>
      <c r="HP35" s="209">
        <f t="shared" si="118"/>
        <v>-0.00105407955138374</v>
      </c>
      <c r="HQ35" s="192"/>
      <c r="HR35" s="192"/>
      <c r="HS35" s="194"/>
      <c r="HT35" s="194" t="str">
        <f t="shared" si="119"/>
        <v>2026//5/13</v>
      </c>
      <c r="HU35" s="200">
        <v>211868.8265</v>
      </c>
      <c r="HV35" s="12">
        <f t="shared" si="120"/>
        <v>209568.8265</v>
      </c>
      <c r="HW35" s="12">
        <f t="shared" si="121"/>
        <v>2300</v>
      </c>
      <c r="HX35" s="199">
        <f t="shared" si="122"/>
        <v>0.010974914725688</v>
      </c>
      <c r="HY35" s="192"/>
      <c r="HZ35" s="192"/>
      <c r="IA35" s="194"/>
      <c r="IB35" s="194" t="str">
        <f t="shared" si="123"/>
        <v>2026//5/13</v>
      </c>
      <c r="IC35" s="200">
        <v>378409.79</v>
      </c>
      <c r="ID35" s="12">
        <f t="shared" si="124"/>
        <v>381409.79</v>
      </c>
      <c r="IE35" s="12">
        <f t="shared" si="125"/>
        <v>-3000</v>
      </c>
      <c r="IF35" s="199">
        <f t="shared" si="126"/>
        <v>-0.00786555583693853</v>
      </c>
      <c r="IG35" s="201"/>
      <c r="IH35" s="192"/>
      <c r="II35" s="194"/>
      <c r="IJ35" s="194" t="str">
        <f t="shared" si="127"/>
        <v>2026//5/13</v>
      </c>
      <c r="IK35" s="200">
        <v>642076.29</v>
      </c>
      <c r="IL35" s="12">
        <f t="shared" si="128"/>
        <v>636556.29</v>
      </c>
      <c r="IM35" s="12">
        <f t="shared" si="129"/>
        <v>5520</v>
      </c>
      <c r="IN35" s="199">
        <f t="shared" si="130"/>
        <v>0.00867166044341499</v>
      </c>
      <c r="IO35" s="192"/>
      <c r="IP35" s="192"/>
      <c r="IQ35" s="194"/>
      <c r="IR35" s="194" t="str">
        <f t="shared" si="131"/>
        <v>2026//5/13</v>
      </c>
      <c r="IS35" s="200">
        <v>139189</v>
      </c>
      <c r="IT35" s="12">
        <f t="shared" si="132"/>
        <v>138989</v>
      </c>
      <c r="IU35" s="12">
        <f t="shared" si="133"/>
        <v>200</v>
      </c>
      <c r="IV35" s="199">
        <f t="shared" si="134"/>
        <v>0.00143896279561692</v>
      </c>
      <c r="IW35" s="192"/>
      <c r="IX35" s="192"/>
      <c r="IY35" s="194"/>
      <c r="IZ35" s="194" t="str">
        <f t="shared" si="135"/>
        <v>2026//5/13</v>
      </c>
      <c r="JA35" s="200">
        <v>5218229.15</v>
      </c>
      <c r="JB35" s="12">
        <f t="shared" si="136"/>
        <v>5161429.15</v>
      </c>
      <c r="JC35" s="12">
        <f t="shared" si="137"/>
        <v>56800</v>
      </c>
      <c r="JD35" s="199">
        <f t="shared" si="138"/>
        <v>0.0110047039975353</v>
      </c>
      <c r="JE35" s="192"/>
      <c r="JF35" s="192"/>
      <c r="JG35" s="194"/>
      <c r="JH35" s="194" t="str">
        <f t="shared" si="139"/>
        <v>2026//5/13</v>
      </c>
      <c r="JI35" s="200">
        <v>1332207.99</v>
      </c>
      <c r="JJ35" s="12">
        <f t="shared" si="140"/>
        <v>1301847.99</v>
      </c>
      <c r="JK35" s="12">
        <f t="shared" si="141"/>
        <v>30360</v>
      </c>
      <c r="JL35" s="199">
        <f t="shared" si="142"/>
        <v>0.0233206950682468</v>
      </c>
      <c r="JM35" s="192"/>
      <c r="JN35" s="192"/>
      <c r="JO35" s="192"/>
      <c r="JP35" s="194" t="str">
        <f t="shared" si="143"/>
        <v>2026//5/13</v>
      </c>
      <c r="JQ35" s="200">
        <v>1045390.4148</v>
      </c>
      <c r="JR35" s="12">
        <f t="shared" si="144"/>
        <v>1053890.4148</v>
      </c>
      <c r="JS35" s="12">
        <f t="shared" si="145"/>
        <v>-8499.99999999988</v>
      </c>
      <c r="JT35" s="199">
        <f t="shared" si="146"/>
        <v>-0.00806535469023405</v>
      </c>
      <c r="JU35" s="192"/>
      <c r="JV35" s="192"/>
      <c r="JW35" s="201"/>
      <c r="JX35" s="194" t="str">
        <f t="shared" si="147"/>
        <v>2026//5/13</v>
      </c>
      <c r="JY35" s="200">
        <v>1186298.8</v>
      </c>
      <c r="JZ35" s="12">
        <f t="shared" si="148"/>
        <v>1173248.8</v>
      </c>
      <c r="KA35" s="12">
        <f t="shared" si="149"/>
        <v>13050</v>
      </c>
      <c r="KB35" s="199">
        <f t="shared" si="150"/>
        <v>0.0111229604496506</v>
      </c>
      <c r="KC35" s="192"/>
      <c r="KD35" s="192"/>
      <c r="KE35" s="201"/>
      <c r="KF35" s="194" t="str">
        <f t="shared" si="151"/>
        <v>2026//5/13</v>
      </c>
      <c r="KG35" s="200">
        <v>715755.9219</v>
      </c>
      <c r="KH35" s="12">
        <f t="shared" si="152"/>
        <v>717755.9219</v>
      </c>
      <c r="KI35" s="12">
        <f t="shared" si="153"/>
        <v>-2000</v>
      </c>
      <c r="KJ35" s="199">
        <f t="shared" si="154"/>
        <v>-0.00278646255499463</v>
      </c>
      <c r="KK35" s="201"/>
      <c r="KL35" s="201"/>
      <c r="KM35" s="194"/>
      <c r="KN35" s="194" t="str">
        <f t="shared" si="155"/>
        <v>2026//5/13</v>
      </c>
      <c r="KO35" s="200">
        <v>8328775.95</v>
      </c>
      <c r="KP35" s="12">
        <f t="shared" si="156"/>
        <v>8328775.95</v>
      </c>
      <c r="KQ35" s="12">
        <f t="shared" si="157"/>
        <v>0</v>
      </c>
      <c r="KR35" s="199">
        <f t="shared" si="158"/>
        <v>0</v>
      </c>
      <c r="KS35" s="192"/>
      <c r="KT35" s="192"/>
      <c r="KU35" s="194"/>
      <c r="KV35" s="194" t="str">
        <f t="shared" si="159"/>
        <v>2026//5/13</v>
      </c>
      <c r="KW35" s="200">
        <v>1047772.9726</v>
      </c>
      <c r="KX35" s="12">
        <f t="shared" si="160"/>
        <v>1047772.9726</v>
      </c>
      <c r="KY35" s="12">
        <f t="shared" si="161"/>
        <v>0</v>
      </c>
      <c r="KZ35" s="199">
        <f t="shared" si="162"/>
        <v>0</v>
      </c>
      <c r="LA35" s="201"/>
      <c r="LB35" s="192"/>
      <c r="LC35" s="194"/>
      <c r="LD35" s="194" t="str">
        <f t="shared" si="163"/>
        <v>2026//5/13</v>
      </c>
      <c r="LE35" s="200">
        <v>491607.7</v>
      </c>
      <c r="LF35" s="12">
        <f t="shared" si="164"/>
        <v>481107.7</v>
      </c>
      <c r="LG35" s="12">
        <f t="shared" si="165"/>
        <v>10500</v>
      </c>
      <c r="LH35" s="199">
        <f t="shared" si="166"/>
        <v>0.02182463510769</v>
      </c>
      <c r="LI35" s="192"/>
      <c r="LJ35" s="192"/>
      <c r="LK35" s="194"/>
      <c r="LL35" s="194" t="str">
        <f t="shared" si="167"/>
        <v>2026//5/13</v>
      </c>
      <c r="LM35" s="198">
        <v>3547015.02</v>
      </c>
      <c r="LN35" s="12">
        <f t="shared" si="168"/>
        <v>3559795.02</v>
      </c>
      <c r="LO35" s="12">
        <f t="shared" si="169"/>
        <v>-12780</v>
      </c>
      <c r="LP35" s="199">
        <f t="shared" si="170"/>
        <v>-0.00359009435324172</v>
      </c>
      <c r="LQ35" s="192"/>
      <c r="LR35" s="192"/>
      <c r="LS35" s="194"/>
      <c r="LT35" s="194" t="str">
        <f t="shared" si="171"/>
        <v>2026//5/13</v>
      </c>
      <c r="LU35" s="200">
        <v>2462862.904</v>
      </c>
      <c r="LV35" s="12">
        <f t="shared" si="172"/>
        <v>2456262.904</v>
      </c>
      <c r="LW35" s="12">
        <f t="shared" si="173"/>
        <v>6600</v>
      </c>
      <c r="LX35" s="199">
        <f t="shared" si="174"/>
        <v>0.00268700878446357</v>
      </c>
      <c r="LY35" s="192"/>
      <c r="LZ35" s="192"/>
      <c r="MA35" s="194"/>
      <c r="MB35" s="194" t="str">
        <f t="shared" si="175"/>
        <v>2026//5/13</v>
      </c>
      <c r="MC35" s="200">
        <v>854167.69</v>
      </c>
      <c r="MD35" s="12">
        <f t="shared" si="176"/>
        <v>872217.69</v>
      </c>
      <c r="ME35" s="12">
        <f t="shared" si="177"/>
        <v>-18050</v>
      </c>
      <c r="MF35" s="199">
        <f t="shared" si="178"/>
        <v>-0.020694375047587</v>
      </c>
      <c r="MG35" s="192"/>
      <c r="MH35" s="192"/>
      <c r="MK35" s="194" t="str">
        <f t="shared" si="179"/>
        <v>2026//5/13</v>
      </c>
      <c r="ML35">
        <v>199545.5354</v>
      </c>
      <c r="MM35" s="12">
        <f t="shared" si="180"/>
        <v>207945.5354</v>
      </c>
      <c r="MN35" s="12">
        <f t="shared" si="181"/>
        <v>-8400</v>
      </c>
      <c r="MO35" s="199">
        <f t="shared" si="182"/>
        <v>-0.0403951928270156</v>
      </c>
      <c r="MP35" s="192"/>
      <c r="MQ35" s="201"/>
      <c r="MR35" s="201"/>
      <c r="MT35" s="194" t="str">
        <f t="shared" si="183"/>
        <v>2026//5/13</v>
      </c>
      <c r="MU35">
        <v>179414.8</v>
      </c>
      <c r="MV35" s="204">
        <f t="shared" si="184"/>
        <v>180914.8</v>
      </c>
      <c r="MW35" s="8">
        <f t="shared" si="185"/>
        <v>-1500</v>
      </c>
      <c r="MX35" s="192">
        <f t="shared" si="186"/>
        <v>-0.00829119563463022</v>
      </c>
      <c r="MY35" s="192"/>
      <c r="MZ35" s="192"/>
      <c r="NA35" s="192"/>
      <c r="NC35" s="194" t="str">
        <f t="shared" si="187"/>
        <v>2026//5/13</v>
      </c>
      <c r="ND35">
        <v>41691.48</v>
      </c>
      <c r="NE35" s="204">
        <f t="shared" si="188"/>
        <v>42091.48</v>
      </c>
      <c r="NF35" s="8">
        <f t="shared" si="189"/>
        <v>-400</v>
      </c>
      <c r="NG35" s="192">
        <f t="shared" si="190"/>
        <v>-0.00950311084333456</v>
      </c>
      <c r="NH35" s="192"/>
      <c r="NI35" s="192"/>
      <c r="NJ35" s="192"/>
      <c r="NK35" s="192"/>
      <c r="NM35" s="194" t="str">
        <f t="shared" si="191"/>
        <v>2026//5/13</v>
      </c>
      <c r="NN35">
        <v>2636511.08</v>
      </c>
      <c r="NO35" s="8">
        <f t="shared" si="192"/>
        <v>2635211.08</v>
      </c>
      <c r="NP35" s="210">
        <f t="shared" si="193"/>
        <v>1300</v>
      </c>
      <c r="NQ35" s="211">
        <f t="shared" si="194"/>
        <v>0.000493319115825818</v>
      </c>
      <c r="NR35" s="192"/>
      <c r="NT35" s="194"/>
      <c r="NU35" s="194" t="str">
        <f t="shared" si="195"/>
        <v>2026//5/13</v>
      </c>
      <c r="NV35">
        <v>259226.5</v>
      </c>
      <c r="NW35" s="205">
        <f t="shared" si="196"/>
        <v>259576.5</v>
      </c>
      <c r="NX35" s="210">
        <f t="shared" si="197"/>
        <v>-350</v>
      </c>
      <c r="NY35" s="211">
        <f t="shared" si="198"/>
        <v>-0.00134835010102995</v>
      </c>
      <c r="NZ35" s="201"/>
      <c r="OA35" s="200"/>
      <c r="OB35" s="194"/>
      <c r="OC35" s="194" t="str">
        <f t="shared" si="199"/>
        <v>2026//5/13</v>
      </c>
      <c r="OD35" s="200">
        <v>14925.97</v>
      </c>
      <c r="OE35" s="12">
        <f t="shared" si="200"/>
        <v>14653.97</v>
      </c>
      <c r="OF35" s="12">
        <f t="shared" si="201"/>
        <v>272</v>
      </c>
      <c r="OG35" s="199">
        <f t="shared" si="202"/>
        <v>0.0185615229183627</v>
      </c>
      <c r="OH35" s="192"/>
      <c r="OI35" s="192"/>
      <c r="OJ35" s="194"/>
      <c r="OK35" s="194" t="str">
        <f t="shared" si="203"/>
        <v>2026//5/13</v>
      </c>
      <c r="OL35" s="200">
        <v>13755.65</v>
      </c>
      <c r="OM35" s="12">
        <f t="shared" si="204"/>
        <v>13715.65</v>
      </c>
      <c r="ON35" s="12">
        <f t="shared" si="205"/>
        <v>40</v>
      </c>
      <c r="OO35" s="199">
        <f t="shared" si="206"/>
        <v>0.00291637654795799</v>
      </c>
      <c r="OP35" s="192"/>
      <c r="OQ35" s="192"/>
      <c r="OT35" s="234" t="str">
        <f t="shared" si="207"/>
        <v>2026//5/13</v>
      </c>
      <c r="OU35" s="206">
        <v>146952.4066</v>
      </c>
      <c r="OV35" s="8">
        <f t="shared" si="208"/>
        <v>146832.4066</v>
      </c>
      <c r="OW35" s="191">
        <f t="shared" si="209"/>
        <v>120</v>
      </c>
      <c r="OX35" s="192">
        <f t="shared" si="210"/>
        <v>0.000817258279549305</v>
      </c>
    </row>
    <row r="36" s="8" customFormat="1" ht="17" customHeight="1" spans="1:414">
      <c r="A36" s="15"/>
      <c r="B36" s="15"/>
      <c r="C36" s="108" t="s">
        <v>462</v>
      </c>
      <c r="D36" s="207">
        <v>3337158.77</v>
      </c>
      <c r="E36" s="19">
        <f t="shared" si="8"/>
        <v>3394578.77</v>
      </c>
      <c r="F36" s="19">
        <f t="shared" si="9"/>
        <v>-57420</v>
      </c>
      <c r="G36" s="172">
        <f t="shared" si="10"/>
        <v>-0.0169152062422166</v>
      </c>
      <c r="H36" s="18"/>
      <c r="I36" s="172"/>
      <c r="J36" s="172"/>
      <c r="K36" s="8" t="str">
        <f t="shared" si="11"/>
        <v>2026//5/12</v>
      </c>
      <c r="L36" s="19">
        <v>2677384.4</v>
      </c>
      <c r="M36" s="19">
        <f t="shared" si="12"/>
        <v>2743354.4</v>
      </c>
      <c r="N36" s="19">
        <f t="shared" si="13"/>
        <v>-65970</v>
      </c>
      <c r="O36" s="172">
        <f t="shared" si="14"/>
        <v>-0.0240472029424999</v>
      </c>
      <c r="P36" s="18"/>
      <c r="Q36" s="172"/>
      <c r="R36" s="19"/>
      <c r="S36" s="8" t="str">
        <f t="shared" si="15"/>
        <v>2026//5/12</v>
      </c>
      <c r="T36" s="19">
        <v>1242426.68</v>
      </c>
      <c r="U36" s="19">
        <f t="shared" si="16"/>
        <v>1296066.68</v>
      </c>
      <c r="V36" s="19">
        <f t="shared" si="17"/>
        <v>-53640</v>
      </c>
      <c r="W36" s="172">
        <f t="shared" si="18"/>
        <v>-0.0413867595145645</v>
      </c>
      <c r="X36" s="18"/>
      <c r="Y36" s="172"/>
      <c r="Z36" s="19"/>
      <c r="AA36" s="8" t="str">
        <f t="shared" si="19"/>
        <v>2026//5/12</v>
      </c>
      <c r="AB36" s="19">
        <v>537296.86</v>
      </c>
      <c r="AC36" s="19">
        <f t="shared" si="20"/>
        <v>557816.86</v>
      </c>
      <c r="AD36" s="19">
        <f t="shared" si="21"/>
        <v>-20520</v>
      </c>
      <c r="AE36" s="172">
        <f t="shared" si="22"/>
        <v>-0.0367862670913174</v>
      </c>
      <c r="AF36" s="18"/>
      <c r="AG36" s="172"/>
      <c r="AH36" s="19"/>
      <c r="AI36" s="8" t="str">
        <f t="shared" si="23"/>
        <v>2026//5/12</v>
      </c>
      <c r="AJ36" s="19">
        <v>347521.76</v>
      </c>
      <c r="AK36" s="19">
        <f t="shared" si="24"/>
        <v>367521.76</v>
      </c>
      <c r="AL36" s="19">
        <f t="shared" si="25"/>
        <v>-20000</v>
      </c>
      <c r="AM36" s="172">
        <f t="shared" si="26"/>
        <v>-0.0544185465372173</v>
      </c>
      <c r="AN36" s="18"/>
      <c r="AO36" s="18"/>
      <c r="AP36" s="19"/>
      <c r="AQ36" s="8" t="str">
        <f t="shared" si="27"/>
        <v>2026//5/12</v>
      </c>
      <c r="AR36" s="19">
        <v>1197145.4936</v>
      </c>
      <c r="AS36" s="19">
        <f t="shared" si="28"/>
        <v>1206745.4936</v>
      </c>
      <c r="AT36" s="19">
        <f t="shared" si="29"/>
        <v>-9600</v>
      </c>
      <c r="AU36" s="172">
        <f t="shared" si="30"/>
        <v>-0.00795528141676418</v>
      </c>
      <c r="AV36" s="18"/>
      <c r="AW36" s="18"/>
      <c r="AX36" s="17"/>
      <c r="AY36" s="17"/>
      <c r="AZ36" s="8" t="str">
        <f t="shared" si="31"/>
        <v>2026//5/12</v>
      </c>
      <c r="BA36" s="17">
        <v>1595811.6676</v>
      </c>
      <c r="BB36" s="129">
        <f t="shared" si="32"/>
        <v>1626771.6676</v>
      </c>
      <c r="BC36" s="17">
        <f t="shared" si="33"/>
        <v>-30960</v>
      </c>
      <c r="BD36" s="18">
        <f t="shared" si="34"/>
        <v>-0.0190315584028309</v>
      </c>
      <c r="BE36" s="18"/>
      <c r="BF36" s="18"/>
      <c r="BG36" s="74"/>
      <c r="BH36" s="194" t="str">
        <f t="shared" si="35"/>
        <v>2026//5/12</v>
      </c>
      <c r="BI36" s="194">
        <v>1545726.5525</v>
      </c>
      <c r="BJ36" s="195">
        <f t="shared" si="36"/>
        <v>1572526.5525</v>
      </c>
      <c r="BK36" s="195">
        <f t="shared" si="37"/>
        <v>-26800</v>
      </c>
      <c r="BL36" s="196">
        <f t="shared" si="38"/>
        <v>-0.0170426375042084</v>
      </c>
      <c r="BM36" s="197"/>
      <c r="BN36" s="192"/>
      <c r="BO36" s="194"/>
      <c r="BP36" s="194" t="str">
        <f t="shared" si="39"/>
        <v>2026//5/12</v>
      </c>
      <c r="BQ36" s="198">
        <v>1135662.3921</v>
      </c>
      <c r="BR36" s="12">
        <f t="shared" si="40"/>
        <v>1153962.3921</v>
      </c>
      <c r="BS36" s="12">
        <f t="shared" si="41"/>
        <v>-18300</v>
      </c>
      <c r="BT36" s="199">
        <f t="shared" si="42"/>
        <v>-0.015858402427394</v>
      </c>
      <c r="BU36" s="192"/>
      <c r="BV36" s="192"/>
      <c r="BW36" s="194"/>
      <c r="BX36" s="194" t="str">
        <f t="shared" si="43"/>
        <v>2026//5/12</v>
      </c>
      <c r="BY36" s="200">
        <v>2872760.7019</v>
      </c>
      <c r="BZ36" s="12">
        <f t="shared" si="44"/>
        <v>2926210.7019</v>
      </c>
      <c r="CA36" s="12">
        <f t="shared" si="45"/>
        <v>-53450</v>
      </c>
      <c r="CB36" s="199">
        <f t="shared" si="46"/>
        <v>-0.01826594372213</v>
      </c>
      <c r="CC36" s="192"/>
      <c r="CD36" s="201"/>
      <c r="CE36" s="194"/>
      <c r="CF36" s="194" t="str">
        <f t="shared" si="47"/>
        <v>2026//5/12</v>
      </c>
      <c r="CG36" s="200">
        <v>1339603.9</v>
      </c>
      <c r="CH36" s="12">
        <f t="shared" si="48"/>
        <v>1331403.9</v>
      </c>
      <c r="CI36" s="12">
        <f t="shared" si="49"/>
        <v>8200</v>
      </c>
      <c r="CJ36" s="199">
        <f t="shared" si="50"/>
        <v>0.00615891240817306</v>
      </c>
      <c r="CK36" s="192"/>
      <c r="CL36" s="201"/>
      <c r="CM36" s="194"/>
      <c r="CN36" s="194" t="str">
        <f t="shared" si="51"/>
        <v>2026//5/12</v>
      </c>
      <c r="CO36" s="200">
        <v>611046.48</v>
      </c>
      <c r="CP36" s="12">
        <f t="shared" si="52"/>
        <v>616246.48</v>
      </c>
      <c r="CQ36" s="12">
        <f t="shared" si="53"/>
        <v>-5200</v>
      </c>
      <c r="CR36" s="199">
        <f t="shared" si="54"/>
        <v>-0.0084381820728615</v>
      </c>
      <c r="CS36" s="201"/>
      <c r="CT36" s="201"/>
      <c r="CU36" s="194"/>
      <c r="CV36" s="194" t="str">
        <f t="shared" si="55"/>
        <v>2026//5/12</v>
      </c>
      <c r="CW36" s="200">
        <v>574940.4</v>
      </c>
      <c r="CX36" s="12">
        <f t="shared" si="56"/>
        <v>575890.4</v>
      </c>
      <c r="CY36" s="12">
        <f t="shared" si="57"/>
        <v>-950</v>
      </c>
      <c r="CZ36" s="199">
        <f t="shared" si="58"/>
        <v>-0.00164961944147706</v>
      </c>
      <c r="DA36" s="192"/>
      <c r="DB36" s="192"/>
      <c r="DC36" s="202"/>
      <c r="DD36" s="194" t="str">
        <f t="shared" si="59"/>
        <v>2026//5/12</v>
      </c>
      <c r="DE36" s="200">
        <v>1963317.9986</v>
      </c>
      <c r="DF36" s="12">
        <f t="shared" si="60"/>
        <v>1994717.9986</v>
      </c>
      <c r="DG36" s="12">
        <f t="shared" si="61"/>
        <v>-31400</v>
      </c>
      <c r="DH36" s="199">
        <f t="shared" si="62"/>
        <v>-0.0157415735066502</v>
      </c>
      <c r="DI36" s="192"/>
      <c r="DJ36" s="192"/>
      <c r="DK36" s="194"/>
      <c r="DL36" s="194" t="str">
        <f t="shared" si="63"/>
        <v>2026//5/12</v>
      </c>
      <c r="DM36" s="200">
        <v>986900.36</v>
      </c>
      <c r="DN36" s="12">
        <f t="shared" si="64"/>
        <v>995500.36</v>
      </c>
      <c r="DO36" s="12">
        <f t="shared" si="65"/>
        <v>-8600</v>
      </c>
      <c r="DP36" s="199">
        <f t="shared" si="66"/>
        <v>-0.00863887181316539</v>
      </c>
      <c r="DQ36" s="192"/>
      <c r="DR36" s="192"/>
      <c r="DS36" s="194"/>
      <c r="DT36" s="194" t="str">
        <f t="shared" si="67"/>
        <v>2026//5/12</v>
      </c>
      <c r="DU36" s="200">
        <v>1362689.48</v>
      </c>
      <c r="DV36" s="12">
        <f t="shared" si="68"/>
        <v>1399589.48</v>
      </c>
      <c r="DW36" s="12">
        <f t="shared" si="69"/>
        <v>-36900</v>
      </c>
      <c r="DX36" s="199">
        <f t="shared" si="70"/>
        <v>-0.0263648737914206</v>
      </c>
      <c r="DY36" s="192"/>
      <c r="DZ36" s="192"/>
      <c r="EA36" s="194"/>
      <c r="EB36" s="194" t="str">
        <f t="shared" si="71"/>
        <v>2026//5/12</v>
      </c>
      <c r="EC36" s="200">
        <v>3847466.82</v>
      </c>
      <c r="ED36" s="12">
        <f t="shared" si="72"/>
        <v>3899066.82</v>
      </c>
      <c r="EE36" s="12">
        <f t="shared" si="73"/>
        <v>-51600</v>
      </c>
      <c r="EF36" s="199">
        <f t="shared" si="74"/>
        <v>-0.0132339358062091</v>
      </c>
      <c r="EG36" s="192"/>
      <c r="EH36" s="192"/>
      <c r="EI36" s="194"/>
      <c r="EJ36" s="194" t="str">
        <f t="shared" si="75"/>
        <v>2026//5/12</v>
      </c>
      <c r="EK36" s="200">
        <v>1245122.9669</v>
      </c>
      <c r="EL36" s="12">
        <f t="shared" si="76"/>
        <v>1251922.9669</v>
      </c>
      <c r="EM36" s="12">
        <f t="shared" si="77"/>
        <v>-6800</v>
      </c>
      <c r="EN36" s="199">
        <f t="shared" si="78"/>
        <v>-0.00543164410254258</v>
      </c>
      <c r="EO36" s="192"/>
      <c r="EP36" s="192"/>
      <c r="EQ36" s="194"/>
      <c r="ER36" s="194" t="str">
        <f t="shared" si="79"/>
        <v>2026//5/12</v>
      </c>
      <c r="ES36">
        <v>411347.02</v>
      </c>
      <c r="ET36" s="12">
        <f t="shared" si="80"/>
        <v>416147.02</v>
      </c>
      <c r="EU36" s="12">
        <f t="shared" si="81"/>
        <v>-4800</v>
      </c>
      <c r="EV36" s="199">
        <f t="shared" si="82"/>
        <v>-0.0115343851314855</v>
      </c>
      <c r="EW36" s="192"/>
      <c r="EX36" s="192"/>
      <c r="EY36" s="194"/>
      <c r="EZ36" s="194" t="str">
        <f t="shared" si="83"/>
        <v>2026//5/12</v>
      </c>
      <c r="FA36" s="200">
        <v>685308</v>
      </c>
      <c r="FB36" s="12">
        <f t="shared" si="84"/>
        <v>704308</v>
      </c>
      <c r="FC36" s="12">
        <f t="shared" si="85"/>
        <v>-19000</v>
      </c>
      <c r="FD36" s="199">
        <f t="shared" si="86"/>
        <v>-0.0269768339987619</v>
      </c>
      <c r="FE36" s="192"/>
      <c r="FF36" s="192"/>
      <c r="FG36" s="192"/>
      <c r="FH36" s="194" t="str">
        <f t="shared" si="87"/>
        <v>2026//5/12</v>
      </c>
      <c r="FI36" s="198">
        <v>1321295.3365</v>
      </c>
      <c r="FJ36" s="12">
        <f t="shared" si="88"/>
        <v>1319595.3365</v>
      </c>
      <c r="FK36" s="12">
        <f t="shared" si="89"/>
        <v>1700</v>
      </c>
      <c r="FL36" s="199">
        <f t="shared" si="90"/>
        <v>0.00128827372526866</v>
      </c>
      <c r="FM36" s="201"/>
      <c r="FN36" s="201"/>
      <c r="FO36" s="194"/>
      <c r="FP36" s="194" t="str">
        <f t="shared" si="91"/>
        <v>2026//5/12</v>
      </c>
      <c r="FQ36" s="200">
        <v>1836418.73</v>
      </c>
      <c r="FR36" s="12">
        <f t="shared" si="92"/>
        <v>1872268.73</v>
      </c>
      <c r="FS36" s="12">
        <f t="shared" si="93"/>
        <v>-35850</v>
      </c>
      <c r="FT36" s="199">
        <f t="shared" si="94"/>
        <v>-0.0191478923006955</v>
      </c>
      <c r="FU36" s="192"/>
      <c r="FV36" s="192"/>
      <c r="FW36" s="194"/>
      <c r="FX36" s="194" t="str">
        <f t="shared" si="95"/>
        <v>2026//5/12</v>
      </c>
      <c r="FY36" s="200">
        <v>8076282.05</v>
      </c>
      <c r="FZ36" s="12">
        <f t="shared" si="96"/>
        <v>8072182.05</v>
      </c>
      <c r="GA36" s="12">
        <f t="shared" si="97"/>
        <v>4100</v>
      </c>
      <c r="GB36" s="199">
        <f t="shared" si="98"/>
        <v>0.000507917187026276</v>
      </c>
      <c r="GC36" s="192"/>
      <c r="GD36" s="192"/>
      <c r="GE36" s="194"/>
      <c r="GF36" s="194" t="str">
        <f t="shared" si="99"/>
        <v>2026//5/12</v>
      </c>
      <c r="GG36" s="200">
        <v>4636969.49</v>
      </c>
      <c r="GH36" s="12">
        <f t="shared" si="100"/>
        <v>4698169.49</v>
      </c>
      <c r="GI36" s="12">
        <f t="shared" si="101"/>
        <v>-61200</v>
      </c>
      <c r="GJ36" s="199">
        <f t="shared" si="102"/>
        <v>-0.0130263499710395</v>
      </c>
      <c r="GK36" s="192"/>
      <c r="GL36" s="192"/>
      <c r="GM36" s="194"/>
      <c r="GN36" s="194" t="str">
        <f t="shared" si="103"/>
        <v>2026//5/12</v>
      </c>
      <c r="GO36" s="200">
        <v>1890838.1217</v>
      </c>
      <c r="GP36" s="12">
        <f t="shared" si="104"/>
        <v>1844818.1217</v>
      </c>
      <c r="GQ36" s="12">
        <f t="shared" si="105"/>
        <v>46020</v>
      </c>
      <c r="GR36" s="199">
        <f t="shared" si="106"/>
        <v>0.0249455485387321</v>
      </c>
      <c r="GS36" s="192"/>
      <c r="GT36" s="192"/>
      <c r="GU36" s="194"/>
      <c r="GV36" s="194" t="str">
        <f t="shared" si="107"/>
        <v>2026//5/12</v>
      </c>
      <c r="GW36" s="200">
        <v>892749.4</v>
      </c>
      <c r="GX36" s="12">
        <f t="shared" si="108"/>
        <v>901349.4</v>
      </c>
      <c r="GY36" s="12">
        <f t="shared" si="109"/>
        <v>-8600</v>
      </c>
      <c r="GZ36" s="199">
        <f t="shared" si="110"/>
        <v>-0.00954125004132693</v>
      </c>
      <c r="HA36" s="192"/>
      <c r="HB36" s="192"/>
      <c r="HC36" s="194"/>
      <c r="HD36" s="194" t="str">
        <f t="shared" si="111"/>
        <v>2026//5/12</v>
      </c>
      <c r="HE36" s="200">
        <v>1359264.6746</v>
      </c>
      <c r="HF36" s="12">
        <f t="shared" si="112"/>
        <v>1346064.6746</v>
      </c>
      <c r="HG36" s="12">
        <f t="shared" si="113"/>
        <v>13200</v>
      </c>
      <c r="HH36" s="199">
        <f t="shared" si="114"/>
        <v>0.00980636387618043</v>
      </c>
      <c r="HI36" s="201"/>
      <c r="HJ36" s="192"/>
      <c r="HK36" s="194"/>
      <c r="HL36" s="194" t="str">
        <f t="shared" si="115"/>
        <v>2026//5/12</v>
      </c>
      <c r="HM36" s="200">
        <v>142304.25</v>
      </c>
      <c r="HN36" s="208">
        <f t="shared" si="116"/>
        <v>142654.25</v>
      </c>
      <c r="HO36" s="208">
        <f t="shared" si="117"/>
        <v>-350</v>
      </c>
      <c r="HP36" s="209">
        <f t="shared" si="118"/>
        <v>-0.0024534845614484</v>
      </c>
      <c r="HQ36" s="192"/>
      <c r="HR36" s="192"/>
      <c r="HS36" s="194"/>
      <c r="HT36" s="194" t="str">
        <f t="shared" si="119"/>
        <v>2026//5/12</v>
      </c>
      <c r="HU36" s="200">
        <v>209568.8265</v>
      </c>
      <c r="HV36" s="12">
        <f t="shared" si="120"/>
        <v>203868.8265</v>
      </c>
      <c r="HW36" s="12">
        <f t="shared" si="121"/>
        <v>5700</v>
      </c>
      <c r="HX36" s="199">
        <f t="shared" si="122"/>
        <v>0.0279591544124575</v>
      </c>
      <c r="HY36" s="192"/>
      <c r="HZ36" s="192"/>
      <c r="IA36" s="194"/>
      <c r="IB36" s="194" t="str">
        <f t="shared" si="123"/>
        <v>2026//5/12</v>
      </c>
      <c r="IC36" s="200">
        <v>381409.79</v>
      </c>
      <c r="ID36" s="12">
        <f t="shared" si="124"/>
        <v>374259.79</v>
      </c>
      <c r="IE36" s="12">
        <f t="shared" si="125"/>
        <v>7150</v>
      </c>
      <c r="IF36" s="199">
        <f t="shared" si="126"/>
        <v>0.0191043766684099</v>
      </c>
      <c r="IG36" s="201"/>
      <c r="IH36" s="192"/>
      <c r="II36" s="194"/>
      <c r="IJ36" s="194" t="str">
        <f t="shared" si="127"/>
        <v>2026//5/12</v>
      </c>
      <c r="IK36" s="200">
        <v>636556.29</v>
      </c>
      <c r="IL36" s="12">
        <f t="shared" si="128"/>
        <v>631996.29</v>
      </c>
      <c r="IM36" s="12">
        <f t="shared" si="129"/>
        <v>4560</v>
      </c>
      <c r="IN36" s="199">
        <f t="shared" si="130"/>
        <v>0.00721523222865754</v>
      </c>
      <c r="IO36" s="192"/>
      <c r="IP36" s="192"/>
      <c r="IQ36" s="194"/>
      <c r="IR36" s="194" t="str">
        <f t="shared" si="131"/>
        <v>2026//5/12</v>
      </c>
      <c r="IS36" s="200">
        <v>138989</v>
      </c>
      <c r="IT36" s="12">
        <f t="shared" si="132"/>
        <v>141589</v>
      </c>
      <c r="IU36" s="12">
        <f t="shared" si="133"/>
        <v>-2600</v>
      </c>
      <c r="IV36" s="199">
        <f t="shared" si="134"/>
        <v>-0.0183630084257958</v>
      </c>
      <c r="IW36" s="192"/>
      <c r="IX36" s="192"/>
      <c r="IY36" s="194"/>
      <c r="IZ36" s="194" t="str">
        <f t="shared" si="135"/>
        <v>2026//5/12</v>
      </c>
      <c r="JA36" s="200">
        <v>5161429.15</v>
      </c>
      <c r="JB36" s="12">
        <f t="shared" si="136"/>
        <v>5111829.15</v>
      </c>
      <c r="JC36" s="12">
        <f t="shared" si="137"/>
        <v>49600</v>
      </c>
      <c r="JD36" s="199">
        <f t="shared" si="138"/>
        <v>0.00970298469384486</v>
      </c>
      <c r="JE36" s="192"/>
      <c r="JF36" s="192"/>
      <c r="JG36" s="194"/>
      <c r="JH36" s="194" t="str">
        <f t="shared" si="139"/>
        <v>2026//5/12</v>
      </c>
      <c r="JI36" s="200">
        <v>1301847.99</v>
      </c>
      <c r="JJ36" s="12">
        <f t="shared" si="140"/>
        <v>1304187.99</v>
      </c>
      <c r="JK36" s="12">
        <f t="shared" si="141"/>
        <v>-2340</v>
      </c>
      <c r="JL36" s="199">
        <f t="shared" si="142"/>
        <v>-0.00179421986549654</v>
      </c>
      <c r="JM36" s="192"/>
      <c r="JN36" s="192"/>
      <c r="JO36" s="192"/>
      <c r="JP36" s="194" t="str">
        <f t="shared" si="143"/>
        <v>2026//5/12</v>
      </c>
      <c r="JQ36" s="200">
        <v>1053890.4148</v>
      </c>
      <c r="JR36" s="12">
        <f t="shared" si="144"/>
        <v>1056790.4148</v>
      </c>
      <c r="JS36" s="12">
        <f t="shared" si="145"/>
        <v>-2900</v>
      </c>
      <c r="JT36" s="199">
        <f t="shared" si="146"/>
        <v>-0.00274415812197618</v>
      </c>
      <c r="JU36" s="192"/>
      <c r="JV36" s="192"/>
      <c r="JW36" s="201"/>
      <c r="JX36" s="194" t="str">
        <f t="shared" si="147"/>
        <v>2026//5/12</v>
      </c>
      <c r="JY36" s="200">
        <v>1173248.8</v>
      </c>
      <c r="JZ36" s="12">
        <f t="shared" si="148"/>
        <v>1173248.8</v>
      </c>
      <c r="KA36" s="12">
        <f t="shared" si="149"/>
        <v>0</v>
      </c>
      <c r="KB36" s="199">
        <f t="shared" si="150"/>
        <v>0</v>
      </c>
      <c r="KC36" s="192"/>
      <c r="KD36" s="192"/>
      <c r="KE36" s="201"/>
      <c r="KF36" s="194" t="str">
        <f t="shared" si="151"/>
        <v>2026//5/12</v>
      </c>
      <c r="KG36" s="200">
        <v>717755.9219</v>
      </c>
      <c r="KH36" s="12">
        <f t="shared" si="152"/>
        <v>721755.9219</v>
      </c>
      <c r="KI36" s="12">
        <f t="shared" si="153"/>
        <v>-4000</v>
      </c>
      <c r="KJ36" s="199">
        <f t="shared" si="154"/>
        <v>-0.00554203973757517</v>
      </c>
      <c r="KK36" s="201"/>
      <c r="KL36" s="201"/>
      <c r="KM36" s="194"/>
      <c r="KN36" s="194" t="str">
        <f t="shared" si="155"/>
        <v>2026//5/12</v>
      </c>
      <c r="KO36" s="200">
        <v>8328775.95</v>
      </c>
      <c r="KP36" s="12">
        <f t="shared" si="156"/>
        <v>8328775.95</v>
      </c>
      <c r="KQ36" s="12">
        <f t="shared" si="157"/>
        <v>0</v>
      </c>
      <c r="KR36" s="199">
        <f t="shared" si="158"/>
        <v>0</v>
      </c>
      <c r="KS36" s="192"/>
      <c r="KT36" s="192"/>
      <c r="KU36" s="194"/>
      <c r="KV36" s="194" t="str">
        <f t="shared" si="159"/>
        <v>2026//5/12</v>
      </c>
      <c r="KW36" s="200">
        <v>1047772.9726</v>
      </c>
      <c r="KX36" s="12">
        <f t="shared" si="160"/>
        <v>1047772.9726</v>
      </c>
      <c r="KY36" s="12">
        <f t="shared" si="161"/>
        <v>0</v>
      </c>
      <c r="KZ36" s="199">
        <f t="shared" si="162"/>
        <v>0</v>
      </c>
      <c r="LA36" s="201"/>
      <c r="LB36" s="192"/>
      <c r="LC36" s="194"/>
      <c r="LD36" s="194" t="str">
        <f t="shared" si="163"/>
        <v>2026//5/12</v>
      </c>
      <c r="LE36" s="200">
        <v>481107.7</v>
      </c>
      <c r="LF36" s="12">
        <f t="shared" si="164"/>
        <v>478657.7</v>
      </c>
      <c r="LG36" s="12">
        <f t="shared" si="165"/>
        <v>2450</v>
      </c>
      <c r="LH36" s="199">
        <f t="shared" si="166"/>
        <v>0.00511848028350949</v>
      </c>
      <c r="LI36" s="192"/>
      <c r="LJ36" s="192"/>
      <c r="LK36" s="194"/>
      <c r="LL36" s="194" t="str">
        <f t="shared" si="167"/>
        <v>2026//5/12</v>
      </c>
      <c r="LM36" s="198">
        <v>3559795.02</v>
      </c>
      <c r="LN36" s="12">
        <f t="shared" si="168"/>
        <v>3489415.02</v>
      </c>
      <c r="LO36" s="12">
        <f t="shared" si="169"/>
        <v>70380</v>
      </c>
      <c r="LP36" s="199">
        <f t="shared" si="170"/>
        <v>0.0201695698552934</v>
      </c>
      <c r="LQ36" s="192"/>
      <c r="LR36" s="192"/>
      <c r="LS36" s="194"/>
      <c r="LT36" s="194" t="str">
        <f t="shared" si="171"/>
        <v>2026//5/12</v>
      </c>
      <c r="LU36" s="200">
        <v>2456262.904</v>
      </c>
      <c r="LV36" s="12">
        <f t="shared" si="172"/>
        <v>2446062.904</v>
      </c>
      <c r="LW36" s="12">
        <f t="shared" si="173"/>
        <v>10200</v>
      </c>
      <c r="LX36" s="199">
        <f t="shared" si="174"/>
        <v>0.00416996635013766</v>
      </c>
      <c r="LY36" s="192"/>
      <c r="LZ36" s="192"/>
      <c r="MA36" s="194"/>
      <c r="MB36" s="194" t="str">
        <f t="shared" si="175"/>
        <v>2026//5/12</v>
      </c>
      <c r="MC36" s="200">
        <v>872217.69</v>
      </c>
      <c r="MD36" s="12">
        <f t="shared" si="176"/>
        <v>864117.69</v>
      </c>
      <c r="ME36" s="12">
        <f t="shared" si="177"/>
        <v>8100</v>
      </c>
      <c r="MF36" s="199">
        <f t="shared" si="178"/>
        <v>0.00937372315569654</v>
      </c>
      <c r="MG36" s="192"/>
      <c r="MH36" s="192"/>
      <c r="MK36" s="194" t="str">
        <f t="shared" si="179"/>
        <v>2026//5/12</v>
      </c>
      <c r="ML36">
        <v>207945.5354</v>
      </c>
      <c r="MM36" s="12">
        <f t="shared" si="180"/>
        <v>213705.5354</v>
      </c>
      <c r="MN36" s="12">
        <f t="shared" si="181"/>
        <v>-5760</v>
      </c>
      <c r="MO36" s="199">
        <f t="shared" si="182"/>
        <v>-0.026952975219939</v>
      </c>
      <c r="MP36" s="192"/>
      <c r="MQ36" s="201"/>
      <c r="MR36" s="201"/>
      <c r="MT36" s="194" t="str">
        <f t="shared" si="183"/>
        <v>2026//5/12</v>
      </c>
      <c r="MU36">
        <v>180914.8</v>
      </c>
      <c r="MV36" s="204">
        <f t="shared" si="184"/>
        <v>181814.8</v>
      </c>
      <c r="MW36" s="8">
        <f t="shared" si="185"/>
        <v>-900</v>
      </c>
      <c r="MX36" s="192">
        <f t="shared" si="186"/>
        <v>-0.00495009207171253</v>
      </c>
      <c r="MY36" s="192"/>
      <c r="MZ36" s="192"/>
      <c r="NA36" s="192"/>
      <c r="NC36" s="194" t="str">
        <f t="shared" si="187"/>
        <v>2026//5/12</v>
      </c>
      <c r="ND36">
        <v>42091.48</v>
      </c>
      <c r="NE36" s="204">
        <f t="shared" si="188"/>
        <v>42091.48</v>
      </c>
      <c r="NF36" s="8">
        <f t="shared" si="189"/>
        <v>0</v>
      </c>
      <c r="NG36" s="192">
        <f t="shared" si="190"/>
        <v>0</v>
      </c>
      <c r="NH36" s="192"/>
      <c r="NI36" s="192"/>
      <c r="NJ36" s="192"/>
      <c r="NK36" s="192"/>
      <c r="NM36" s="194" t="str">
        <f t="shared" si="191"/>
        <v>2026//5/12</v>
      </c>
      <c r="NN36">
        <v>2635211.08</v>
      </c>
      <c r="NO36" s="8">
        <f t="shared" si="192"/>
        <v>2629911.08</v>
      </c>
      <c r="NP36" s="210">
        <f t="shared" si="193"/>
        <v>5300</v>
      </c>
      <c r="NQ36" s="211">
        <f t="shared" si="194"/>
        <v>0.00201527726176963</v>
      </c>
      <c r="NR36" s="192"/>
      <c r="NT36" s="194"/>
      <c r="NU36" s="194" t="str">
        <f t="shared" si="195"/>
        <v>2026//5/12</v>
      </c>
      <c r="NV36">
        <v>259576.5</v>
      </c>
      <c r="NW36" s="205">
        <f t="shared" si="196"/>
        <v>259826.5</v>
      </c>
      <c r="NX36" s="210">
        <f t="shared" si="197"/>
        <v>-250</v>
      </c>
      <c r="NY36" s="211">
        <f t="shared" si="198"/>
        <v>-0.00096218053200886</v>
      </c>
      <c r="NZ36" s="201"/>
      <c r="OA36" s="200"/>
      <c r="OB36" s="194"/>
      <c r="OC36" s="194" t="str">
        <f t="shared" si="199"/>
        <v>2026//5/12</v>
      </c>
      <c r="OD36" s="200">
        <v>14653.97</v>
      </c>
      <c r="OE36" s="12">
        <f t="shared" si="200"/>
        <v>14587.97</v>
      </c>
      <c r="OF36" s="12">
        <f t="shared" si="201"/>
        <v>66</v>
      </c>
      <c r="OG36" s="199">
        <f t="shared" si="202"/>
        <v>0.00452427582453213</v>
      </c>
      <c r="OH36" s="192"/>
      <c r="OI36" s="192"/>
      <c r="OJ36" s="194"/>
      <c r="OK36" s="194" t="str">
        <f t="shared" si="203"/>
        <v>2026//5/12</v>
      </c>
      <c r="OL36" s="200">
        <v>13715.65</v>
      </c>
      <c r="OM36" s="12">
        <f t="shared" si="204"/>
        <v>13816.65</v>
      </c>
      <c r="ON36" s="12">
        <f t="shared" si="205"/>
        <v>-101</v>
      </c>
      <c r="OO36" s="199">
        <f t="shared" si="206"/>
        <v>-0.0073100208806042</v>
      </c>
      <c r="OP36" s="192"/>
      <c r="OQ36" s="192"/>
      <c r="OT36" s="234" t="str">
        <f t="shared" si="207"/>
        <v>2026//5/12</v>
      </c>
      <c r="OU36" s="206">
        <v>146832.4066</v>
      </c>
      <c r="OV36" s="8">
        <f t="shared" si="208"/>
        <v>146712.4066</v>
      </c>
      <c r="OW36" s="191">
        <f t="shared" si="209"/>
        <v>120</v>
      </c>
      <c r="OX36" s="192">
        <f t="shared" si="210"/>
        <v>0.00081792673694714</v>
      </c>
    </row>
    <row r="37" s="8" customFormat="1" ht="17" customHeight="1" spans="1:414">
      <c r="A37" s="15"/>
      <c r="B37" s="15"/>
      <c r="C37" s="108" t="s">
        <v>463</v>
      </c>
      <c r="D37" s="207">
        <v>3394578.77</v>
      </c>
      <c r="E37" s="19">
        <f t="shared" si="8"/>
        <v>3526968.77</v>
      </c>
      <c r="F37" s="19">
        <f t="shared" si="9"/>
        <v>-132390</v>
      </c>
      <c r="G37" s="172">
        <f t="shared" si="10"/>
        <v>-0.0375364820709768</v>
      </c>
      <c r="H37" s="18"/>
      <c r="I37" s="172"/>
      <c r="J37" s="172"/>
      <c r="K37" s="8" t="str">
        <f t="shared" si="11"/>
        <v>2026//5/11</v>
      </c>
      <c r="L37" s="19">
        <v>2743354.4</v>
      </c>
      <c r="M37" s="19">
        <f t="shared" si="12"/>
        <v>2821924.4</v>
      </c>
      <c r="N37" s="19">
        <f t="shared" si="13"/>
        <v>-78570</v>
      </c>
      <c r="O37" s="172">
        <f t="shared" si="14"/>
        <v>-0.027842701951902</v>
      </c>
      <c r="P37" s="18"/>
      <c r="Q37" s="172"/>
      <c r="R37" s="19"/>
      <c r="S37" s="8" t="str">
        <f t="shared" si="15"/>
        <v>2026//5/11</v>
      </c>
      <c r="T37" s="19">
        <v>1296066.68</v>
      </c>
      <c r="U37" s="19">
        <f t="shared" si="16"/>
        <v>1409646.68</v>
      </c>
      <c r="V37" s="19">
        <f t="shared" si="17"/>
        <v>-113580</v>
      </c>
      <c r="W37" s="172">
        <f t="shared" si="18"/>
        <v>-0.0805733816930637</v>
      </c>
      <c r="X37" s="18"/>
      <c r="Y37" s="172"/>
      <c r="Z37" s="19"/>
      <c r="AA37" s="8" t="str">
        <f t="shared" si="19"/>
        <v>2026//5/11</v>
      </c>
      <c r="AB37" s="19">
        <v>557816.86</v>
      </c>
      <c r="AC37" s="19">
        <f t="shared" si="20"/>
        <v>601416.86</v>
      </c>
      <c r="AD37" s="19">
        <f t="shared" si="21"/>
        <v>-43600</v>
      </c>
      <c r="AE37" s="172">
        <f t="shared" si="22"/>
        <v>-0.0724954734391716</v>
      </c>
      <c r="AF37" s="18"/>
      <c r="AG37" s="172"/>
      <c r="AH37" s="19"/>
      <c r="AI37" s="8" t="str">
        <f t="shared" si="23"/>
        <v>2026//5/11</v>
      </c>
      <c r="AJ37" s="19">
        <v>367521.76</v>
      </c>
      <c r="AK37" s="19">
        <f t="shared" si="24"/>
        <v>424121.76</v>
      </c>
      <c r="AL37" s="19">
        <f t="shared" si="25"/>
        <v>-56600</v>
      </c>
      <c r="AM37" s="172">
        <f t="shared" si="26"/>
        <v>-0.133452242582413</v>
      </c>
      <c r="AN37" s="18"/>
      <c r="AO37" s="18"/>
      <c r="AP37" s="19"/>
      <c r="AQ37" s="8" t="str">
        <f t="shared" si="27"/>
        <v>2026//5/11</v>
      </c>
      <c r="AR37" s="19">
        <v>1206745.4936</v>
      </c>
      <c r="AS37" s="19">
        <f t="shared" si="28"/>
        <v>1215445.4936</v>
      </c>
      <c r="AT37" s="19">
        <f t="shared" si="29"/>
        <v>-8700</v>
      </c>
      <c r="AU37" s="172">
        <f t="shared" si="30"/>
        <v>-0.00715786931278314</v>
      </c>
      <c r="AV37" s="18"/>
      <c r="AW37" s="18"/>
      <c r="AX37" s="17"/>
      <c r="AY37" s="17"/>
      <c r="AZ37" s="8" t="str">
        <f t="shared" si="31"/>
        <v>2026//5/11</v>
      </c>
      <c r="BA37" s="17">
        <v>1626771.6676</v>
      </c>
      <c r="BB37" s="129">
        <f t="shared" si="32"/>
        <v>1688781.6676</v>
      </c>
      <c r="BC37" s="17">
        <f t="shared" si="33"/>
        <v>-62010</v>
      </c>
      <c r="BD37" s="18">
        <f t="shared" si="34"/>
        <v>-0.0367187785074225</v>
      </c>
      <c r="BE37" s="18"/>
      <c r="BF37" s="18"/>
      <c r="BG37" s="74"/>
      <c r="BH37" s="194" t="str">
        <f t="shared" si="35"/>
        <v>2026//5/11</v>
      </c>
      <c r="BI37" s="194">
        <v>1572526.5525</v>
      </c>
      <c r="BJ37" s="195">
        <f t="shared" si="36"/>
        <v>1620226.5525</v>
      </c>
      <c r="BK37" s="195">
        <f t="shared" si="37"/>
        <v>-47700</v>
      </c>
      <c r="BL37" s="196">
        <f t="shared" si="38"/>
        <v>-0.0294403272964507</v>
      </c>
      <c r="BM37" s="197"/>
      <c r="BN37" s="192"/>
      <c r="BO37" s="194"/>
      <c r="BP37" s="194" t="str">
        <f t="shared" si="39"/>
        <v>2026//5/11</v>
      </c>
      <c r="BQ37" s="198">
        <v>1153962.3921</v>
      </c>
      <c r="BR37" s="12">
        <f t="shared" si="40"/>
        <v>1151962.3921</v>
      </c>
      <c r="BS37" s="12">
        <f t="shared" si="41"/>
        <v>2000</v>
      </c>
      <c r="BT37" s="199">
        <f t="shared" si="42"/>
        <v>0.0017361677896047</v>
      </c>
      <c r="BU37" s="192"/>
      <c r="BV37" s="192"/>
      <c r="BW37" s="194"/>
      <c r="BX37" s="194" t="str">
        <f t="shared" si="43"/>
        <v>2026//5/11</v>
      </c>
      <c r="BY37" s="200">
        <v>2926210.7019</v>
      </c>
      <c r="BZ37" s="12">
        <f t="shared" si="44"/>
        <v>2986510.7019</v>
      </c>
      <c r="CA37" s="12">
        <f t="shared" si="45"/>
        <v>-60300</v>
      </c>
      <c r="CB37" s="199">
        <f t="shared" si="46"/>
        <v>-0.0201907865127145</v>
      </c>
      <c r="CC37" s="192"/>
      <c r="CD37" s="201"/>
      <c r="CE37" s="194"/>
      <c r="CF37" s="194" t="str">
        <f t="shared" si="47"/>
        <v>2026//5/11</v>
      </c>
      <c r="CG37" s="200">
        <v>1331403.9</v>
      </c>
      <c r="CH37" s="12">
        <f t="shared" si="48"/>
        <v>1353303.9</v>
      </c>
      <c r="CI37" s="12">
        <f t="shared" si="49"/>
        <v>-21900</v>
      </c>
      <c r="CJ37" s="199">
        <f t="shared" si="50"/>
        <v>-0.0161826179618636</v>
      </c>
      <c r="CK37" s="192"/>
      <c r="CL37" s="201"/>
      <c r="CM37" s="194"/>
      <c r="CN37" s="194" t="str">
        <f t="shared" si="51"/>
        <v>2026//5/11</v>
      </c>
      <c r="CO37" s="200">
        <v>616246.48</v>
      </c>
      <c r="CP37" s="12">
        <f t="shared" si="52"/>
        <v>620146.48</v>
      </c>
      <c r="CQ37" s="12">
        <f t="shared" si="53"/>
        <v>-3900</v>
      </c>
      <c r="CR37" s="199">
        <f t="shared" si="54"/>
        <v>-0.00628883679223657</v>
      </c>
      <c r="CS37" s="201"/>
      <c r="CT37" s="201"/>
      <c r="CU37" s="194"/>
      <c r="CV37" s="194" t="str">
        <f t="shared" si="55"/>
        <v>2026//5/11</v>
      </c>
      <c r="CW37" s="200">
        <v>575890.4</v>
      </c>
      <c r="CX37" s="12">
        <f t="shared" si="56"/>
        <v>575190.4</v>
      </c>
      <c r="CY37" s="12">
        <f t="shared" si="57"/>
        <v>700</v>
      </c>
      <c r="CZ37" s="199">
        <f t="shared" si="58"/>
        <v>0.00121698832247548</v>
      </c>
      <c r="DA37" s="192"/>
      <c r="DB37" s="192"/>
      <c r="DC37" s="202"/>
      <c r="DD37" s="194" t="str">
        <f t="shared" si="59"/>
        <v>2026//5/11</v>
      </c>
      <c r="DE37" s="200">
        <v>1994717.9986</v>
      </c>
      <c r="DF37" s="12">
        <f t="shared" si="60"/>
        <v>2102517.9986</v>
      </c>
      <c r="DG37" s="12">
        <f t="shared" si="61"/>
        <v>-107800</v>
      </c>
      <c r="DH37" s="199">
        <f t="shared" si="62"/>
        <v>-0.0512718559706888</v>
      </c>
      <c r="DI37" s="192"/>
      <c r="DJ37" s="192"/>
      <c r="DK37" s="194"/>
      <c r="DL37" s="194" t="str">
        <f t="shared" si="63"/>
        <v>2026//5/11</v>
      </c>
      <c r="DM37" s="200">
        <v>995500.36</v>
      </c>
      <c r="DN37" s="12">
        <f t="shared" si="64"/>
        <v>1033300.36</v>
      </c>
      <c r="DO37" s="12">
        <f t="shared" si="65"/>
        <v>-37800</v>
      </c>
      <c r="DP37" s="199">
        <f t="shared" si="66"/>
        <v>-0.0365818124751258</v>
      </c>
      <c r="DQ37" s="192"/>
      <c r="DR37" s="192"/>
      <c r="DS37" s="194"/>
      <c r="DT37" s="194" t="str">
        <f t="shared" si="67"/>
        <v>2026//5/11</v>
      </c>
      <c r="DU37" s="200">
        <v>1399589.48</v>
      </c>
      <c r="DV37" s="12">
        <f t="shared" si="68"/>
        <v>1416089.48</v>
      </c>
      <c r="DW37" s="12">
        <f t="shared" si="69"/>
        <v>-16500</v>
      </c>
      <c r="DX37" s="199">
        <f t="shared" si="70"/>
        <v>-0.0116518060708989</v>
      </c>
      <c r="DY37" s="192"/>
      <c r="DZ37" s="192"/>
      <c r="EA37" s="194"/>
      <c r="EB37" s="194" t="str">
        <f t="shared" si="71"/>
        <v>2026//5/11</v>
      </c>
      <c r="EC37" s="200">
        <v>3899066.82</v>
      </c>
      <c r="ED37" s="12">
        <f t="shared" si="72"/>
        <v>4002566.82</v>
      </c>
      <c r="EE37" s="12">
        <f t="shared" si="73"/>
        <v>-103500</v>
      </c>
      <c r="EF37" s="199">
        <f t="shared" si="74"/>
        <v>-0.0258584065312369</v>
      </c>
      <c r="EG37" s="192"/>
      <c r="EH37" s="192"/>
      <c r="EI37" s="194"/>
      <c r="EJ37" s="194" t="str">
        <f t="shared" si="75"/>
        <v>2026//5/11</v>
      </c>
      <c r="EK37" s="200">
        <v>1251922.9669</v>
      </c>
      <c r="EL37" s="12">
        <f t="shared" si="76"/>
        <v>1279722.9669</v>
      </c>
      <c r="EM37" s="12">
        <f t="shared" si="77"/>
        <v>-27800</v>
      </c>
      <c r="EN37" s="199">
        <f t="shared" si="78"/>
        <v>-0.021723451652464</v>
      </c>
      <c r="EO37" s="192"/>
      <c r="EP37" s="192"/>
      <c r="EQ37" s="194"/>
      <c r="ER37" s="194" t="str">
        <f t="shared" si="79"/>
        <v>2026//5/11</v>
      </c>
      <c r="ES37">
        <v>416147.02</v>
      </c>
      <c r="ET37" s="12">
        <f t="shared" si="80"/>
        <v>418697.02</v>
      </c>
      <c r="EU37" s="12">
        <f t="shared" si="81"/>
        <v>-2550</v>
      </c>
      <c r="EV37" s="199">
        <f t="shared" si="82"/>
        <v>-0.00609032278280844</v>
      </c>
      <c r="EW37" s="192"/>
      <c r="EX37" s="192"/>
      <c r="EY37" s="194"/>
      <c r="EZ37" s="194" t="str">
        <f t="shared" si="83"/>
        <v>2026//5/11</v>
      </c>
      <c r="FA37" s="200">
        <v>704308</v>
      </c>
      <c r="FB37" s="12">
        <f t="shared" si="84"/>
        <v>705008</v>
      </c>
      <c r="FC37" s="12">
        <f t="shared" si="85"/>
        <v>-700</v>
      </c>
      <c r="FD37" s="199">
        <f t="shared" si="86"/>
        <v>-0.00099289653450741</v>
      </c>
      <c r="FE37" s="192"/>
      <c r="FF37" s="192"/>
      <c r="FG37" s="192"/>
      <c r="FH37" s="194" t="str">
        <f t="shared" si="87"/>
        <v>2026//5/11</v>
      </c>
      <c r="FI37" s="198">
        <v>1319595.3365</v>
      </c>
      <c r="FJ37" s="12">
        <f t="shared" si="88"/>
        <v>1329195.3365</v>
      </c>
      <c r="FK37" s="12">
        <f t="shared" si="89"/>
        <v>-9600</v>
      </c>
      <c r="FL37" s="199">
        <f t="shared" si="90"/>
        <v>-0.00722241474701412</v>
      </c>
      <c r="FM37" s="201"/>
      <c r="FN37" s="201"/>
      <c r="FO37" s="194"/>
      <c r="FP37" s="194" t="str">
        <f t="shared" si="91"/>
        <v>2026//5/11</v>
      </c>
      <c r="FQ37" s="200">
        <v>1872268.73</v>
      </c>
      <c r="FR37" s="12">
        <f t="shared" si="92"/>
        <v>1928518.73</v>
      </c>
      <c r="FS37" s="12">
        <f t="shared" si="93"/>
        <v>-56250</v>
      </c>
      <c r="FT37" s="199">
        <f t="shared" si="94"/>
        <v>-0.0291674636730129</v>
      </c>
      <c r="FU37" s="192"/>
      <c r="FV37" s="192"/>
      <c r="FW37" s="194"/>
      <c r="FX37" s="194" t="str">
        <f t="shared" si="95"/>
        <v>2026//5/11</v>
      </c>
      <c r="FY37" s="200">
        <v>8072182.05</v>
      </c>
      <c r="FZ37" s="12">
        <f t="shared" si="96"/>
        <v>8091582.05</v>
      </c>
      <c r="GA37" s="12">
        <f t="shared" si="97"/>
        <v>-19400</v>
      </c>
      <c r="GB37" s="199">
        <f t="shared" si="98"/>
        <v>-0.00239755339315876</v>
      </c>
      <c r="GC37" s="192"/>
      <c r="GD37" s="192"/>
      <c r="GE37" s="194"/>
      <c r="GF37" s="194" t="str">
        <f t="shared" si="99"/>
        <v>2026//5/11</v>
      </c>
      <c r="GG37" s="200">
        <v>4698169.49</v>
      </c>
      <c r="GH37" s="12">
        <f t="shared" si="100"/>
        <v>4699169.49</v>
      </c>
      <c r="GI37" s="12">
        <f t="shared" si="101"/>
        <v>-1000</v>
      </c>
      <c r="GJ37" s="199">
        <f t="shared" si="102"/>
        <v>-0.000212803560741539</v>
      </c>
      <c r="GK37" s="192"/>
      <c r="GL37" s="192"/>
      <c r="GM37" s="194"/>
      <c r="GN37" s="194" t="str">
        <f t="shared" si="103"/>
        <v>2026//5/11</v>
      </c>
      <c r="GO37" s="200">
        <v>1844818.1217</v>
      </c>
      <c r="GP37" s="12">
        <f t="shared" si="104"/>
        <v>1840558.1217</v>
      </c>
      <c r="GQ37" s="12">
        <f t="shared" si="105"/>
        <v>4260</v>
      </c>
      <c r="GR37" s="199">
        <f t="shared" si="106"/>
        <v>0.00231451533628578</v>
      </c>
      <c r="GS37" s="192"/>
      <c r="GT37" s="192"/>
      <c r="GU37" s="194"/>
      <c r="GV37" s="194" t="str">
        <f t="shared" si="107"/>
        <v>2026//5/11</v>
      </c>
      <c r="GW37" s="200">
        <v>901349.4</v>
      </c>
      <c r="GX37" s="12">
        <f t="shared" si="108"/>
        <v>903349.4</v>
      </c>
      <c r="GY37" s="12">
        <f t="shared" si="109"/>
        <v>-2000</v>
      </c>
      <c r="GZ37" s="199">
        <f t="shared" si="110"/>
        <v>-0.00221398276237301</v>
      </c>
      <c r="HA37" s="192"/>
      <c r="HB37" s="192"/>
      <c r="HC37" s="194"/>
      <c r="HD37" s="194" t="str">
        <f t="shared" si="111"/>
        <v>2026//5/11</v>
      </c>
      <c r="HE37" s="200">
        <v>1346064.6746</v>
      </c>
      <c r="HF37" s="12">
        <f t="shared" si="112"/>
        <v>1356564.6746</v>
      </c>
      <c r="HG37" s="12">
        <f t="shared" si="113"/>
        <v>-10500</v>
      </c>
      <c r="HH37" s="199">
        <f t="shared" si="114"/>
        <v>-0.00774013963108398</v>
      </c>
      <c r="HI37" s="201"/>
      <c r="HJ37" s="192"/>
      <c r="HK37" s="194"/>
      <c r="HL37" s="194" t="str">
        <f t="shared" si="115"/>
        <v>2026//5/11</v>
      </c>
      <c r="HM37" s="200">
        <v>142654.25</v>
      </c>
      <c r="HN37" s="208">
        <f t="shared" si="116"/>
        <v>142904.25</v>
      </c>
      <c r="HO37" s="208">
        <f t="shared" si="117"/>
        <v>-250</v>
      </c>
      <c r="HP37" s="209">
        <f t="shared" si="118"/>
        <v>-0.00174942312772363</v>
      </c>
      <c r="HQ37" s="192"/>
      <c r="HR37" s="192"/>
      <c r="HS37" s="194"/>
      <c r="HT37" s="194" t="str">
        <f t="shared" si="119"/>
        <v>2026//5/11</v>
      </c>
      <c r="HU37" s="200">
        <v>203868.8265</v>
      </c>
      <c r="HV37" s="12">
        <f t="shared" si="120"/>
        <v>199368.8265</v>
      </c>
      <c r="HW37" s="12">
        <f t="shared" si="121"/>
        <v>4500</v>
      </c>
      <c r="HX37" s="199">
        <f t="shared" si="122"/>
        <v>0.022571231816926</v>
      </c>
      <c r="HY37" s="192"/>
      <c r="HZ37" s="192"/>
      <c r="IA37" s="194"/>
      <c r="IB37" s="194" t="str">
        <f t="shared" si="123"/>
        <v>2026//5/11</v>
      </c>
      <c r="IC37" s="200">
        <v>374259.79</v>
      </c>
      <c r="ID37" s="12">
        <f t="shared" si="124"/>
        <v>358384.79</v>
      </c>
      <c r="IE37" s="12">
        <f t="shared" si="125"/>
        <v>15875</v>
      </c>
      <c r="IF37" s="199">
        <f t="shared" si="126"/>
        <v>0.0442959646808672</v>
      </c>
      <c r="IG37" s="201"/>
      <c r="IH37" s="192"/>
      <c r="II37" s="194"/>
      <c r="IJ37" s="194" t="str">
        <f t="shared" si="127"/>
        <v>2026//5/11</v>
      </c>
      <c r="IK37" s="200">
        <v>631996.29</v>
      </c>
      <c r="IL37" s="12">
        <f t="shared" si="128"/>
        <v>628076.29</v>
      </c>
      <c r="IM37" s="12">
        <f t="shared" si="129"/>
        <v>3920</v>
      </c>
      <c r="IN37" s="199">
        <f t="shared" si="130"/>
        <v>0.00624128002029817</v>
      </c>
      <c r="IO37" s="192"/>
      <c r="IP37" s="192"/>
      <c r="IQ37" s="194"/>
      <c r="IR37" s="194" t="str">
        <f t="shared" si="131"/>
        <v>2026//5/11</v>
      </c>
      <c r="IS37" s="200">
        <v>141589</v>
      </c>
      <c r="IT37" s="12">
        <f t="shared" si="132"/>
        <v>142489</v>
      </c>
      <c r="IU37" s="12">
        <f t="shared" si="133"/>
        <v>-900</v>
      </c>
      <c r="IV37" s="199">
        <f t="shared" si="134"/>
        <v>-0.00631627704594741</v>
      </c>
      <c r="IW37" s="192"/>
      <c r="IX37" s="192"/>
      <c r="IY37" s="194"/>
      <c r="IZ37" s="194" t="str">
        <f t="shared" si="135"/>
        <v>2026//5/11</v>
      </c>
      <c r="JA37" s="200">
        <v>5111829.15</v>
      </c>
      <c r="JB37" s="12">
        <f t="shared" si="136"/>
        <v>5098129.15</v>
      </c>
      <c r="JC37" s="12">
        <f t="shared" si="137"/>
        <v>13700</v>
      </c>
      <c r="JD37" s="199">
        <f t="shared" si="138"/>
        <v>0.00268726028645233</v>
      </c>
      <c r="JE37" s="192"/>
      <c r="JF37" s="192"/>
      <c r="JG37" s="194"/>
      <c r="JH37" s="194" t="str">
        <f t="shared" si="139"/>
        <v>2026//5/11</v>
      </c>
      <c r="JI37" s="200">
        <v>1304187.99</v>
      </c>
      <c r="JJ37" s="12">
        <f t="shared" si="140"/>
        <v>1320687.99</v>
      </c>
      <c r="JK37" s="12">
        <f t="shared" si="141"/>
        <v>-16500</v>
      </c>
      <c r="JL37" s="199">
        <f t="shared" si="142"/>
        <v>-0.0124934883370901</v>
      </c>
      <c r="JM37" s="192"/>
      <c r="JN37" s="192"/>
      <c r="JO37" s="192"/>
      <c r="JP37" s="194" t="str">
        <f t="shared" si="143"/>
        <v>2026//5/11</v>
      </c>
      <c r="JQ37" s="200">
        <v>1056790.4148</v>
      </c>
      <c r="JR37" s="12">
        <f t="shared" si="144"/>
        <v>1062990.4148</v>
      </c>
      <c r="JS37" s="12">
        <f t="shared" si="145"/>
        <v>-6200</v>
      </c>
      <c r="JT37" s="199">
        <f t="shared" si="146"/>
        <v>-0.00583260198180293</v>
      </c>
      <c r="JU37" s="192"/>
      <c r="JV37" s="192"/>
      <c r="JW37" s="201"/>
      <c r="JX37" s="194" t="str">
        <f t="shared" si="147"/>
        <v>2026//5/11</v>
      </c>
      <c r="JY37" s="200">
        <v>1173248.8</v>
      </c>
      <c r="JZ37" s="12">
        <f t="shared" si="148"/>
        <v>1171148.8</v>
      </c>
      <c r="KA37" s="12">
        <f t="shared" si="149"/>
        <v>2100</v>
      </c>
      <c r="KB37" s="199">
        <f t="shared" si="150"/>
        <v>0.00179311117425898</v>
      </c>
      <c r="KC37" s="192"/>
      <c r="KD37" s="192"/>
      <c r="KE37" s="201"/>
      <c r="KF37" s="194" t="str">
        <f t="shared" si="151"/>
        <v>2026//5/11</v>
      </c>
      <c r="KG37" s="200">
        <v>721755.9219</v>
      </c>
      <c r="KH37" s="12">
        <f t="shared" si="152"/>
        <v>723755.9219</v>
      </c>
      <c r="KI37" s="12">
        <f t="shared" si="153"/>
        <v>-2000</v>
      </c>
      <c r="KJ37" s="199">
        <f t="shared" si="154"/>
        <v>-0.00276336253629485</v>
      </c>
      <c r="KK37" s="201"/>
      <c r="KL37" s="201"/>
      <c r="KM37" s="194"/>
      <c r="KN37" s="194" t="str">
        <f t="shared" si="155"/>
        <v>2026//5/11</v>
      </c>
      <c r="KO37" s="200">
        <v>8328775.95</v>
      </c>
      <c r="KP37" s="12">
        <f t="shared" si="156"/>
        <v>8328775.95</v>
      </c>
      <c r="KQ37" s="12">
        <f t="shared" si="157"/>
        <v>0</v>
      </c>
      <c r="KR37" s="199">
        <f t="shared" si="158"/>
        <v>0</v>
      </c>
      <c r="KS37" s="192"/>
      <c r="KT37" s="192"/>
      <c r="KU37" s="194"/>
      <c r="KV37" s="194" t="str">
        <f t="shared" si="159"/>
        <v>2026//5/11</v>
      </c>
      <c r="KW37" s="200">
        <v>1047772.9726</v>
      </c>
      <c r="KX37" s="12">
        <f t="shared" si="160"/>
        <v>1053972.9726</v>
      </c>
      <c r="KY37" s="12">
        <f t="shared" si="161"/>
        <v>-6200</v>
      </c>
      <c r="KZ37" s="199">
        <f t="shared" si="162"/>
        <v>-0.00588250378442389</v>
      </c>
      <c r="LA37" s="201"/>
      <c r="LB37" s="192"/>
      <c r="LC37" s="194"/>
      <c r="LD37" s="194" t="str">
        <f t="shared" si="163"/>
        <v>2026//5/11</v>
      </c>
      <c r="LE37" s="200">
        <v>478657.7</v>
      </c>
      <c r="LF37" s="12">
        <f t="shared" si="164"/>
        <v>467507.7</v>
      </c>
      <c r="LG37" s="12">
        <f t="shared" si="165"/>
        <v>11150</v>
      </c>
      <c r="LH37" s="199">
        <f t="shared" si="166"/>
        <v>0.0238498745582158</v>
      </c>
      <c r="LI37" s="192"/>
      <c r="LJ37" s="192"/>
      <c r="LK37" s="194"/>
      <c r="LL37" s="194" t="str">
        <f t="shared" si="167"/>
        <v>2026//5/11</v>
      </c>
      <c r="LM37" s="198">
        <v>3489415.02</v>
      </c>
      <c r="LN37" s="12">
        <f t="shared" si="168"/>
        <v>3481855.02</v>
      </c>
      <c r="LO37" s="12">
        <f t="shared" si="169"/>
        <v>7560</v>
      </c>
      <c r="LP37" s="199">
        <f t="shared" si="170"/>
        <v>0.00217125640113528</v>
      </c>
      <c r="LQ37" s="192"/>
      <c r="LR37" s="192"/>
      <c r="LS37" s="194"/>
      <c r="LT37" s="194" t="str">
        <f t="shared" si="171"/>
        <v>2026//5/11</v>
      </c>
      <c r="LU37" s="200">
        <v>2446062.904</v>
      </c>
      <c r="LV37" s="12">
        <f t="shared" si="172"/>
        <v>2460662.904</v>
      </c>
      <c r="LW37" s="12">
        <f t="shared" si="173"/>
        <v>-14600</v>
      </c>
      <c r="LX37" s="199">
        <f t="shared" si="174"/>
        <v>-0.00593336046813505</v>
      </c>
      <c r="LY37" s="192"/>
      <c r="LZ37" s="192"/>
      <c r="MA37" s="194"/>
      <c r="MB37" s="194" t="str">
        <f t="shared" si="175"/>
        <v>2026//5/11</v>
      </c>
      <c r="MC37" s="200">
        <v>864117.69</v>
      </c>
      <c r="MD37" s="12">
        <f t="shared" si="176"/>
        <v>857317.69</v>
      </c>
      <c r="ME37" s="12">
        <f t="shared" si="177"/>
        <v>6800</v>
      </c>
      <c r="MF37" s="199">
        <f t="shared" si="178"/>
        <v>0.0079317154881057</v>
      </c>
      <c r="MG37" s="192"/>
      <c r="MH37" s="192"/>
      <c r="MK37" s="194" t="str">
        <f t="shared" si="179"/>
        <v>2026//5/11</v>
      </c>
      <c r="ML37">
        <v>213705.5354</v>
      </c>
      <c r="MM37" s="12">
        <f t="shared" si="180"/>
        <v>220065.5354</v>
      </c>
      <c r="MN37" s="12">
        <f t="shared" si="181"/>
        <v>-6360</v>
      </c>
      <c r="MO37" s="199">
        <f t="shared" si="182"/>
        <v>-0.0289004817971147</v>
      </c>
      <c r="MP37" s="192"/>
      <c r="MQ37" s="201"/>
      <c r="MR37" s="201"/>
      <c r="MT37" s="194" t="str">
        <f t="shared" si="183"/>
        <v>2026//5/11</v>
      </c>
      <c r="MU37">
        <v>181814.8</v>
      </c>
      <c r="MV37" s="204">
        <f t="shared" si="184"/>
        <v>184814.8</v>
      </c>
      <c r="MW37" s="8">
        <f t="shared" si="185"/>
        <v>-3000</v>
      </c>
      <c r="MX37" s="192">
        <f t="shared" si="186"/>
        <v>-0.0162324662310594</v>
      </c>
      <c r="MY37" s="192"/>
      <c r="MZ37" s="192"/>
      <c r="NA37" s="192"/>
      <c r="NC37" s="194" t="str">
        <f t="shared" si="187"/>
        <v>2026//5/11</v>
      </c>
      <c r="ND37">
        <v>42091.48</v>
      </c>
      <c r="NE37" s="204">
        <f t="shared" si="188"/>
        <v>42291.48</v>
      </c>
      <c r="NF37" s="8">
        <f t="shared" si="189"/>
        <v>-200</v>
      </c>
      <c r="NG37" s="192">
        <f t="shared" si="190"/>
        <v>-0.00472908491261124</v>
      </c>
      <c r="NH37" s="192"/>
      <c r="NI37" s="192"/>
      <c r="NJ37" s="192"/>
      <c r="NK37" s="192"/>
      <c r="NM37" s="194" t="str">
        <f t="shared" si="191"/>
        <v>2026//5/11</v>
      </c>
      <c r="NN37">
        <v>2629911.08</v>
      </c>
      <c r="NO37" s="8">
        <f t="shared" si="192"/>
        <v>2606011.08</v>
      </c>
      <c r="NP37" s="210">
        <f t="shared" si="193"/>
        <v>23900</v>
      </c>
      <c r="NQ37" s="211">
        <f t="shared" si="194"/>
        <v>0.00917110452193473</v>
      </c>
      <c r="NR37" s="192"/>
      <c r="NT37" s="194"/>
      <c r="NU37" s="194" t="str">
        <f t="shared" si="195"/>
        <v>2026//5/11</v>
      </c>
      <c r="NV37">
        <v>259826.5</v>
      </c>
      <c r="NW37" s="205">
        <f t="shared" si="196"/>
        <v>260376.5</v>
      </c>
      <c r="NX37" s="210">
        <f t="shared" si="197"/>
        <v>-550</v>
      </c>
      <c r="NY37" s="211">
        <f t="shared" si="198"/>
        <v>-0.00211232580513218</v>
      </c>
      <c r="NZ37" s="201"/>
      <c r="OA37" s="200"/>
      <c r="OB37" s="194"/>
      <c r="OC37" s="194" t="str">
        <f t="shared" si="199"/>
        <v>2026//5/11</v>
      </c>
      <c r="OD37" s="200">
        <v>14587.97</v>
      </c>
      <c r="OE37" s="12">
        <f t="shared" si="200"/>
        <v>14550.97</v>
      </c>
      <c r="OF37" s="12">
        <f t="shared" si="201"/>
        <v>37</v>
      </c>
      <c r="OG37" s="199">
        <f t="shared" si="202"/>
        <v>0.00254278580740665</v>
      </c>
      <c r="OH37" s="192"/>
      <c r="OI37" s="192"/>
      <c r="OJ37" s="194"/>
      <c r="OK37" s="194" t="str">
        <f t="shared" si="203"/>
        <v>2026//5/11</v>
      </c>
      <c r="OL37" s="200">
        <v>13816.65</v>
      </c>
      <c r="OM37" s="12">
        <f t="shared" si="204"/>
        <v>13909.65</v>
      </c>
      <c r="ON37" s="12">
        <f t="shared" si="205"/>
        <v>-93</v>
      </c>
      <c r="OO37" s="199">
        <f t="shared" si="206"/>
        <v>-0.00668600575859206</v>
      </c>
      <c r="OP37" s="192"/>
      <c r="OQ37" s="192"/>
      <c r="OT37" s="234" t="str">
        <f t="shared" si="207"/>
        <v>2026//5/11</v>
      </c>
      <c r="OU37" s="206">
        <v>146712.4066</v>
      </c>
      <c r="OV37" s="8">
        <f t="shared" si="208"/>
        <v>146592.4066</v>
      </c>
      <c r="OW37" s="191">
        <f t="shared" si="209"/>
        <v>120</v>
      </c>
      <c r="OX37" s="192">
        <f t="shared" si="210"/>
        <v>0.000818596288738465</v>
      </c>
    </row>
    <row r="38" s="9" customFormat="1" ht="17" customHeight="1" spans="1:414">
      <c r="A38" s="212"/>
      <c r="B38" s="212"/>
      <c r="C38" s="212" t="s">
        <v>464</v>
      </c>
      <c r="D38" s="213">
        <v>3526968.77</v>
      </c>
      <c r="E38" s="214">
        <f t="shared" si="8"/>
        <v>3615618.77</v>
      </c>
      <c r="F38" s="214">
        <f t="shared" si="9"/>
        <v>-88650</v>
      </c>
      <c r="G38" s="215">
        <f t="shared" si="10"/>
        <v>-0.024518624788531</v>
      </c>
      <c r="H38" s="216">
        <f>(D38-D41)/D41</f>
        <v>-0.0768206170171547</v>
      </c>
      <c r="I38" s="215"/>
      <c r="J38" s="215"/>
      <c r="K38" s="9" t="str">
        <f t="shared" si="11"/>
        <v>2026//5/8</v>
      </c>
      <c r="L38" s="214">
        <v>2821924.4</v>
      </c>
      <c r="M38" s="214">
        <f t="shared" si="12"/>
        <v>2872594.4</v>
      </c>
      <c r="N38" s="214">
        <f t="shared" si="13"/>
        <v>-50670</v>
      </c>
      <c r="O38" s="215">
        <f t="shared" si="14"/>
        <v>-0.0176391070037594</v>
      </c>
      <c r="P38" s="216">
        <f>(L38-L41)/L41</f>
        <v>-0.0496473228231794</v>
      </c>
      <c r="Q38" s="215"/>
      <c r="R38" s="214"/>
      <c r="S38" s="9" t="str">
        <f t="shared" si="15"/>
        <v>2026//5/8</v>
      </c>
      <c r="T38" s="214">
        <v>1409646.68</v>
      </c>
      <c r="U38" s="214">
        <f t="shared" si="16"/>
        <v>1536906.68</v>
      </c>
      <c r="V38" s="214">
        <f t="shared" si="17"/>
        <v>-127260</v>
      </c>
      <c r="W38" s="215">
        <f t="shared" si="18"/>
        <v>-0.082802685196215</v>
      </c>
      <c r="X38" s="216">
        <f>(T38-T41)/T41</f>
        <v>-0.182091236650791</v>
      </c>
      <c r="Y38" s="215"/>
      <c r="Z38" s="214"/>
      <c r="AA38" s="9" t="str">
        <f t="shared" si="19"/>
        <v>2026//5/8</v>
      </c>
      <c r="AB38" s="214">
        <v>601416.86</v>
      </c>
      <c r="AC38" s="214">
        <f t="shared" si="20"/>
        <v>681576.86</v>
      </c>
      <c r="AD38" s="214">
        <f t="shared" si="21"/>
        <v>-80160</v>
      </c>
      <c r="AE38" s="215">
        <f t="shared" si="22"/>
        <v>-0.117609626594424</v>
      </c>
      <c r="AF38" s="216">
        <f>(AB38-AB41)/AB41</f>
        <v>-0.195597750550968</v>
      </c>
      <c r="AG38" s="215"/>
      <c r="AH38" s="214"/>
      <c r="AI38" s="9" t="str">
        <f t="shared" si="23"/>
        <v>2026//5/8</v>
      </c>
      <c r="AJ38" s="214">
        <v>424121.76</v>
      </c>
      <c r="AK38" s="214">
        <f t="shared" si="24"/>
        <v>463121.76</v>
      </c>
      <c r="AL38" s="214">
        <f t="shared" si="25"/>
        <v>-39000</v>
      </c>
      <c r="AM38" s="215">
        <f t="shared" si="26"/>
        <v>-0.084211115452662</v>
      </c>
      <c r="AN38" s="216">
        <f>(AJ38-AJ41)/AJ41</f>
        <v>-0.0185133005104857</v>
      </c>
      <c r="AO38" s="216"/>
      <c r="AP38" s="214"/>
      <c r="AQ38" s="9" t="str">
        <f t="shared" si="27"/>
        <v>2026//5/8</v>
      </c>
      <c r="AR38" s="214">
        <v>1215445.4936</v>
      </c>
      <c r="AS38" s="214">
        <f t="shared" si="28"/>
        <v>1206645.4936</v>
      </c>
      <c r="AT38" s="214">
        <f t="shared" si="29"/>
        <v>8800</v>
      </c>
      <c r="AU38" s="215">
        <f t="shared" si="30"/>
        <v>0.00729294564698153</v>
      </c>
      <c r="AV38" s="216">
        <f>(AR38-AR41)/AR41</f>
        <v>-0.0205488477386901</v>
      </c>
      <c r="AW38" s="216"/>
      <c r="AX38" s="217"/>
      <c r="AY38" s="217"/>
      <c r="AZ38" s="9" t="str">
        <f t="shared" si="31"/>
        <v>2026//5/8</v>
      </c>
      <c r="BA38" s="217">
        <v>1688781.6676</v>
      </c>
      <c r="BB38" s="218">
        <f t="shared" si="32"/>
        <v>1729191.6676</v>
      </c>
      <c r="BC38" s="217">
        <f t="shared" si="33"/>
        <v>-40410</v>
      </c>
      <c r="BD38" s="216">
        <f t="shared" si="34"/>
        <v>-0.0233693006721958</v>
      </c>
      <c r="BE38" s="216">
        <f>(BA38-BA41)/BA41</f>
        <v>-0.0593536049004247</v>
      </c>
      <c r="BF38" s="216"/>
      <c r="BG38" s="219"/>
      <c r="BH38" s="220" t="str">
        <f t="shared" si="35"/>
        <v>2026//5/8</v>
      </c>
      <c r="BI38" s="220">
        <v>1620226.5525</v>
      </c>
      <c r="BJ38" s="221">
        <f t="shared" si="36"/>
        <v>1653326.5525</v>
      </c>
      <c r="BK38" s="221">
        <f t="shared" si="37"/>
        <v>-33100</v>
      </c>
      <c r="BL38" s="222">
        <f t="shared" si="38"/>
        <v>-0.0200202433995567</v>
      </c>
      <c r="BM38" s="223">
        <f>(BI38-BI41)/BI41</f>
        <v>-0.0456492830873599</v>
      </c>
      <c r="BN38" s="224"/>
      <c r="BO38" s="220"/>
      <c r="BP38" s="220" t="str">
        <f t="shared" si="39"/>
        <v>2026//5/8</v>
      </c>
      <c r="BQ38" s="225">
        <v>1151962.3921</v>
      </c>
      <c r="BR38" s="13">
        <f t="shared" si="40"/>
        <v>1125562.3921</v>
      </c>
      <c r="BS38" s="13">
        <f t="shared" si="41"/>
        <v>26400</v>
      </c>
      <c r="BT38" s="226">
        <f t="shared" si="42"/>
        <v>0.0234549414455334</v>
      </c>
      <c r="BU38" s="224">
        <f>(BQ38-BQ41)/BQ41</f>
        <v>0.0224557064985927</v>
      </c>
      <c r="BV38" s="224"/>
      <c r="BW38" s="220"/>
      <c r="BX38" s="220" t="str">
        <f t="shared" si="43"/>
        <v>2026//5/8</v>
      </c>
      <c r="BY38" s="227">
        <v>2986510.7019</v>
      </c>
      <c r="BZ38" s="13">
        <f t="shared" si="44"/>
        <v>2993160.7019</v>
      </c>
      <c r="CA38" s="13">
        <f t="shared" si="45"/>
        <v>-6650</v>
      </c>
      <c r="CB38" s="226">
        <f t="shared" si="46"/>
        <v>-0.00222173169512038</v>
      </c>
      <c r="CC38" s="224">
        <f>(BY38-BY41)/BY41</f>
        <v>0.00117331124483419</v>
      </c>
      <c r="CD38" s="228"/>
      <c r="CE38" s="220"/>
      <c r="CF38" s="220" t="str">
        <f t="shared" si="47"/>
        <v>2026//5/8</v>
      </c>
      <c r="CG38" s="227">
        <v>1353303.9</v>
      </c>
      <c r="CH38" s="13">
        <f t="shared" si="48"/>
        <v>1342603.9</v>
      </c>
      <c r="CI38" s="13">
        <f t="shared" si="49"/>
        <v>10700</v>
      </c>
      <c r="CJ38" s="226">
        <f t="shared" si="50"/>
        <v>0.00796958805199359</v>
      </c>
      <c r="CK38" s="224">
        <f>(CG38-CG41)/CG41</f>
        <v>0.023753617793245</v>
      </c>
      <c r="CL38" s="228"/>
      <c r="CM38" s="220"/>
      <c r="CN38" s="220" t="str">
        <f t="shared" si="51"/>
        <v>2026//5/8</v>
      </c>
      <c r="CO38" s="227">
        <v>620146.48</v>
      </c>
      <c r="CP38" s="13">
        <f t="shared" si="52"/>
        <v>625746.48</v>
      </c>
      <c r="CQ38" s="13">
        <f t="shared" si="53"/>
        <v>-5600</v>
      </c>
      <c r="CR38" s="226">
        <f t="shared" si="54"/>
        <v>-0.00894931122904599</v>
      </c>
      <c r="CS38" s="228">
        <f>(CO38-CO41)/CO41</f>
        <v>-0.0233090511817626</v>
      </c>
      <c r="CT38" s="228"/>
      <c r="CU38" s="220"/>
      <c r="CV38" s="220" t="str">
        <f t="shared" si="55"/>
        <v>2026//5/8</v>
      </c>
      <c r="CW38" s="227">
        <v>575190.4</v>
      </c>
      <c r="CX38" s="13">
        <f t="shared" si="56"/>
        <v>560190.4</v>
      </c>
      <c r="CY38" s="13">
        <f t="shared" si="57"/>
        <v>15000</v>
      </c>
      <c r="CZ38" s="226">
        <f t="shared" si="58"/>
        <v>0.0267766102382333</v>
      </c>
      <c r="DA38" s="224">
        <f>(CW38-CW41)/CW41</f>
        <v>0.0341609635836936</v>
      </c>
      <c r="DB38" s="224"/>
      <c r="DC38" s="229"/>
      <c r="DD38" s="220" t="str">
        <f t="shared" si="59"/>
        <v>2026//5/8</v>
      </c>
      <c r="DE38" s="227">
        <v>2102517.9986</v>
      </c>
      <c r="DF38" s="13">
        <f t="shared" si="60"/>
        <v>2149717.9986</v>
      </c>
      <c r="DG38" s="13">
        <f t="shared" si="61"/>
        <v>-47200</v>
      </c>
      <c r="DH38" s="226">
        <f t="shared" si="62"/>
        <v>-0.0219563682449228</v>
      </c>
      <c r="DI38" s="224">
        <f>(DE38-DE41)/DE41</f>
        <v>-0.0506610774242705</v>
      </c>
      <c r="DJ38" s="224"/>
      <c r="DK38" s="220"/>
      <c r="DL38" s="220" t="str">
        <f t="shared" si="63"/>
        <v>2026//5/8</v>
      </c>
      <c r="DM38" s="227">
        <v>1033300.36</v>
      </c>
      <c r="DN38" s="13">
        <f t="shared" si="64"/>
        <v>1036500.36</v>
      </c>
      <c r="DO38" s="13">
        <f t="shared" si="65"/>
        <v>-3200</v>
      </c>
      <c r="DP38" s="226">
        <f t="shared" si="66"/>
        <v>-0.00308731200054769</v>
      </c>
      <c r="DQ38" s="224">
        <f>(DM38-DM41)/DM41</f>
        <v>-0.0356509446249744</v>
      </c>
      <c r="DR38" s="224"/>
      <c r="DS38" s="220"/>
      <c r="DT38" s="220" t="str">
        <f t="shared" si="67"/>
        <v>2026//5/8</v>
      </c>
      <c r="DU38" s="227">
        <v>1416089.48</v>
      </c>
      <c r="DV38" s="13">
        <f t="shared" si="68"/>
        <v>1399289.48</v>
      </c>
      <c r="DW38" s="13">
        <f t="shared" si="69"/>
        <v>16800</v>
      </c>
      <c r="DX38" s="226">
        <f t="shared" si="70"/>
        <v>0.012006093263847</v>
      </c>
      <c r="DY38" s="224">
        <f>(DU38-DU41)/DU41</f>
        <v>0.0124402165375549</v>
      </c>
      <c r="DZ38" s="224"/>
      <c r="EA38" s="220"/>
      <c r="EB38" s="220" t="str">
        <f t="shared" si="71"/>
        <v>2026//5/8</v>
      </c>
      <c r="EC38" s="227">
        <v>4002566.82</v>
      </c>
      <c r="ED38" s="13">
        <f t="shared" si="72"/>
        <v>3984266.82</v>
      </c>
      <c r="EE38" s="13">
        <f t="shared" si="73"/>
        <v>18300</v>
      </c>
      <c r="EF38" s="226">
        <f t="shared" si="74"/>
        <v>0.00459306588307256</v>
      </c>
      <c r="EG38" s="224">
        <f>(EC38-EC41)/EC41</f>
        <v>-0.0453638392416013</v>
      </c>
      <c r="EH38" s="224"/>
      <c r="EI38" s="220"/>
      <c r="EJ38" s="220" t="str">
        <f t="shared" si="75"/>
        <v>2026//5/8</v>
      </c>
      <c r="EK38" s="227">
        <v>1279722.9669</v>
      </c>
      <c r="EL38" s="13">
        <f t="shared" si="76"/>
        <v>1283322.9669</v>
      </c>
      <c r="EM38" s="13">
        <f t="shared" si="77"/>
        <v>-3600</v>
      </c>
      <c r="EN38" s="226">
        <f t="shared" si="78"/>
        <v>-0.00280521746501286</v>
      </c>
      <c r="EO38" s="224">
        <f>(EK38-EK41)/EK41</f>
        <v>-0.0281000642732846</v>
      </c>
      <c r="EP38" s="224"/>
      <c r="EQ38" s="220"/>
      <c r="ER38" s="220" t="str">
        <f t="shared" si="79"/>
        <v>2026//5/8</v>
      </c>
      <c r="ES38" s="230">
        <v>418697.02</v>
      </c>
      <c r="ET38" s="13">
        <f t="shared" si="80"/>
        <v>420497.02</v>
      </c>
      <c r="EU38" s="13">
        <f t="shared" si="81"/>
        <v>-1800</v>
      </c>
      <c r="EV38" s="226">
        <f t="shared" si="82"/>
        <v>-0.00428064864764083</v>
      </c>
      <c r="EW38" s="224">
        <f>(ES38-ES41)/ES41</f>
        <v>-0.0325787825433733</v>
      </c>
      <c r="EX38" s="224"/>
      <c r="EY38" s="220"/>
      <c r="EZ38" s="220" t="str">
        <f t="shared" si="83"/>
        <v>2026//5/8</v>
      </c>
      <c r="FA38" s="227">
        <v>705008</v>
      </c>
      <c r="FB38" s="13">
        <f t="shared" si="84"/>
        <v>701308</v>
      </c>
      <c r="FC38" s="13">
        <f t="shared" si="85"/>
        <v>3700</v>
      </c>
      <c r="FD38" s="226">
        <f t="shared" si="86"/>
        <v>0.00527585597198378</v>
      </c>
      <c r="FE38" s="224">
        <f>(FA38-FA41)/FA41</f>
        <v>0.00786266919034521</v>
      </c>
      <c r="FF38" s="224"/>
      <c r="FG38" s="224"/>
      <c r="FH38" s="220" t="str">
        <f t="shared" si="87"/>
        <v>2026//5/8</v>
      </c>
      <c r="FI38" s="225">
        <v>1329195.3365</v>
      </c>
      <c r="FJ38" s="13">
        <f t="shared" si="88"/>
        <v>1299395.3365</v>
      </c>
      <c r="FK38" s="13">
        <f t="shared" si="89"/>
        <v>29800</v>
      </c>
      <c r="FL38" s="226">
        <f t="shared" si="90"/>
        <v>0.0229337439983955</v>
      </c>
      <c r="FM38" s="228">
        <f>(FI38-FI41)/FI41</f>
        <v>0.0403883753531531</v>
      </c>
      <c r="FN38" s="228"/>
      <c r="FO38" s="220"/>
      <c r="FP38" s="220" t="str">
        <f t="shared" si="91"/>
        <v>2026//5/8</v>
      </c>
      <c r="FQ38" s="227">
        <v>1928518.73</v>
      </c>
      <c r="FR38" s="13">
        <f t="shared" si="92"/>
        <v>1971268.73</v>
      </c>
      <c r="FS38" s="13">
        <f t="shared" si="93"/>
        <v>-42750</v>
      </c>
      <c r="FT38" s="226">
        <f t="shared" si="94"/>
        <v>-0.0216865409314335</v>
      </c>
      <c r="FU38" s="224">
        <f>(FQ38-FQ41)/FQ41</f>
        <v>-0.050584148952069</v>
      </c>
      <c r="FV38" s="224"/>
      <c r="FW38" s="220"/>
      <c r="FX38" s="220" t="str">
        <f t="shared" si="95"/>
        <v>2026//5/8</v>
      </c>
      <c r="FY38" s="227">
        <v>8091582.05</v>
      </c>
      <c r="FZ38" s="13">
        <f t="shared" si="96"/>
        <v>8112182.05</v>
      </c>
      <c r="GA38" s="13">
        <f t="shared" si="97"/>
        <v>-20600</v>
      </c>
      <c r="GB38" s="226">
        <f t="shared" si="98"/>
        <v>-0.00253939074259311</v>
      </c>
      <c r="GC38" s="224">
        <f>(FY38-FY41)/FY41</f>
        <v>-0.0142173477091957</v>
      </c>
      <c r="GD38" s="224"/>
      <c r="GE38" s="220"/>
      <c r="GF38" s="220" t="str">
        <f t="shared" si="99"/>
        <v>2026//5/8</v>
      </c>
      <c r="GG38" s="227">
        <v>4699169.49</v>
      </c>
      <c r="GH38" s="13">
        <f t="shared" si="100"/>
        <v>4670169.49</v>
      </c>
      <c r="GI38" s="13">
        <f t="shared" si="101"/>
        <v>29000</v>
      </c>
      <c r="GJ38" s="226">
        <f t="shared" si="102"/>
        <v>0.00620962473890857</v>
      </c>
      <c r="GK38" s="224">
        <f>(GG38-GG41)/GG41</f>
        <v>0.0138512238621014</v>
      </c>
      <c r="GL38" s="224"/>
      <c r="GM38" s="220"/>
      <c r="GN38" s="220" t="str">
        <f t="shared" si="103"/>
        <v>2026//5/8</v>
      </c>
      <c r="GO38" s="227">
        <v>1840558.1217</v>
      </c>
      <c r="GP38" s="13">
        <f t="shared" si="104"/>
        <v>1832458.1217</v>
      </c>
      <c r="GQ38" s="13">
        <f t="shared" si="105"/>
        <v>8100</v>
      </c>
      <c r="GR38" s="226">
        <f t="shared" si="106"/>
        <v>0.00442029201326877</v>
      </c>
      <c r="GS38" s="224">
        <f>(GO38-GO41)/GO41</f>
        <v>0.0113078282395926</v>
      </c>
      <c r="GT38" s="224"/>
      <c r="GU38" s="220"/>
      <c r="GV38" s="220" t="str">
        <f t="shared" si="107"/>
        <v>2026//5/8</v>
      </c>
      <c r="GW38" s="227">
        <v>903349.4</v>
      </c>
      <c r="GX38" s="13">
        <f t="shared" si="108"/>
        <v>904149.4</v>
      </c>
      <c r="GY38" s="13">
        <f t="shared" si="109"/>
        <v>-800</v>
      </c>
      <c r="GZ38" s="226">
        <f t="shared" si="110"/>
        <v>-0.00088480952373579</v>
      </c>
      <c r="HA38" s="224">
        <f>(GW38-GW41)/GW41</f>
        <v>0.0107412659521785</v>
      </c>
      <c r="HB38" s="224"/>
      <c r="HC38" s="220"/>
      <c r="HD38" s="220" t="str">
        <f t="shared" si="111"/>
        <v>2026//5/8</v>
      </c>
      <c r="HE38" s="227">
        <v>1356564.6746</v>
      </c>
      <c r="HF38" s="13">
        <f t="shared" si="112"/>
        <v>1359464.6746</v>
      </c>
      <c r="HG38" s="13">
        <f t="shared" si="113"/>
        <v>-2900</v>
      </c>
      <c r="HH38" s="226">
        <f t="shared" si="114"/>
        <v>-0.00213319261190312</v>
      </c>
      <c r="HI38" s="228">
        <f>(HE38-HE41)/HE41</f>
        <v>0.0311653245116711</v>
      </c>
      <c r="HJ38" s="224"/>
      <c r="HK38" s="220"/>
      <c r="HL38" s="220" t="str">
        <f t="shared" si="115"/>
        <v>2026//5/8</v>
      </c>
      <c r="HM38" s="227">
        <v>142904.25</v>
      </c>
      <c r="HN38" s="13">
        <f t="shared" si="116"/>
        <v>143604.25</v>
      </c>
      <c r="HO38" s="13">
        <f t="shared" si="117"/>
        <v>-700</v>
      </c>
      <c r="HP38" s="226">
        <f t="shared" si="118"/>
        <v>-0.00487450754417087</v>
      </c>
      <c r="HQ38" s="224">
        <f>(HM38-HM41)/HM41</f>
        <v>0.0328865936536102</v>
      </c>
      <c r="HR38" s="224"/>
      <c r="HS38" s="220"/>
      <c r="HT38" s="220" t="str">
        <f t="shared" si="119"/>
        <v>2026//5/8</v>
      </c>
      <c r="HU38" s="227">
        <v>199368.8265</v>
      </c>
      <c r="HV38" s="13">
        <f t="shared" si="120"/>
        <v>197168.8265</v>
      </c>
      <c r="HW38" s="13">
        <f t="shared" si="121"/>
        <v>2200</v>
      </c>
      <c r="HX38" s="226">
        <f t="shared" si="122"/>
        <v>0.0111579504684023</v>
      </c>
      <c r="HY38" s="224">
        <f>(HU38-HU41)/HU41</f>
        <v>-0.00200231441015148</v>
      </c>
      <c r="HZ38" s="224"/>
      <c r="IA38" s="220"/>
      <c r="IB38" s="220" t="str">
        <f t="shared" si="123"/>
        <v>2026//5/8</v>
      </c>
      <c r="IC38" s="227">
        <v>358384.79</v>
      </c>
      <c r="ID38" s="13">
        <f t="shared" si="124"/>
        <v>358509.79</v>
      </c>
      <c r="IE38" s="13">
        <f t="shared" si="125"/>
        <v>-125</v>
      </c>
      <c r="IF38" s="226">
        <f t="shared" si="126"/>
        <v>-0.000348665513429912</v>
      </c>
      <c r="IG38" s="228">
        <f>(IC38-IC41)/IC41</f>
        <v>0.000558371001739074</v>
      </c>
      <c r="IH38" s="224"/>
      <c r="II38" s="220"/>
      <c r="IJ38" s="220" t="str">
        <f t="shared" si="127"/>
        <v>2026//5/8</v>
      </c>
      <c r="IK38" s="227">
        <v>628076.29</v>
      </c>
      <c r="IL38" s="13">
        <f t="shared" si="128"/>
        <v>641516.29</v>
      </c>
      <c r="IM38" s="13">
        <f t="shared" si="129"/>
        <v>-13440</v>
      </c>
      <c r="IN38" s="226">
        <f t="shared" si="130"/>
        <v>-0.0209503643313563</v>
      </c>
      <c r="IO38" s="224">
        <f>(IK38-IK41)/IK41</f>
        <v>-0.00670550493013552</v>
      </c>
      <c r="IP38" s="224"/>
      <c r="IQ38" s="220"/>
      <c r="IR38" s="220" t="str">
        <f t="shared" si="131"/>
        <v>2026//5/8</v>
      </c>
      <c r="IS38" s="227">
        <v>142489</v>
      </c>
      <c r="IT38" s="13">
        <f t="shared" si="132"/>
        <v>137689</v>
      </c>
      <c r="IU38" s="13">
        <f t="shared" si="133"/>
        <v>4800</v>
      </c>
      <c r="IV38" s="226">
        <f t="shared" si="134"/>
        <v>0.0348611726426948</v>
      </c>
      <c r="IW38" s="224">
        <f>(IS38-IS41)/IS41</f>
        <v>0.0178585460286165</v>
      </c>
      <c r="IX38" s="224"/>
      <c r="IY38" s="220"/>
      <c r="IZ38" s="220" t="str">
        <f t="shared" si="135"/>
        <v>2026//5/8</v>
      </c>
      <c r="JA38" s="227">
        <v>5098129.15</v>
      </c>
      <c r="JB38" s="13">
        <f t="shared" si="136"/>
        <v>5095229.15</v>
      </c>
      <c r="JC38" s="13">
        <f t="shared" si="137"/>
        <v>2900</v>
      </c>
      <c r="JD38" s="226">
        <f t="shared" si="138"/>
        <v>0.00056915987772601</v>
      </c>
      <c r="JE38" s="224">
        <f>(JA38-JA41)/JA41</f>
        <v>0.0241877362893479</v>
      </c>
      <c r="JF38" s="224"/>
      <c r="JG38" s="220"/>
      <c r="JH38" s="220" t="str">
        <f t="shared" si="139"/>
        <v>2026//5/8</v>
      </c>
      <c r="JI38" s="227">
        <v>1320687.99</v>
      </c>
      <c r="JJ38" s="13">
        <f t="shared" si="140"/>
        <v>1314387.99</v>
      </c>
      <c r="JK38" s="13">
        <f t="shared" si="141"/>
        <v>6300</v>
      </c>
      <c r="JL38" s="226">
        <f t="shared" si="142"/>
        <v>0.00479310526871141</v>
      </c>
      <c r="JM38" s="224">
        <f>(JI38-JI41)/JI41</f>
        <v>-0.00479259231612264</v>
      </c>
      <c r="JN38" s="224"/>
      <c r="JO38" s="224"/>
      <c r="JP38" s="220" t="str">
        <f t="shared" si="143"/>
        <v>2026//5/8</v>
      </c>
      <c r="JQ38" s="227">
        <v>1062990.4148</v>
      </c>
      <c r="JR38" s="13">
        <f t="shared" si="144"/>
        <v>1061190.4148</v>
      </c>
      <c r="JS38" s="13">
        <f t="shared" si="145"/>
        <v>1800</v>
      </c>
      <c r="JT38" s="226">
        <f t="shared" si="146"/>
        <v>0.00169620830992828</v>
      </c>
      <c r="JU38" s="224">
        <f>(JQ38-JQ41)/JQ41</f>
        <v>0.0417487261563013</v>
      </c>
      <c r="JV38" s="224"/>
      <c r="JW38" s="228"/>
      <c r="JX38" s="220" t="str">
        <f t="shared" si="147"/>
        <v>2026//5/8</v>
      </c>
      <c r="JY38" s="227">
        <v>1171148.8</v>
      </c>
      <c r="JZ38" s="13">
        <f t="shared" si="148"/>
        <v>1170948.8</v>
      </c>
      <c r="KA38" s="13">
        <f t="shared" si="149"/>
        <v>200</v>
      </c>
      <c r="KB38" s="226">
        <f t="shared" si="150"/>
        <v>0.000170801661011993</v>
      </c>
      <c r="KC38" s="224">
        <f>(JY38-JY41)/JY41</f>
        <v>0.000170801661011993</v>
      </c>
      <c r="KD38" s="224"/>
      <c r="KE38" s="228"/>
      <c r="KF38" s="220" t="str">
        <f t="shared" si="151"/>
        <v>2026//5/8</v>
      </c>
      <c r="KG38" s="227">
        <v>723755.9219</v>
      </c>
      <c r="KH38" s="13">
        <f t="shared" si="152"/>
        <v>728155.9219</v>
      </c>
      <c r="KI38" s="13">
        <f t="shared" si="153"/>
        <v>-4400</v>
      </c>
      <c r="KJ38" s="226">
        <f t="shared" si="154"/>
        <v>-0.0060426618361064</v>
      </c>
      <c r="KK38" s="228">
        <f>(KG38-KG41)/KG41</f>
        <v>-0.0060426618361064</v>
      </c>
      <c r="KL38" s="228"/>
      <c r="KM38" s="220"/>
      <c r="KN38" s="220" t="str">
        <f t="shared" si="155"/>
        <v>2026//5/8</v>
      </c>
      <c r="KO38" s="227">
        <v>8328775.95</v>
      </c>
      <c r="KP38" s="13">
        <f t="shared" si="156"/>
        <v>8328775.95</v>
      </c>
      <c r="KQ38" s="13">
        <f t="shared" si="157"/>
        <v>0</v>
      </c>
      <c r="KR38" s="226">
        <f t="shared" si="158"/>
        <v>0</v>
      </c>
      <c r="KS38" s="224">
        <f>(KO38-KO41)/KO41</f>
        <v>0</v>
      </c>
      <c r="KT38" s="224"/>
      <c r="KU38" s="220"/>
      <c r="KV38" s="220" t="str">
        <f t="shared" si="159"/>
        <v>2026//5/8</v>
      </c>
      <c r="KW38" s="227">
        <v>1053972.9726</v>
      </c>
      <c r="KX38" s="13">
        <f t="shared" si="160"/>
        <v>1037872.9726</v>
      </c>
      <c r="KY38" s="13">
        <f t="shared" si="161"/>
        <v>16100</v>
      </c>
      <c r="KZ38" s="226">
        <f t="shared" si="162"/>
        <v>0.0155124956762941</v>
      </c>
      <c r="LA38" s="228">
        <f>(KW38-KW41)/KW41</f>
        <v>0.0206260845060873</v>
      </c>
      <c r="LB38" s="224"/>
      <c r="LC38" s="220"/>
      <c r="LD38" s="220" t="str">
        <f t="shared" si="163"/>
        <v>2026//5/8</v>
      </c>
      <c r="LE38" s="227">
        <v>467507.7</v>
      </c>
      <c r="LF38" s="13">
        <f t="shared" si="164"/>
        <v>469957.7</v>
      </c>
      <c r="LG38" s="13">
        <f t="shared" si="165"/>
        <v>-2450</v>
      </c>
      <c r="LH38" s="226">
        <f t="shared" si="166"/>
        <v>-0.00521323514861018</v>
      </c>
      <c r="LI38" s="224">
        <f>(LE38-LE41)/LE41</f>
        <v>-0.00900886196452119</v>
      </c>
      <c r="LJ38" s="224"/>
      <c r="LK38" s="220"/>
      <c r="LL38" s="220" t="str">
        <f t="shared" si="167"/>
        <v>2026//5/8</v>
      </c>
      <c r="LM38" s="225">
        <v>3481855.02</v>
      </c>
      <c r="LN38" s="13">
        <f t="shared" si="168"/>
        <v>3504355.02</v>
      </c>
      <c r="LO38" s="13">
        <f t="shared" si="169"/>
        <v>-22500</v>
      </c>
      <c r="LP38" s="226">
        <f t="shared" si="170"/>
        <v>-0.00642058235298318</v>
      </c>
      <c r="LQ38" s="224">
        <f>(LM38-LM41)/LM41</f>
        <v>0.00530100372426694</v>
      </c>
      <c r="LR38" s="224"/>
      <c r="LS38" s="220"/>
      <c r="LT38" s="220" t="str">
        <f t="shared" si="171"/>
        <v>2026//5/8</v>
      </c>
      <c r="LU38" s="227">
        <v>2460662.904</v>
      </c>
      <c r="LV38" s="13">
        <f t="shared" si="172"/>
        <v>2472262.904</v>
      </c>
      <c r="LW38" s="13">
        <f t="shared" si="173"/>
        <v>-11600</v>
      </c>
      <c r="LX38" s="226">
        <f t="shared" si="174"/>
        <v>-0.00469205762106925</v>
      </c>
      <c r="LY38" s="224">
        <f>(LU38-LU41)/LU41</f>
        <v>-0.00646030591170029</v>
      </c>
      <c r="LZ38" s="224"/>
      <c r="MA38" s="220"/>
      <c r="MB38" s="220" t="str">
        <f t="shared" si="175"/>
        <v>2026//5/8</v>
      </c>
      <c r="MC38" s="227">
        <v>857317.69</v>
      </c>
      <c r="MD38" s="13">
        <f t="shared" si="176"/>
        <v>861217.69</v>
      </c>
      <c r="ME38" s="13">
        <f t="shared" si="177"/>
        <v>-3900</v>
      </c>
      <c r="MF38" s="226">
        <f t="shared" si="178"/>
        <v>-0.0045284717734955</v>
      </c>
      <c r="MG38" s="224">
        <f>(MC38-MC41)/MC41</f>
        <v>0.028060323315602</v>
      </c>
      <c r="MH38" s="224"/>
      <c r="MK38" s="220" t="str">
        <f t="shared" si="179"/>
        <v>2026//5/8</v>
      </c>
      <c r="ML38" s="230">
        <v>220065.5354</v>
      </c>
      <c r="MM38" s="13">
        <f t="shared" si="180"/>
        <v>220785.5354</v>
      </c>
      <c r="MN38" s="13">
        <f t="shared" si="181"/>
        <v>-720</v>
      </c>
      <c r="MO38" s="226">
        <f t="shared" si="182"/>
        <v>-0.00326108319865958</v>
      </c>
      <c r="MP38" s="224">
        <f>(ML38-ML41)/ML41</f>
        <v>0.0149428894250064</v>
      </c>
      <c r="MQ38" s="228"/>
      <c r="MR38" s="228"/>
      <c r="MT38" s="220" t="str">
        <f t="shared" si="183"/>
        <v>2026//5/8</v>
      </c>
      <c r="MU38" s="230">
        <v>184814.8</v>
      </c>
      <c r="MV38" s="231">
        <f t="shared" si="184"/>
        <v>189114.8</v>
      </c>
      <c r="MW38" s="9">
        <f t="shared" si="185"/>
        <v>-4300</v>
      </c>
      <c r="MX38" s="224">
        <f t="shared" si="186"/>
        <v>-0.0227375118182184</v>
      </c>
      <c r="MY38" s="224">
        <f>(MU38-MU41)/MU41</f>
        <v>-0.0905445863195004</v>
      </c>
      <c r="MZ38" s="224"/>
      <c r="NA38" s="224"/>
      <c r="NC38" s="220" t="str">
        <f t="shared" si="187"/>
        <v>2026//5/8</v>
      </c>
      <c r="ND38" s="230">
        <v>42291.48</v>
      </c>
      <c r="NE38" s="231">
        <f t="shared" si="188"/>
        <v>42091.48</v>
      </c>
      <c r="NF38" s="9">
        <f t="shared" si="189"/>
        <v>200</v>
      </c>
      <c r="NG38" s="224">
        <f t="shared" si="190"/>
        <v>0.00475155542166728</v>
      </c>
      <c r="NH38" s="224">
        <f>(ND38-ND41)/ND41</f>
        <v>0.0242180711371934</v>
      </c>
      <c r="NI38" s="224"/>
      <c r="NJ38" s="224"/>
      <c r="NK38" s="224"/>
      <c r="NM38" s="220" t="str">
        <f t="shared" si="191"/>
        <v>2026//5/8</v>
      </c>
      <c r="NN38" s="230">
        <v>2606011.08</v>
      </c>
      <c r="NO38" s="9">
        <f t="shared" si="192"/>
        <v>2597611.08</v>
      </c>
      <c r="NP38" s="9">
        <f t="shared" si="193"/>
        <v>8400</v>
      </c>
      <c r="NQ38" s="224">
        <f t="shared" si="194"/>
        <v>0.00323374044123649</v>
      </c>
      <c r="NR38" s="224">
        <f>(NN38-NN41)/NN41</f>
        <v>0.0197213106463758</v>
      </c>
      <c r="NT38" s="220"/>
      <c r="NU38" s="220" t="str">
        <f t="shared" si="195"/>
        <v>2026//5/8</v>
      </c>
      <c r="NV38" s="230">
        <v>260376.5</v>
      </c>
      <c r="NW38" s="232">
        <f t="shared" si="196"/>
        <v>262526.5</v>
      </c>
      <c r="NX38" s="9">
        <f t="shared" si="197"/>
        <v>-2150</v>
      </c>
      <c r="NY38" s="224">
        <f t="shared" si="198"/>
        <v>-0.00818964942586748</v>
      </c>
      <c r="NZ38" s="228">
        <f>(NV38-NV41)/NV41</f>
        <v>-0.00686560389661163</v>
      </c>
      <c r="OA38" s="227"/>
      <c r="OB38" s="220"/>
      <c r="OC38" s="220" t="str">
        <f t="shared" si="199"/>
        <v>2026//5/8</v>
      </c>
      <c r="OD38" s="227">
        <v>14550.97</v>
      </c>
      <c r="OE38" s="13">
        <f t="shared" si="200"/>
        <v>14630.97</v>
      </c>
      <c r="OF38" s="13">
        <f t="shared" si="201"/>
        <v>-80</v>
      </c>
      <c r="OG38" s="226">
        <f t="shared" si="202"/>
        <v>-0.00546785346426108</v>
      </c>
      <c r="OH38" s="224">
        <f>(OD38-OD41)/OD41</f>
        <v>0.00110079346568999</v>
      </c>
      <c r="OI38" s="224"/>
      <c r="OJ38" s="220"/>
      <c r="OK38" s="220" t="str">
        <f t="shared" si="203"/>
        <v>2026//5/8</v>
      </c>
      <c r="OL38" s="227">
        <v>13909.65</v>
      </c>
      <c r="OM38" s="13">
        <f t="shared" si="204"/>
        <v>14042.65</v>
      </c>
      <c r="ON38" s="13">
        <f t="shared" si="205"/>
        <v>-133</v>
      </c>
      <c r="OO38" s="226">
        <f t="shared" si="206"/>
        <v>-0.0094711468276999</v>
      </c>
      <c r="OP38" s="224">
        <f>(OL38-OL41)/OL41</f>
        <v>-0.0094711468276999</v>
      </c>
      <c r="OQ38" s="224"/>
      <c r="OT38" s="234" t="str">
        <f t="shared" si="207"/>
        <v>2026//5/8</v>
      </c>
      <c r="OU38" s="206">
        <v>146592.4066</v>
      </c>
      <c r="OV38" s="8">
        <f t="shared" si="208"/>
        <v>146472.4066</v>
      </c>
      <c r="OW38" s="191">
        <f t="shared" si="209"/>
        <v>120</v>
      </c>
      <c r="OX38" s="192">
        <f t="shared" si="210"/>
        <v>0.000819266937613081</v>
      </c>
    </row>
    <row r="39" s="8" customFormat="1" ht="17" customHeight="1" spans="1:414">
      <c r="A39" s="15"/>
      <c r="B39" s="15"/>
      <c r="C39" s="108" t="s">
        <v>465</v>
      </c>
      <c r="D39" s="207">
        <v>3615618.77</v>
      </c>
      <c r="E39" s="19">
        <f t="shared" si="8"/>
        <v>3793278.77</v>
      </c>
      <c r="F39" s="19">
        <f t="shared" si="9"/>
        <v>-177660</v>
      </c>
      <c r="G39" s="172">
        <f t="shared" si="10"/>
        <v>-0.0468354715727893</v>
      </c>
      <c r="H39" s="18"/>
      <c r="I39" s="172"/>
      <c r="J39" s="172"/>
      <c r="K39" s="8" t="str">
        <f t="shared" si="11"/>
        <v>2026//5/7</v>
      </c>
      <c r="L39" s="19">
        <v>2872594.4</v>
      </c>
      <c r="M39" s="19">
        <f t="shared" si="12"/>
        <v>2919844.4</v>
      </c>
      <c r="N39" s="19">
        <f t="shared" si="13"/>
        <v>-47250</v>
      </c>
      <c r="O39" s="172">
        <f t="shared" si="14"/>
        <v>-0.0161823691700832</v>
      </c>
      <c r="P39" s="18"/>
      <c r="Q39" s="172"/>
      <c r="R39" s="19"/>
      <c r="S39" s="8" t="str">
        <f t="shared" si="15"/>
        <v>2026//5/7</v>
      </c>
      <c r="T39" s="19">
        <v>1536906.68</v>
      </c>
      <c r="U39" s="19">
        <f t="shared" si="16"/>
        <v>1632756.68</v>
      </c>
      <c r="V39" s="19">
        <f t="shared" si="17"/>
        <v>-95850</v>
      </c>
      <c r="W39" s="172">
        <f t="shared" si="18"/>
        <v>-0.0587043992372458</v>
      </c>
      <c r="X39" s="18"/>
      <c r="Y39" s="172"/>
      <c r="Z39" s="19"/>
      <c r="AA39" s="8" t="str">
        <f t="shared" si="19"/>
        <v>2026//5/7</v>
      </c>
      <c r="AB39" s="19">
        <v>681576.86</v>
      </c>
      <c r="AC39" s="19">
        <f t="shared" si="20"/>
        <v>756736.86</v>
      </c>
      <c r="AD39" s="19">
        <f t="shared" si="21"/>
        <v>-75160</v>
      </c>
      <c r="AE39" s="172">
        <f t="shared" si="22"/>
        <v>-0.0993211827952982</v>
      </c>
      <c r="AF39" s="18"/>
      <c r="AG39" s="172"/>
      <c r="AH39" s="19"/>
      <c r="AI39" s="8" t="str">
        <f t="shared" si="23"/>
        <v>2026//5/7</v>
      </c>
      <c r="AJ39" s="19">
        <v>463121.76</v>
      </c>
      <c r="AK39" s="19">
        <f t="shared" si="24"/>
        <v>474721.76</v>
      </c>
      <c r="AL39" s="19">
        <f t="shared" si="25"/>
        <v>-11600</v>
      </c>
      <c r="AM39" s="172">
        <f t="shared" si="26"/>
        <v>-0.0244353660973957</v>
      </c>
      <c r="AN39" s="18"/>
      <c r="AO39" s="18"/>
      <c r="AP39" s="19"/>
      <c r="AQ39" s="8" t="str">
        <f t="shared" si="27"/>
        <v>2026//5/7</v>
      </c>
      <c r="AR39" s="19">
        <v>1206645.4936</v>
      </c>
      <c r="AS39" s="19">
        <f t="shared" si="28"/>
        <v>1214345.4936</v>
      </c>
      <c r="AT39" s="19">
        <f t="shared" si="29"/>
        <v>-7700</v>
      </c>
      <c r="AU39" s="172">
        <f t="shared" si="30"/>
        <v>-0.00634086430968907</v>
      </c>
      <c r="AV39" s="18"/>
      <c r="AW39" s="18"/>
      <c r="AX39" s="17"/>
      <c r="AY39" s="17"/>
      <c r="AZ39" s="8" t="str">
        <f t="shared" si="31"/>
        <v>2026//5/7</v>
      </c>
      <c r="BA39" s="17">
        <v>1729191.6676</v>
      </c>
      <c r="BB39" s="129">
        <f t="shared" si="32"/>
        <v>1753221.6676</v>
      </c>
      <c r="BC39" s="17">
        <f t="shared" si="33"/>
        <v>-24030</v>
      </c>
      <c r="BD39" s="18">
        <f t="shared" si="34"/>
        <v>-0.0137061961097565</v>
      </c>
      <c r="BE39" s="18"/>
      <c r="BF39" s="18"/>
      <c r="BG39" s="74"/>
      <c r="BH39" s="194" t="str">
        <f t="shared" si="35"/>
        <v>2026//5/7</v>
      </c>
      <c r="BI39" s="194">
        <v>1653326.5525</v>
      </c>
      <c r="BJ39" s="195">
        <f t="shared" si="36"/>
        <v>1677526.5525</v>
      </c>
      <c r="BK39" s="195">
        <f t="shared" si="37"/>
        <v>-24200</v>
      </c>
      <c r="BL39" s="196">
        <f t="shared" si="38"/>
        <v>-0.0144260011645926</v>
      </c>
      <c r="BM39" s="197"/>
      <c r="BN39" s="192"/>
      <c r="BO39" s="194"/>
      <c r="BP39" s="194" t="str">
        <f t="shared" si="39"/>
        <v>2026//5/7</v>
      </c>
      <c r="BQ39" s="198">
        <v>1125562.3921</v>
      </c>
      <c r="BR39" s="12">
        <f t="shared" si="40"/>
        <v>1114962.3921</v>
      </c>
      <c r="BS39" s="12">
        <f t="shared" si="41"/>
        <v>10600</v>
      </c>
      <c r="BT39" s="199">
        <f t="shared" si="42"/>
        <v>0.00950704712114567</v>
      </c>
      <c r="BU39" s="192"/>
      <c r="BV39" s="192"/>
      <c r="BW39" s="194"/>
      <c r="BX39" s="194" t="str">
        <f t="shared" si="43"/>
        <v>2026//5/7</v>
      </c>
      <c r="BY39" s="200">
        <v>2993160.7019</v>
      </c>
      <c r="BZ39" s="12">
        <f t="shared" si="44"/>
        <v>3022210.7019</v>
      </c>
      <c r="CA39" s="12">
        <f t="shared" si="45"/>
        <v>-29050</v>
      </c>
      <c r="CB39" s="199">
        <f t="shared" si="46"/>
        <v>-0.00961216899329252</v>
      </c>
      <c r="CC39" s="192"/>
      <c r="CD39" s="201"/>
      <c r="CE39" s="194"/>
      <c r="CF39" s="194" t="str">
        <f t="shared" si="47"/>
        <v>2026//5/7</v>
      </c>
      <c r="CG39" s="200">
        <v>1342603.9</v>
      </c>
      <c r="CH39" s="12">
        <f t="shared" si="48"/>
        <v>1320653.9</v>
      </c>
      <c r="CI39" s="12">
        <f t="shared" si="49"/>
        <v>21950</v>
      </c>
      <c r="CJ39" s="199">
        <f t="shared" si="50"/>
        <v>0.016620554408691</v>
      </c>
      <c r="CK39" s="192"/>
      <c r="CL39" s="201"/>
      <c r="CM39" s="194"/>
      <c r="CN39" s="194" t="str">
        <f t="shared" si="51"/>
        <v>2026//5/7</v>
      </c>
      <c r="CO39" s="200">
        <v>625746.48</v>
      </c>
      <c r="CP39" s="12">
        <f t="shared" si="52"/>
        <v>631946.48</v>
      </c>
      <c r="CQ39" s="12">
        <f t="shared" si="53"/>
        <v>-6200</v>
      </c>
      <c r="CR39" s="199">
        <f t="shared" si="54"/>
        <v>-0.00981095740892488</v>
      </c>
      <c r="CS39" s="201"/>
      <c r="CT39" s="201"/>
      <c r="CU39" s="194"/>
      <c r="CV39" s="194" t="str">
        <f t="shared" si="55"/>
        <v>2026//5/7</v>
      </c>
      <c r="CW39" s="200">
        <v>560190.4</v>
      </c>
      <c r="CX39" s="12">
        <f t="shared" si="56"/>
        <v>555940.4</v>
      </c>
      <c r="CY39" s="12">
        <f t="shared" si="57"/>
        <v>4250</v>
      </c>
      <c r="CZ39" s="199">
        <f t="shared" si="58"/>
        <v>0.00764470436039547</v>
      </c>
      <c r="DA39" s="192"/>
      <c r="DB39" s="192"/>
      <c r="DC39" s="202"/>
      <c r="DD39" s="194" t="str">
        <f t="shared" si="59"/>
        <v>2026//5/7</v>
      </c>
      <c r="DE39" s="200">
        <v>2149717.9986</v>
      </c>
      <c r="DF39" s="12">
        <f t="shared" si="60"/>
        <v>2190717.9986</v>
      </c>
      <c r="DG39" s="12">
        <f t="shared" si="61"/>
        <v>-41000</v>
      </c>
      <c r="DH39" s="199">
        <f t="shared" si="62"/>
        <v>-0.0187153253071374</v>
      </c>
      <c r="DI39" s="192"/>
      <c r="DJ39" s="192"/>
      <c r="DK39" s="194"/>
      <c r="DL39" s="194" t="str">
        <f t="shared" si="63"/>
        <v>2026//5/7</v>
      </c>
      <c r="DM39" s="200">
        <v>1036500.36</v>
      </c>
      <c r="DN39" s="12">
        <f t="shared" si="64"/>
        <v>1043900.36</v>
      </c>
      <c r="DO39" s="12">
        <f t="shared" si="65"/>
        <v>-7400</v>
      </c>
      <c r="DP39" s="199">
        <f t="shared" si="66"/>
        <v>-0.00708879916470189</v>
      </c>
      <c r="DQ39" s="192"/>
      <c r="DR39" s="192"/>
      <c r="DS39" s="194"/>
      <c r="DT39" s="194" t="str">
        <f t="shared" si="67"/>
        <v>2026//5/7</v>
      </c>
      <c r="DU39" s="200">
        <v>1399289.48</v>
      </c>
      <c r="DV39" s="12">
        <f t="shared" si="68"/>
        <v>1392689.48</v>
      </c>
      <c r="DW39" s="12">
        <f t="shared" si="69"/>
        <v>6600</v>
      </c>
      <c r="DX39" s="199">
        <f t="shared" si="70"/>
        <v>0.00473903199153913</v>
      </c>
      <c r="DY39" s="192"/>
      <c r="DZ39" s="192"/>
      <c r="EA39" s="194"/>
      <c r="EB39" s="194" t="str">
        <f t="shared" si="71"/>
        <v>2026//5/7</v>
      </c>
      <c r="EC39" s="200">
        <v>3984266.82</v>
      </c>
      <c r="ED39" s="12">
        <f t="shared" si="72"/>
        <v>4025666.82</v>
      </c>
      <c r="EE39" s="12">
        <f t="shared" si="73"/>
        <v>-41400</v>
      </c>
      <c r="EF39" s="199">
        <f t="shared" si="74"/>
        <v>-0.0102840105381597</v>
      </c>
      <c r="EG39" s="192"/>
      <c r="EH39" s="192"/>
      <c r="EI39" s="194"/>
      <c r="EJ39" s="194" t="str">
        <f t="shared" si="75"/>
        <v>2026//5/7</v>
      </c>
      <c r="EK39" s="200">
        <v>1283322.9669</v>
      </c>
      <c r="EL39" s="12">
        <f t="shared" si="76"/>
        <v>1298122.9669</v>
      </c>
      <c r="EM39" s="12">
        <f t="shared" si="77"/>
        <v>-14800</v>
      </c>
      <c r="EN39" s="199">
        <f t="shared" si="78"/>
        <v>-0.0114010770761905</v>
      </c>
      <c r="EO39" s="192"/>
      <c r="EP39" s="192"/>
      <c r="EQ39" s="194"/>
      <c r="ER39" s="194" t="str">
        <f t="shared" si="79"/>
        <v>2026//5/7</v>
      </c>
      <c r="ES39">
        <v>420497.02</v>
      </c>
      <c r="ET39" s="12">
        <f t="shared" si="80"/>
        <v>426347.02</v>
      </c>
      <c r="EU39" s="12">
        <f t="shared" si="81"/>
        <v>-5850</v>
      </c>
      <c r="EV39" s="199">
        <f t="shared" si="82"/>
        <v>-0.0137212170499046</v>
      </c>
      <c r="EW39" s="192"/>
      <c r="EX39" s="192"/>
      <c r="EY39" s="194"/>
      <c r="EZ39" s="194" t="str">
        <f t="shared" si="83"/>
        <v>2026//5/7</v>
      </c>
      <c r="FA39" s="200">
        <v>701308</v>
      </c>
      <c r="FB39" s="12">
        <f t="shared" si="84"/>
        <v>705808</v>
      </c>
      <c r="FC39" s="12">
        <f t="shared" si="85"/>
        <v>-4500</v>
      </c>
      <c r="FD39" s="199">
        <f t="shared" si="86"/>
        <v>-0.00637567157073878</v>
      </c>
      <c r="FE39" s="192"/>
      <c r="FF39" s="192"/>
      <c r="FG39" s="192"/>
      <c r="FH39" s="194" t="str">
        <f t="shared" si="87"/>
        <v>2026//5/7</v>
      </c>
      <c r="FI39" s="198">
        <v>1299395.3365</v>
      </c>
      <c r="FJ39" s="12">
        <f t="shared" si="88"/>
        <v>1284195.3365</v>
      </c>
      <c r="FK39" s="12">
        <f t="shared" si="89"/>
        <v>15200</v>
      </c>
      <c r="FL39" s="199">
        <f t="shared" si="90"/>
        <v>0.0118362055740108</v>
      </c>
      <c r="FM39" s="201"/>
      <c r="FN39" s="201"/>
      <c r="FO39" s="194"/>
      <c r="FP39" s="194" t="str">
        <f t="shared" si="91"/>
        <v>2026//5/7</v>
      </c>
      <c r="FQ39" s="200">
        <v>1971268.73</v>
      </c>
      <c r="FR39" s="12">
        <f t="shared" si="92"/>
        <v>2021068.73</v>
      </c>
      <c r="FS39" s="12">
        <f t="shared" si="93"/>
        <v>-49800</v>
      </c>
      <c r="FT39" s="199">
        <f t="shared" si="94"/>
        <v>-0.0246404287300017</v>
      </c>
      <c r="FU39" s="192"/>
      <c r="FV39" s="192"/>
      <c r="FW39" s="194"/>
      <c r="FX39" s="194" t="str">
        <f t="shared" si="95"/>
        <v>2026//5/7</v>
      </c>
      <c r="FY39" s="200">
        <v>8112182.05</v>
      </c>
      <c r="FZ39" s="12">
        <f t="shared" si="96"/>
        <v>8140782.05</v>
      </c>
      <c r="GA39" s="12">
        <f t="shared" si="97"/>
        <v>-28600</v>
      </c>
      <c r="GB39" s="199">
        <f t="shared" si="98"/>
        <v>-0.00351317598534652</v>
      </c>
      <c r="GC39" s="192"/>
      <c r="GD39" s="192"/>
      <c r="GE39" s="194"/>
      <c r="GF39" s="194" t="str">
        <f t="shared" si="99"/>
        <v>2026//5/7</v>
      </c>
      <c r="GG39" s="200">
        <v>4670169.49</v>
      </c>
      <c r="GH39" s="12">
        <f t="shared" si="100"/>
        <v>4659369.49</v>
      </c>
      <c r="GI39" s="12">
        <f t="shared" si="101"/>
        <v>10800</v>
      </c>
      <c r="GJ39" s="199">
        <f t="shared" si="102"/>
        <v>0.0023179101857406</v>
      </c>
      <c r="GK39" s="192"/>
      <c r="GL39" s="192"/>
      <c r="GM39" s="194"/>
      <c r="GN39" s="194" t="str">
        <f t="shared" si="103"/>
        <v>2026//5/7</v>
      </c>
      <c r="GO39" s="200">
        <v>1832458.1217</v>
      </c>
      <c r="GP39" s="12">
        <f t="shared" si="104"/>
        <v>1834678.1217</v>
      </c>
      <c r="GQ39" s="12">
        <f t="shared" si="105"/>
        <v>-2220</v>
      </c>
      <c r="GR39" s="199">
        <f t="shared" si="106"/>
        <v>-0.00121002151480553</v>
      </c>
      <c r="GS39" s="192"/>
      <c r="GT39" s="192"/>
      <c r="GU39" s="194"/>
      <c r="GV39" s="194" t="str">
        <f t="shared" si="107"/>
        <v>2026//5/7</v>
      </c>
      <c r="GW39" s="200">
        <v>904149.4</v>
      </c>
      <c r="GX39" s="12">
        <f t="shared" si="108"/>
        <v>904549.4</v>
      </c>
      <c r="GY39" s="12">
        <f t="shared" si="109"/>
        <v>-400</v>
      </c>
      <c r="GZ39" s="199">
        <f t="shared" si="110"/>
        <v>-0.000442209126444614</v>
      </c>
      <c r="HA39" s="192"/>
      <c r="HB39" s="192"/>
      <c r="HC39" s="194"/>
      <c r="HD39" s="194" t="str">
        <f t="shared" si="111"/>
        <v>2026//5/7</v>
      </c>
      <c r="HE39" s="200">
        <v>1359464.6746</v>
      </c>
      <c r="HF39" s="12">
        <f t="shared" si="112"/>
        <v>1332364.6746</v>
      </c>
      <c r="HG39" s="12">
        <f t="shared" si="113"/>
        <v>27100</v>
      </c>
      <c r="HH39" s="199">
        <f t="shared" si="114"/>
        <v>0.0203397767267703</v>
      </c>
      <c r="HI39" s="201"/>
      <c r="HJ39" s="192"/>
      <c r="HK39" s="194"/>
      <c r="HL39" s="194" t="str">
        <f t="shared" si="115"/>
        <v>2026//5/7</v>
      </c>
      <c r="HM39" s="200">
        <v>143604.25</v>
      </c>
      <c r="HN39" s="208">
        <f t="shared" si="116"/>
        <v>138904.25</v>
      </c>
      <c r="HO39" s="208">
        <f t="shared" si="117"/>
        <v>4700</v>
      </c>
      <c r="HP39" s="209">
        <f t="shared" si="118"/>
        <v>0.0338362577098973</v>
      </c>
      <c r="HQ39" s="192"/>
      <c r="HR39" s="192"/>
      <c r="HS39" s="194"/>
      <c r="HT39" s="194" t="str">
        <f t="shared" si="119"/>
        <v>2026//5/7</v>
      </c>
      <c r="HU39" s="200">
        <v>197168.8265</v>
      </c>
      <c r="HV39" s="12">
        <f t="shared" si="120"/>
        <v>192868.8265</v>
      </c>
      <c r="HW39" s="12">
        <f t="shared" si="121"/>
        <v>4300</v>
      </c>
      <c r="HX39" s="199">
        <f t="shared" si="122"/>
        <v>0.0222949456272033</v>
      </c>
      <c r="HY39" s="192"/>
      <c r="HZ39" s="192"/>
      <c r="IA39" s="194"/>
      <c r="IB39" s="194" t="str">
        <f t="shared" si="123"/>
        <v>2026//5/7</v>
      </c>
      <c r="IC39" s="200">
        <v>358509.79</v>
      </c>
      <c r="ID39" s="12">
        <f t="shared" si="124"/>
        <v>357009.79</v>
      </c>
      <c r="IE39" s="12">
        <f t="shared" si="125"/>
        <v>1500</v>
      </c>
      <c r="IF39" s="199">
        <f t="shared" si="126"/>
        <v>0.00420156545286895</v>
      </c>
      <c r="IG39" s="201"/>
      <c r="IH39" s="192"/>
      <c r="II39" s="194"/>
      <c r="IJ39" s="194" t="str">
        <f t="shared" si="127"/>
        <v>2026//5/7</v>
      </c>
      <c r="IK39" s="200">
        <v>641516.29</v>
      </c>
      <c r="IL39" s="12">
        <f t="shared" si="128"/>
        <v>640796.29</v>
      </c>
      <c r="IM39" s="12">
        <f t="shared" si="129"/>
        <v>720</v>
      </c>
      <c r="IN39" s="199">
        <f t="shared" si="130"/>
        <v>0.00112360201086682</v>
      </c>
      <c r="IO39" s="192"/>
      <c r="IP39" s="192"/>
      <c r="IQ39" s="194"/>
      <c r="IR39" s="194" t="str">
        <f t="shared" si="131"/>
        <v>2026//5/7</v>
      </c>
      <c r="IS39" s="200">
        <v>137689</v>
      </c>
      <c r="IT39" s="12">
        <f t="shared" si="132"/>
        <v>138989</v>
      </c>
      <c r="IU39" s="12">
        <f t="shared" si="133"/>
        <v>-1300</v>
      </c>
      <c r="IV39" s="199">
        <f t="shared" si="134"/>
        <v>-0.00935325817150998</v>
      </c>
      <c r="IW39" s="192"/>
      <c r="IX39" s="192"/>
      <c r="IY39" s="194"/>
      <c r="IZ39" s="194" t="str">
        <f t="shared" si="135"/>
        <v>2026//5/7</v>
      </c>
      <c r="JA39" s="200">
        <v>5095229.15</v>
      </c>
      <c r="JB39" s="12">
        <f t="shared" si="136"/>
        <v>5026929.15</v>
      </c>
      <c r="JC39" s="12">
        <f t="shared" si="137"/>
        <v>68300</v>
      </c>
      <c r="JD39" s="199">
        <f t="shared" si="138"/>
        <v>0.0135868236774334</v>
      </c>
      <c r="JE39" s="192"/>
      <c r="JF39" s="192"/>
      <c r="JG39" s="194"/>
      <c r="JH39" s="194" t="str">
        <f t="shared" si="139"/>
        <v>2026//5/7</v>
      </c>
      <c r="JI39" s="200">
        <v>1314387.99</v>
      </c>
      <c r="JJ39" s="12">
        <f t="shared" si="140"/>
        <v>1320027.99</v>
      </c>
      <c r="JK39" s="12">
        <f t="shared" si="141"/>
        <v>-5640</v>
      </c>
      <c r="JL39" s="199">
        <f t="shared" si="142"/>
        <v>-0.00427263667340872</v>
      </c>
      <c r="JM39" s="192"/>
      <c r="JN39" s="192"/>
      <c r="JO39" s="192"/>
      <c r="JP39" s="194" t="str">
        <f t="shared" si="143"/>
        <v>2026//5/7</v>
      </c>
      <c r="JQ39" s="200">
        <v>1061190.4148</v>
      </c>
      <c r="JR39" s="12">
        <f t="shared" si="144"/>
        <v>1052190.4148</v>
      </c>
      <c r="JS39" s="12">
        <f t="shared" si="145"/>
        <v>9000</v>
      </c>
      <c r="JT39" s="199">
        <f t="shared" si="146"/>
        <v>0.00855358485822238</v>
      </c>
      <c r="JU39" s="192"/>
      <c r="JV39" s="192"/>
      <c r="JW39" s="201"/>
      <c r="JX39" s="194" t="str">
        <f t="shared" si="147"/>
        <v>2026//5/7</v>
      </c>
      <c r="JY39" s="200">
        <v>1170948.8</v>
      </c>
      <c r="JZ39" s="12">
        <f t="shared" si="148"/>
        <v>1170948.8</v>
      </c>
      <c r="KA39" s="12">
        <f t="shared" si="149"/>
        <v>0</v>
      </c>
      <c r="KB39" s="199">
        <f t="shared" si="150"/>
        <v>0</v>
      </c>
      <c r="KC39" s="192"/>
      <c r="KD39" s="192"/>
      <c r="KE39" s="201"/>
      <c r="KF39" s="194" t="str">
        <f t="shared" si="151"/>
        <v>2026//5/7</v>
      </c>
      <c r="KG39" s="200">
        <v>728155.9219</v>
      </c>
      <c r="KH39" s="12">
        <f t="shared" si="152"/>
        <v>728155.9219</v>
      </c>
      <c r="KI39" s="12">
        <f t="shared" si="153"/>
        <v>0</v>
      </c>
      <c r="KJ39" s="199">
        <f t="shared" si="154"/>
        <v>0</v>
      </c>
      <c r="KK39" s="201"/>
      <c r="KL39" s="201"/>
      <c r="KM39" s="194"/>
      <c r="KN39" s="194" t="str">
        <f t="shared" si="155"/>
        <v>2026//5/7</v>
      </c>
      <c r="KO39" s="200">
        <v>8328775.95</v>
      </c>
      <c r="KP39" s="12">
        <f t="shared" si="156"/>
        <v>8328775.95</v>
      </c>
      <c r="KQ39" s="12">
        <f t="shared" si="157"/>
        <v>0</v>
      </c>
      <c r="KR39" s="199">
        <f t="shared" si="158"/>
        <v>0</v>
      </c>
      <c r="KS39" s="192"/>
      <c r="KT39" s="192"/>
      <c r="KU39" s="194"/>
      <c r="KV39" s="194" t="str">
        <f t="shared" si="159"/>
        <v>2026//5/7</v>
      </c>
      <c r="KW39" s="200">
        <v>1037872.9726</v>
      </c>
      <c r="KX39" s="12">
        <f t="shared" si="160"/>
        <v>1037772.9726</v>
      </c>
      <c r="KY39" s="12">
        <f t="shared" si="161"/>
        <v>100</v>
      </c>
      <c r="KZ39" s="199">
        <f t="shared" si="162"/>
        <v>9.63601892131219e-5</v>
      </c>
      <c r="LA39" s="201"/>
      <c r="LB39" s="192"/>
      <c r="LC39" s="194"/>
      <c r="LD39" s="194" t="str">
        <f t="shared" si="163"/>
        <v>2026//5/7</v>
      </c>
      <c r="LE39" s="200">
        <v>469957.7</v>
      </c>
      <c r="LF39" s="12">
        <f t="shared" si="164"/>
        <v>472807.7</v>
      </c>
      <c r="LG39" s="12">
        <f t="shared" si="165"/>
        <v>-2850</v>
      </c>
      <c r="LH39" s="199">
        <f t="shared" si="166"/>
        <v>-0.00602782061290457</v>
      </c>
      <c r="LI39" s="192"/>
      <c r="LJ39" s="192"/>
      <c r="LK39" s="194"/>
      <c r="LL39" s="194" t="str">
        <f t="shared" si="167"/>
        <v>2026//5/7</v>
      </c>
      <c r="LM39" s="198">
        <v>3504355.02</v>
      </c>
      <c r="LN39" s="12">
        <f t="shared" si="168"/>
        <v>3523255.02</v>
      </c>
      <c r="LO39" s="12">
        <f t="shared" si="169"/>
        <v>-18900</v>
      </c>
      <c r="LP39" s="199">
        <f t="shared" si="170"/>
        <v>-0.00536435764448297</v>
      </c>
      <c r="LQ39" s="192"/>
      <c r="LR39" s="192"/>
      <c r="LS39" s="194"/>
      <c r="LT39" s="194" t="str">
        <f t="shared" si="171"/>
        <v>2026//5/7</v>
      </c>
      <c r="LU39" s="200">
        <v>2472262.904</v>
      </c>
      <c r="LV39" s="12">
        <f t="shared" si="172"/>
        <v>2475062.904</v>
      </c>
      <c r="LW39" s="12">
        <f t="shared" si="173"/>
        <v>-2800</v>
      </c>
      <c r="LX39" s="199">
        <f t="shared" si="174"/>
        <v>-0.00113128437886361</v>
      </c>
      <c r="LY39" s="192"/>
      <c r="LZ39" s="192"/>
      <c r="MA39" s="194"/>
      <c r="MB39" s="194" t="str">
        <f t="shared" si="175"/>
        <v>2026//5/7</v>
      </c>
      <c r="MC39" s="200">
        <v>861217.69</v>
      </c>
      <c r="MD39" s="12">
        <f t="shared" si="176"/>
        <v>861767.69</v>
      </c>
      <c r="ME39" s="12">
        <f t="shared" si="177"/>
        <v>-550</v>
      </c>
      <c r="MF39" s="199">
        <f t="shared" si="178"/>
        <v>-0.000638223045934804</v>
      </c>
      <c r="MG39" s="192"/>
      <c r="MH39" s="192"/>
      <c r="MK39" s="194" t="str">
        <f t="shared" si="179"/>
        <v>2026//5/7</v>
      </c>
      <c r="ML39">
        <v>220785.5354</v>
      </c>
      <c r="MM39" s="12">
        <f t="shared" si="180"/>
        <v>219105.5354</v>
      </c>
      <c r="MN39" s="12">
        <f t="shared" si="181"/>
        <v>1680</v>
      </c>
      <c r="MO39" s="199">
        <f t="shared" si="182"/>
        <v>0.00766753791469935</v>
      </c>
      <c r="MP39" s="192"/>
      <c r="MQ39" s="201"/>
      <c r="MR39" s="201"/>
      <c r="MT39" s="194" t="str">
        <f t="shared" si="183"/>
        <v>2026//5/7</v>
      </c>
      <c r="MU39">
        <v>189114.8</v>
      </c>
      <c r="MV39" s="204">
        <f t="shared" si="184"/>
        <v>195814.8</v>
      </c>
      <c r="MW39" s="8">
        <f t="shared" si="185"/>
        <v>-6700</v>
      </c>
      <c r="MX39" s="192">
        <f t="shared" si="186"/>
        <v>-0.034216004101835</v>
      </c>
      <c r="MY39" s="192"/>
      <c r="MZ39" s="192"/>
      <c r="NA39" s="192"/>
      <c r="NC39" s="194" t="str">
        <f t="shared" si="187"/>
        <v>2026//5/7</v>
      </c>
      <c r="ND39">
        <v>42091.48</v>
      </c>
      <c r="NE39" s="204">
        <f t="shared" si="188"/>
        <v>41491.48</v>
      </c>
      <c r="NF39" s="8">
        <f t="shared" si="189"/>
        <v>600</v>
      </c>
      <c r="NG39" s="192">
        <f t="shared" si="190"/>
        <v>0.0144608001449936</v>
      </c>
      <c r="NH39" s="192"/>
      <c r="NI39" s="192"/>
      <c r="NJ39" s="192"/>
      <c r="NK39" s="192"/>
      <c r="NM39" s="194" t="str">
        <f t="shared" si="191"/>
        <v>2026//5/7</v>
      </c>
      <c r="NN39">
        <v>2597611.08</v>
      </c>
      <c r="NO39" s="8">
        <f t="shared" si="192"/>
        <v>2572111.08</v>
      </c>
      <c r="NP39" s="210">
        <f t="shared" si="193"/>
        <v>25500</v>
      </c>
      <c r="NQ39" s="211">
        <f t="shared" si="194"/>
        <v>0.00991403528342174</v>
      </c>
      <c r="NR39" s="192"/>
      <c r="NT39" s="194"/>
      <c r="NU39" s="194" t="str">
        <f t="shared" si="195"/>
        <v>2026//5/7</v>
      </c>
      <c r="NV39">
        <v>262526.5</v>
      </c>
      <c r="NW39" s="205">
        <f t="shared" si="196"/>
        <v>262776.5</v>
      </c>
      <c r="NX39" s="210">
        <f t="shared" si="197"/>
        <v>-250</v>
      </c>
      <c r="NY39" s="211">
        <f t="shared" si="198"/>
        <v>-0.000951378833343164</v>
      </c>
      <c r="NZ39" s="201"/>
      <c r="OA39" s="200"/>
      <c r="OB39" s="194"/>
      <c r="OC39" s="194" t="str">
        <f t="shared" si="199"/>
        <v>2026//5/7</v>
      </c>
      <c r="OD39" s="200">
        <v>14630.97</v>
      </c>
      <c r="OE39" s="12">
        <f t="shared" si="200"/>
        <v>14607.97</v>
      </c>
      <c r="OF39" s="12">
        <f t="shared" si="201"/>
        <v>23</v>
      </c>
      <c r="OG39" s="199">
        <f t="shared" si="202"/>
        <v>0.00157448297059756</v>
      </c>
      <c r="OH39" s="192"/>
      <c r="OI39" s="192"/>
      <c r="OJ39" s="194"/>
      <c r="OK39" s="194" t="str">
        <f t="shared" si="203"/>
        <v>2026//5/7</v>
      </c>
      <c r="OL39" s="200">
        <v>14042.65</v>
      </c>
      <c r="OM39" s="12">
        <f t="shared" si="204"/>
        <v>14042.65</v>
      </c>
      <c r="ON39" s="12">
        <f t="shared" si="205"/>
        <v>0</v>
      </c>
      <c r="OO39" s="199">
        <f t="shared" si="206"/>
        <v>0</v>
      </c>
      <c r="OP39" s="192"/>
      <c r="OQ39" s="192"/>
      <c r="OT39" s="234" t="str">
        <f t="shared" si="207"/>
        <v>2026//5/7</v>
      </c>
      <c r="OU39" s="206">
        <v>146472.4066</v>
      </c>
      <c r="OV39" s="8">
        <f t="shared" si="208"/>
        <v>146352.4066</v>
      </c>
      <c r="OW39" s="191">
        <f t="shared" si="209"/>
        <v>120</v>
      </c>
      <c r="OX39" s="192">
        <f t="shared" si="210"/>
        <v>0.000819938686269611</v>
      </c>
    </row>
    <row r="40" s="8" customFormat="1" ht="17" customHeight="1" spans="1:414">
      <c r="A40" s="15"/>
      <c r="B40" s="15"/>
      <c r="C40" s="108" t="s">
        <v>466</v>
      </c>
      <c r="D40" s="207">
        <v>3793278.77</v>
      </c>
      <c r="E40" s="19">
        <f t="shared" si="8"/>
        <v>3820458.77</v>
      </c>
      <c r="F40" s="19">
        <f t="shared" si="9"/>
        <v>-27180</v>
      </c>
      <c r="G40" s="172">
        <f t="shared" si="10"/>
        <v>-0.00711432883752859</v>
      </c>
      <c r="H40" s="18"/>
      <c r="I40" s="172"/>
      <c r="J40" s="172"/>
      <c r="K40" s="8" t="str">
        <f t="shared" si="11"/>
        <v>2026//5/6</v>
      </c>
      <c r="L40" s="19">
        <v>2919844.4</v>
      </c>
      <c r="M40" s="19">
        <f t="shared" si="12"/>
        <v>2969344.4</v>
      </c>
      <c r="N40" s="19">
        <f t="shared" si="13"/>
        <v>-49500</v>
      </c>
      <c r="O40" s="172">
        <f t="shared" si="14"/>
        <v>-0.0166703464912996</v>
      </c>
      <c r="P40" s="18"/>
      <c r="Q40" s="172"/>
      <c r="R40" s="19"/>
      <c r="S40" s="8" t="str">
        <f t="shared" si="15"/>
        <v>2026//5/6</v>
      </c>
      <c r="T40" s="19">
        <v>1632756.68</v>
      </c>
      <c r="U40" s="19">
        <f t="shared" si="16"/>
        <v>1723476.68</v>
      </c>
      <c r="V40" s="19">
        <f t="shared" si="17"/>
        <v>-90720</v>
      </c>
      <c r="W40" s="172">
        <f t="shared" si="18"/>
        <v>-0.0526377879392021</v>
      </c>
      <c r="X40" s="18"/>
      <c r="Y40" s="172"/>
      <c r="Z40" s="19"/>
      <c r="AA40" s="8" t="str">
        <f t="shared" si="19"/>
        <v>2026//5/6</v>
      </c>
      <c r="AB40" s="19">
        <v>756736.86</v>
      </c>
      <c r="AC40" s="19">
        <f t="shared" si="20"/>
        <v>747656.86</v>
      </c>
      <c r="AD40" s="19">
        <f t="shared" si="21"/>
        <v>9080</v>
      </c>
      <c r="AE40" s="172">
        <f t="shared" si="22"/>
        <v>0.0121446086912116</v>
      </c>
      <c r="AF40" s="18"/>
      <c r="AG40" s="172"/>
      <c r="AH40" s="19"/>
      <c r="AI40" s="8" t="str">
        <f t="shared" si="23"/>
        <v>2026//5/6</v>
      </c>
      <c r="AJ40" s="19">
        <v>474721.76</v>
      </c>
      <c r="AK40" s="19">
        <f t="shared" si="24"/>
        <v>432121.76</v>
      </c>
      <c r="AL40" s="19">
        <f t="shared" si="25"/>
        <v>42600</v>
      </c>
      <c r="AM40" s="172">
        <f t="shared" si="26"/>
        <v>0.0985833252183366</v>
      </c>
      <c r="AN40" s="18"/>
      <c r="AO40" s="18"/>
      <c r="AP40" s="19"/>
      <c r="AQ40" s="8" t="str">
        <f t="shared" si="27"/>
        <v>2026//5/6</v>
      </c>
      <c r="AR40" s="19">
        <v>1214345.4936</v>
      </c>
      <c r="AS40" s="19">
        <f t="shared" si="28"/>
        <v>1240945.4936</v>
      </c>
      <c r="AT40" s="19">
        <f t="shared" si="29"/>
        <v>-26600</v>
      </c>
      <c r="AU40" s="172">
        <f t="shared" si="30"/>
        <v>-0.0214352686215355</v>
      </c>
      <c r="AV40" s="18"/>
      <c r="AW40" s="18"/>
      <c r="AX40" s="17"/>
      <c r="AY40" s="17"/>
      <c r="AZ40" s="8" t="str">
        <f t="shared" si="31"/>
        <v>2026//5/6</v>
      </c>
      <c r="BA40" s="17">
        <v>1753221.6676</v>
      </c>
      <c r="BB40" s="129">
        <f t="shared" si="32"/>
        <v>1795341.6676</v>
      </c>
      <c r="BC40" s="17">
        <f t="shared" si="33"/>
        <v>-42120</v>
      </c>
      <c r="BD40" s="18">
        <f t="shared" si="34"/>
        <v>-0.0234607154505057</v>
      </c>
      <c r="BE40" s="18"/>
      <c r="BF40" s="18"/>
      <c r="BG40" s="74"/>
      <c r="BH40" s="194" t="str">
        <f t="shared" si="35"/>
        <v>2026//5/6</v>
      </c>
      <c r="BI40" s="194">
        <v>1677526.5525</v>
      </c>
      <c r="BJ40" s="195">
        <f t="shared" si="36"/>
        <v>1697726.5525</v>
      </c>
      <c r="BK40" s="195">
        <f t="shared" si="37"/>
        <v>-20200</v>
      </c>
      <c r="BL40" s="196">
        <f t="shared" si="38"/>
        <v>-0.0118982647530925</v>
      </c>
      <c r="BM40" s="197"/>
      <c r="BN40" s="192"/>
      <c r="BO40" s="194"/>
      <c r="BP40" s="194" t="str">
        <f t="shared" si="39"/>
        <v>2026//5/6</v>
      </c>
      <c r="BQ40" s="198">
        <v>1114962.3921</v>
      </c>
      <c r="BR40" s="12">
        <f t="shared" si="40"/>
        <v>1126662.3921</v>
      </c>
      <c r="BS40" s="12">
        <f t="shared" si="41"/>
        <v>-11700</v>
      </c>
      <c r="BT40" s="199">
        <f t="shared" si="42"/>
        <v>-0.0103846547839342</v>
      </c>
      <c r="BU40" s="192"/>
      <c r="BV40" s="192"/>
      <c r="BW40" s="194"/>
      <c r="BX40" s="194" t="str">
        <f t="shared" si="43"/>
        <v>2026//5/6</v>
      </c>
      <c r="BY40" s="200">
        <v>3022210.7019</v>
      </c>
      <c r="BZ40" s="12">
        <f t="shared" si="44"/>
        <v>2983010.7019</v>
      </c>
      <c r="CA40" s="12">
        <f t="shared" si="45"/>
        <v>39200</v>
      </c>
      <c r="CB40" s="199">
        <f t="shared" si="46"/>
        <v>0.0131410859421429</v>
      </c>
      <c r="CC40" s="192"/>
      <c r="CD40" s="201"/>
      <c r="CE40" s="194"/>
      <c r="CF40" s="194" t="str">
        <f t="shared" si="47"/>
        <v>2026//5/6</v>
      </c>
      <c r="CG40" s="200">
        <v>1320653.9</v>
      </c>
      <c r="CH40" s="12">
        <f t="shared" si="48"/>
        <v>1321903.9</v>
      </c>
      <c r="CI40" s="12">
        <f t="shared" si="49"/>
        <v>-1250</v>
      </c>
      <c r="CJ40" s="199">
        <f t="shared" si="50"/>
        <v>-0.000945605803871219</v>
      </c>
      <c r="CK40" s="192"/>
      <c r="CL40" s="201"/>
      <c r="CM40" s="194"/>
      <c r="CN40" s="194" t="str">
        <f t="shared" si="51"/>
        <v>2026//5/6</v>
      </c>
      <c r="CO40" s="200">
        <v>631946.48</v>
      </c>
      <c r="CP40" s="12">
        <f t="shared" si="52"/>
        <v>634946.48</v>
      </c>
      <c r="CQ40" s="12">
        <f t="shared" si="53"/>
        <v>-3000</v>
      </c>
      <c r="CR40" s="199">
        <f t="shared" si="54"/>
        <v>-0.0047248076719789</v>
      </c>
      <c r="CS40" s="201"/>
      <c r="CT40" s="201"/>
      <c r="CU40" s="194"/>
      <c r="CV40" s="194" t="str">
        <f t="shared" si="55"/>
        <v>2026//5/6</v>
      </c>
      <c r="CW40" s="200">
        <v>555940.4</v>
      </c>
      <c r="CX40" s="12">
        <f t="shared" si="56"/>
        <v>556190.4</v>
      </c>
      <c r="CY40" s="12">
        <f t="shared" si="57"/>
        <v>-250</v>
      </c>
      <c r="CZ40" s="199">
        <f t="shared" si="58"/>
        <v>-0.000449486362943337</v>
      </c>
      <c r="DA40" s="192"/>
      <c r="DB40" s="192"/>
      <c r="DC40" s="202"/>
      <c r="DD40" s="194" t="str">
        <f t="shared" si="59"/>
        <v>2026//5/6</v>
      </c>
      <c r="DE40" s="200">
        <v>2190717.9986</v>
      </c>
      <c r="DF40" s="12">
        <f t="shared" si="60"/>
        <v>2214717.9986</v>
      </c>
      <c r="DG40" s="12">
        <f t="shared" si="61"/>
        <v>-24000</v>
      </c>
      <c r="DH40" s="199">
        <f t="shared" si="62"/>
        <v>-0.0108365941014482</v>
      </c>
      <c r="DI40" s="192"/>
      <c r="DJ40" s="192"/>
      <c r="DK40" s="194"/>
      <c r="DL40" s="194" t="str">
        <f t="shared" si="63"/>
        <v>2026//5/6</v>
      </c>
      <c r="DM40" s="200">
        <v>1043900.36</v>
      </c>
      <c r="DN40" s="12">
        <f t="shared" si="64"/>
        <v>1071500.36</v>
      </c>
      <c r="DO40" s="12">
        <f t="shared" si="65"/>
        <v>-27600.0000000001</v>
      </c>
      <c r="DP40" s="199">
        <f t="shared" si="66"/>
        <v>-0.0257582741269449</v>
      </c>
      <c r="DQ40" s="192"/>
      <c r="DR40" s="192"/>
      <c r="DS40" s="194"/>
      <c r="DT40" s="194" t="str">
        <f t="shared" si="67"/>
        <v>2026//5/6</v>
      </c>
      <c r="DU40" s="200">
        <v>1392689.48</v>
      </c>
      <c r="DV40" s="12">
        <f t="shared" si="68"/>
        <v>1398689.48</v>
      </c>
      <c r="DW40" s="12">
        <f t="shared" si="69"/>
        <v>-6000</v>
      </c>
      <c r="DX40" s="199">
        <f t="shared" si="70"/>
        <v>-0.00428972984053616</v>
      </c>
      <c r="DY40" s="192"/>
      <c r="DZ40" s="192"/>
      <c r="EA40" s="194"/>
      <c r="EB40" s="194" t="str">
        <f t="shared" si="71"/>
        <v>2026//5/6</v>
      </c>
      <c r="EC40" s="200">
        <v>4025666.82</v>
      </c>
      <c r="ED40" s="12">
        <f t="shared" si="72"/>
        <v>4192766.82</v>
      </c>
      <c r="EE40" s="12">
        <f t="shared" si="73"/>
        <v>-167100</v>
      </c>
      <c r="EF40" s="199">
        <f t="shared" si="74"/>
        <v>-0.039854350879451</v>
      </c>
      <c r="EG40" s="192"/>
      <c r="EH40" s="192"/>
      <c r="EI40" s="194"/>
      <c r="EJ40" s="194" t="str">
        <f t="shared" si="75"/>
        <v>2026//5/6</v>
      </c>
      <c r="EK40" s="200">
        <v>1298122.9669</v>
      </c>
      <c r="EL40" s="12">
        <f t="shared" si="76"/>
        <v>1316722.9669</v>
      </c>
      <c r="EM40" s="12">
        <f t="shared" si="77"/>
        <v>-18600</v>
      </c>
      <c r="EN40" s="199">
        <f t="shared" si="78"/>
        <v>-0.0141259782562998</v>
      </c>
      <c r="EO40" s="192"/>
      <c r="EP40" s="192"/>
      <c r="EQ40" s="194"/>
      <c r="ER40" s="194" t="str">
        <f t="shared" si="79"/>
        <v>2026//5/6</v>
      </c>
      <c r="ES40">
        <v>426347.02</v>
      </c>
      <c r="ET40" s="12">
        <f t="shared" si="80"/>
        <v>432797.02</v>
      </c>
      <c r="EU40" s="12">
        <f t="shared" si="81"/>
        <v>-6450</v>
      </c>
      <c r="EV40" s="199">
        <f t="shared" si="82"/>
        <v>-0.0149030600996282</v>
      </c>
      <c r="EW40" s="192"/>
      <c r="EX40" s="192"/>
      <c r="EY40" s="194"/>
      <c r="EZ40" s="194" t="str">
        <f t="shared" si="83"/>
        <v>2026//5/6</v>
      </c>
      <c r="FA40" s="200">
        <v>705808</v>
      </c>
      <c r="FB40" s="12">
        <f t="shared" si="84"/>
        <v>699508</v>
      </c>
      <c r="FC40" s="12">
        <f t="shared" si="85"/>
        <v>6300</v>
      </c>
      <c r="FD40" s="199">
        <f t="shared" si="86"/>
        <v>0.00900633016348634</v>
      </c>
      <c r="FE40" s="192"/>
      <c r="FF40" s="192"/>
      <c r="FG40" s="192"/>
      <c r="FH40" s="194" t="str">
        <f t="shared" si="87"/>
        <v>2026//5/6</v>
      </c>
      <c r="FI40" s="198">
        <v>1284195.3365</v>
      </c>
      <c r="FJ40" s="12">
        <f t="shared" si="88"/>
        <v>1277595.3365</v>
      </c>
      <c r="FK40" s="12">
        <f t="shared" si="89"/>
        <v>6600</v>
      </c>
      <c r="FL40" s="199">
        <f t="shared" si="90"/>
        <v>0.00516595498703122</v>
      </c>
      <c r="FM40" s="201"/>
      <c r="FN40" s="201"/>
      <c r="FO40" s="194"/>
      <c r="FP40" s="194" t="str">
        <f t="shared" si="91"/>
        <v>2026//5/6</v>
      </c>
      <c r="FQ40" s="200">
        <v>2021068.73</v>
      </c>
      <c r="FR40" s="12">
        <f t="shared" si="92"/>
        <v>2031268.73</v>
      </c>
      <c r="FS40" s="12">
        <f t="shared" si="93"/>
        <v>-10200</v>
      </c>
      <c r="FT40" s="199">
        <f t="shared" si="94"/>
        <v>-0.00502149215874553</v>
      </c>
      <c r="FU40" s="192"/>
      <c r="FV40" s="192"/>
      <c r="FW40" s="194"/>
      <c r="FX40" s="194" t="str">
        <f t="shared" si="95"/>
        <v>2026//5/6</v>
      </c>
      <c r="FY40" s="200">
        <v>8140782.05</v>
      </c>
      <c r="FZ40" s="12">
        <f t="shared" si="96"/>
        <v>8208282.05</v>
      </c>
      <c r="GA40" s="12">
        <f t="shared" si="97"/>
        <v>-67500</v>
      </c>
      <c r="GB40" s="199">
        <f t="shared" si="98"/>
        <v>-0.00822340163128288</v>
      </c>
      <c r="GC40" s="192"/>
      <c r="GD40" s="192"/>
      <c r="GE40" s="194"/>
      <c r="GF40" s="194" t="str">
        <f t="shared" si="99"/>
        <v>2026//5/6</v>
      </c>
      <c r="GG40" s="200">
        <v>4659369.49</v>
      </c>
      <c r="GH40" s="12">
        <f t="shared" si="100"/>
        <v>4634969.49</v>
      </c>
      <c r="GI40" s="12">
        <f t="shared" si="101"/>
        <v>24400</v>
      </c>
      <c r="GJ40" s="199">
        <f t="shared" si="102"/>
        <v>0.00526432807220054</v>
      </c>
      <c r="GK40" s="192"/>
      <c r="GL40" s="192"/>
      <c r="GM40" s="194"/>
      <c r="GN40" s="194" t="str">
        <f t="shared" si="103"/>
        <v>2026//5/6</v>
      </c>
      <c r="GO40" s="200">
        <v>1834678.1217</v>
      </c>
      <c r="GP40" s="12">
        <f t="shared" si="104"/>
        <v>1819978.1217</v>
      </c>
      <c r="GQ40" s="12">
        <f t="shared" si="105"/>
        <v>14700</v>
      </c>
      <c r="GR40" s="199">
        <f t="shared" si="106"/>
        <v>0.00807702017113759</v>
      </c>
      <c r="GS40" s="192"/>
      <c r="GT40" s="192"/>
      <c r="GU40" s="194"/>
      <c r="GV40" s="194" t="str">
        <f t="shared" si="107"/>
        <v>2026//5/6</v>
      </c>
      <c r="GW40" s="200">
        <v>904549.4</v>
      </c>
      <c r="GX40" s="12">
        <f t="shared" si="108"/>
        <v>893749.4</v>
      </c>
      <c r="GY40" s="12">
        <f t="shared" si="109"/>
        <v>10800</v>
      </c>
      <c r="GZ40" s="199">
        <f t="shared" si="110"/>
        <v>0.0120839241962009</v>
      </c>
      <c r="HA40" s="192"/>
      <c r="HB40" s="192"/>
      <c r="HC40" s="194"/>
      <c r="HD40" s="194" t="str">
        <f t="shared" si="111"/>
        <v>2026//5/6</v>
      </c>
      <c r="HE40" s="200">
        <v>1332364.6746</v>
      </c>
      <c r="HF40" s="12">
        <f t="shared" si="112"/>
        <v>1315564.6746</v>
      </c>
      <c r="HG40" s="12">
        <f t="shared" si="113"/>
        <v>16800</v>
      </c>
      <c r="HH40" s="199">
        <f t="shared" si="114"/>
        <v>0.0127701817511238</v>
      </c>
      <c r="HI40" s="201"/>
      <c r="HJ40" s="192"/>
      <c r="HK40" s="194"/>
      <c r="HL40" s="194" t="str">
        <f t="shared" si="115"/>
        <v>2026//5/6</v>
      </c>
      <c r="HM40" s="200">
        <v>138904.25</v>
      </c>
      <c r="HN40" s="208">
        <f t="shared" si="116"/>
        <v>138354.25</v>
      </c>
      <c r="HO40" s="208">
        <f t="shared" si="117"/>
        <v>550</v>
      </c>
      <c r="HP40" s="209">
        <f t="shared" si="118"/>
        <v>0.00397530252955728</v>
      </c>
      <c r="HQ40" s="192"/>
      <c r="HR40" s="192"/>
      <c r="HS40" s="194"/>
      <c r="HT40" s="194" t="str">
        <f t="shared" si="119"/>
        <v>2026//5/6</v>
      </c>
      <c r="HU40" s="200">
        <v>192868.8265</v>
      </c>
      <c r="HV40" s="12">
        <f t="shared" si="120"/>
        <v>199768.8265</v>
      </c>
      <c r="HW40" s="12">
        <f t="shared" si="121"/>
        <v>-6900</v>
      </c>
      <c r="HX40" s="199">
        <f t="shared" si="122"/>
        <v>-0.034539923575113</v>
      </c>
      <c r="HY40" s="192"/>
      <c r="HZ40" s="192"/>
      <c r="IA40" s="194"/>
      <c r="IB40" s="194" t="str">
        <f t="shared" si="123"/>
        <v>2026//5/6</v>
      </c>
      <c r="IC40" s="200">
        <v>357009.79</v>
      </c>
      <c r="ID40" s="12">
        <f t="shared" si="124"/>
        <v>358184.79</v>
      </c>
      <c r="IE40" s="12">
        <f t="shared" si="125"/>
        <v>-1175</v>
      </c>
      <c r="IF40" s="199">
        <f t="shared" si="126"/>
        <v>-0.00328042963521706</v>
      </c>
      <c r="IG40" s="201"/>
      <c r="IH40" s="192"/>
      <c r="II40" s="194"/>
      <c r="IJ40" s="194" t="str">
        <f t="shared" si="127"/>
        <v>2026//5/6</v>
      </c>
      <c r="IK40" s="200">
        <v>640796.29</v>
      </c>
      <c r="IL40" s="12">
        <f t="shared" si="128"/>
        <v>632316.29</v>
      </c>
      <c r="IM40" s="12">
        <f t="shared" si="129"/>
        <v>8480</v>
      </c>
      <c r="IN40" s="199">
        <f t="shared" si="130"/>
        <v>0.013411009860271</v>
      </c>
      <c r="IO40" s="192"/>
      <c r="IP40" s="192"/>
      <c r="IQ40" s="194"/>
      <c r="IR40" s="194" t="str">
        <f t="shared" si="131"/>
        <v>2026//5/6</v>
      </c>
      <c r="IS40" s="200">
        <v>138989</v>
      </c>
      <c r="IT40" s="12">
        <f t="shared" si="132"/>
        <v>139989</v>
      </c>
      <c r="IU40" s="12">
        <f t="shared" si="133"/>
        <v>-1000</v>
      </c>
      <c r="IV40" s="199">
        <f t="shared" si="134"/>
        <v>-0.00714341841144661</v>
      </c>
      <c r="IW40" s="192"/>
      <c r="IX40" s="192"/>
      <c r="IY40" s="194"/>
      <c r="IZ40" s="194" t="str">
        <f t="shared" si="135"/>
        <v>2026//5/6</v>
      </c>
      <c r="JA40" s="200">
        <v>5026929.15</v>
      </c>
      <c r="JB40" s="12">
        <f t="shared" si="136"/>
        <v>4977729.15</v>
      </c>
      <c r="JC40" s="12">
        <f t="shared" si="137"/>
        <v>49200</v>
      </c>
      <c r="JD40" s="199">
        <f t="shared" si="138"/>
        <v>0.0098840251282053</v>
      </c>
      <c r="JE40" s="192"/>
      <c r="JF40" s="192"/>
      <c r="JG40" s="194"/>
      <c r="JH40" s="194" t="str">
        <f t="shared" si="139"/>
        <v>2026//5/6</v>
      </c>
      <c r="JI40" s="200">
        <v>1320027.99</v>
      </c>
      <c r="JJ40" s="12">
        <f t="shared" si="140"/>
        <v>1327047.99</v>
      </c>
      <c r="JK40" s="12">
        <f t="shared" si="141"/>
        <v>-7020</v>
      </c>
      <c r="JL40" s="199">
        <f t="shared" si="142"/>
        <v>-0.00528993680175801</v>
      </c>
      <c r="JM40" s="192"/>
      <c r="JN40" s="192"/>
      <c r="JO40" s="192"/>
      <c r="JP40" s="194" t="str">
        <f t="shared" si="143"/>
        <v>2026//5/6</v>
      </c>
      <c r="JQ40" s="200">
        <v>1052190.4148</v>
      </c>
      <c r="JR40" s="12">
        <f t="shared" si="144"/>
        <v>1020390.4148</v>
      </c>
      <c r="JS40" s="12">
        <f t="shared" si="145"/>
        <v>31799.9999999999</v>
      </c>
      <c r="JT40" s="199">
        <f t="shared" si="146"/>
        <v>0.0311645420603376</v>
      </c>
      <c r="JU40" s="192"/>
      <c r="JV40" s="192"/>
      <c r="JW40" s="201"/>
      <c r="JX40" s="194" t="str">
        <f t="shared" si="147"/>
        <v>2026//5/6</v>
      </c>
      <c r="JY40" s="200">
        <v>1170948.8</v>
      </c>
      <c r="JZ40" s="12">
        <f t="shared" si="148"/>
        <v>1170948.8</v>
      </c>
      <c r="KA40" s="12">
        <f t="shared" si="149"/>
        <v>0</v>
      </c>
      <c r="KB40" s="199">
        <f t="shared" si="150"/>
        <v>0</v>
      </c>
      <c r="KC40" s="192"/>
      <c r="KD40" s="192"/>
      <c r="KE40" s="201"/>
      <c r="KF40" s="194" t="str">
        <f t="shared" si="151"/>
        <v>2026//5/6</v>
      </c>
      <c r="KG40" s="200">
        <v>728155.9219</v>
      </c>
      <c r="KH40" s="12">
        <f t="shared" si="152"/>
        <v>728155.9219</v>
      </c>
      <c r="KI40" s="12">
        <f t="shared" si="153"/>
        <v>0</v>
      </c>
      <c r="KJ40" s="199">
        <f t="shared" si="154"/>
        <v>0</v>
      </c>
      <c r="KK40" s="201"/>
      <c r="KL40" s="201"/>
      <c r="KM40" s="194"/>
      <c r="KN40" s="194" t="str">
        <f t="shared" si="155"/>
        <v>2026//5/6</v>
      </c>
      <c r="KO40" s="200">
        <v>8328775.95</v>
      </c>
      <c r="KP40" s="12">
        <f t="shared" si="156"/>
        <v>8328775.95</v>
      </c>
      <c r="KQ40" s="12">
        <f t="shared" si="157"/>
        <v>0</v>
      </c>
      <c r="KR40" s="199">
        <f t="shared" si="158"/>
        <v>0</v>
      </c>
      <c r="KS40" s="192"/>
      <c r="KT40" s="192"/>
      <c r="KU40" s="194"/>
      <c r="KV40" s="194" t="str">
        <f t="shared" si="159"/>
        <v>2026//5/6</v>
      </c>
      <c r="KW40" s="200">
        <v>1037772.9726</v>
      </c>
      <c r="KX40" s="12">
        <f t="shared" si="160"/>
        <v>1032672.9726</v>
      </c>
      <c r="KY40" s="12">
        <f t="shared" si="161"/>
        <v>5100</v>
      </c>
      <c r="KZ40" s="199">
        <f t="shared" si="162"/>
        <v>0.00493863995216175</v>
      </c>
      <c r="LA40" s="201"/>
      <c r="LB40" s="192"/>
      <c r="LC40" s="194"/>
      <c r="LD40" s="194" t="str">
        <f t="shared" si="163"/>
        <v>2026//5/6</v>
      </c>
      <c r="LE40" s="200">
        <v>472807.7</v>
      </c>
      <c r="LF40" s="12">
        <f t="shared" si="164"/>
        <v>471757.7</v>
      </c>
      <c r="LG40" s="12">
        <f t="shared" si="165"/>
        <v>1050</v>
      </c>
      <c r="LH40" s="199">
        <f t="shared" si="166"/>
        <v>0.00222571883829347</v>
      </c>
      <c r="LI40" s="192"/>
      <c r="LJ40" s="192"/>
      <c r="LK40" s="194"/>
      <c r="LL40" s="194" t="str">
        <f t="shared" si="167"/>
        <v>2026//5/6</v>
      </c>
      <c r="LM40" s="198">
        <v>3523255.02</v>
      </c>
      <c r="LN40" s="12">
        <f t="shared" si="168"/>
        <v>3463495.02</v>
      </c>
      <c r="LO40" s="12">
        <f t="shared" si="169"/>
        <v>59760</v>
      </c>
      <c r="LP40" s="199">
        <f t="shared" si="170"/>
        <v>0.0172542474162414</v>
      </c>
      <c r="LQ40" s="192"/>
      <c r="LR40" s="192"/>
      <c r="LS40" s="194"/>
      <c r="LT40" s="194" t="str">
        <f t="shared" si="171"/>
        <v>2026//5/6</v>
      </c>
      <c r="LU40" s="200">
        <v>2475062.904</v>
      </c>
      <c r="LV40" s="12">
        <f t="shared" si="172"/>
        <v>2476662.904</v>
      </c>
      <c r="LW40" s="12">
        <f t="shared" si="173"/>
        <v>-1600</v>
      </c>
      <c r="LX40" s="199">
        <f t="shared" si="174"/>
        <v>-0.000646030591170029</v>
      </c>
      <c r="LY40" s="192"/>
      <c r="LZ40" s="192"/>
      <c r="MA40" s="194"/>
      <c r="MB40" s="194" t="str">
        <f t="shared" si="175"/>
        <v>2026//5/6</v>
      </c>
      <c r="MC40" s="200">
        <v>861767.69</v>
      </c>
      <c r="MD40" s="12">
        <f t="shared" si="176"/>
        <v>833917.69</v>
      </c>
      <c r="ME40" s="12">
        <f t="shared" si="177"/>
        <v>27850</v>
      </c>
      <c r="MF40" s="199">
        <f t="shared" si="178"/>
        <v>0.0333965813820306</v>
      </c>
      <c r="MG40" s="192"/>
      <c r="MH40" s="192"/>
      <c r="MI40" s="8"/>
      <c r="MJ40" s="8"/>
      <c r="MK40" s="194" t="str">
        <f t="shared" si="179"/>
        <v>2026//5/6</v>
      </c>
      <c r="ML40">
        <v>219105.5354</v>
      </c>
      <c r="MM40" s="12">
        <f t="shared" si="180"/>
        <v>216825.5354</v>
      </c>
      <c r="MN40" s="12">
        <f t="shared" si="181"/>
        <v>2280</v>
      </c>
      <c r="MO40" s="199">
        <f t="shared" si="182"/>
        <v>0.0105153666324119</v>
      </c>
      <c r="MP40" s="192"/>
      <c r="MQ40" s="201"/>
      <c r="MR40" s="201"/>
      <c r="MT40" s="194" t="str">
        <f t="shared" si="183"/>
        <v>2026//5/6</v>
      </c>
      <c r="MU40">
        <v>195814.8</v>
      </c>
      <c r="MV40" s="204">
        <f t="shared" si="184"/>
        <v>203214.8</v>
      </c>
      <c r="MW40" s="8">
        <f t="shared" si="185"/>
        <v>-7400</v>
      </c>
      <c r="MX40" s="192">
        <f t="shared" si="186"/>
        <v>-0.0364146705850164</v>
      </c>
      <c r="MY40" s="192"/>
      <c r="MZ40" s="192"/>
      <c r="NA40" s="192"/>
      <c r="NC40" s="194" t="str">
        <f t="shared" si="187"/>
        <v>2026//5/6</v>
      </c>
      <c r="ND40">
        <v>41491.48</v>
      </c>
      <c r="NE40" s="204">
        <f t="shared" si="188"/>
        <v>41291.48</v>
      </c>
      <c r="NF40" s="8">
        <f t="shared" si="189"/>
        <v>200</v>
      </c>
      <c r="NG40" s="192">
        <f t="shared" si="190"/>
        <v>0.00484361422743869</v>
      </c>
      <c r="NH40" s="192"/>
      <c r="NI40" s="192"/>
      <c r="NJ40" s="192"/>
      <c r="NK40" s="192"/>
      <c r="NM40" s="194" t="str">
        <f t="shared" si="191"/>
        <v>2026//5/6</v>
      </c>
      <c r="NN40">
        <v>2572111.08</v>
      </c>
      <c r="NO40" s="8">
        <f t="shared" si="192"/>
        <v>2555611.08</v>
      </c>
      <c r="NP40" s="210">
        <f t="shared" si="193"/>
        <v>16500</v>
      </c>
      <c r="NQ40" s="211">
        <f t="shared" si="194"/>
        <v>0.00645638146161113</v>
      </c>
      <c r="NR40" s="192"/>
      <c r="NT40" s="194"/>
      <c r="NU40" s="194" t="str">
        <f t="shared" si="195"/>
        <v>2026//5/6</v>
      </c>
      <c r="NV40">
        <v>262776.5</v>
      </c>
      <c r="NW40" s="205">
        <f t="shared" si="196"/>
        <v>262176.5</v>
      </c>
      <c r="NX40" s="210">
        <f t="shared" si="197"/>
        <v>600</v>
      </c>
      <c r="NY40" s="211">
        <f t="shared" si="198"/>
        <v>0.00228853463220388</v>
      </c>
      <c r="NZ40" s="201"/>
      <c r="OA40" s="200"/>
      <c r="OB40" s="194"/>
      <c r="OC40" s="194" t="str">
        <f t="shared" si="199"/>
        <v>2026//5/6</v>
      </c>
      <c r="OD40" s="200">
        <v>14607.97</v>
      </c>
      <c r="OE40" s="12">
        <f t="shared" si="200"/>
        <v>14534.97</v>
      </c>
      <c r="OF40" s="12">
        <f t="shared" si="201"/>
        <v>73</v>
      </c>
      <c r="OG40" s="199">
        <f t="shared" si="202"/>
        <v>0.00502237018721057</v>
      </c>
      <c r="OH40" s="192"/>
      <c r="OI40" s="192"/>
      <c r="OJ40" s="194"/>
      <c r="OK40" s="194" t="str">
        <f t="shared" si="203"/>
        <v>2026//5/6</v>
      </c>
      <c r="OL40" s="200">
        <v>14042.65</v>
      </c>
      <c r="OM40" s="12">
        <f t="shared" si="204"/>
        <v>14042.65</v>
      </c>
      <c r="ON40" s="12">
        <f t="shared" si="205"/>
        <v>0</v>
      </c>
      <c r="OO40" s="199">
        <f t="shared" si="206"/>
        <v>0</v>
      </c>
      <c r="OP40" s="192"/>
      <c r="OQ40" s="192"/>
      <c r="OT40" s="234" t="str">
        <f t="shared" si="207"/>
        <v>2026//5/6</v>
      </c>
      <c r="OU40" s="206">
        <v>146352.4066</v>
      </c>
      <c r="OV40" s="8">
        <f t="shared" si="208"/>
        <v>146232.4066</v>
      </c>
      <c r="OW40" s="191">
        <f t="shared" si="209"/>
        <v>120</v>
      </c>
      <c r="OX40" s="192">
        <f t="shared" si="210"/>
        <v>0.000820611537415538</v>
      </c>
    </row>
    <row r="41" s="10" customFormat="1" ht="17" customHeight="1" spans="1:414">
      <c r="A41" s="100"/>
      <c r="B41" s="100"/>
      <c r="C41" s="100" t="s">
        <v>467</v>
      </c>
      <c r="D41" s="235">
        <v>3820458.77</v>
      </c>
      <c r="E41" s="88">
        <f t="shared" si="8"/>
        <v>3937188.77</v>
      </c>
      <c r="F41" s="88">
        <f t="shared" si="9"/>
        <v>-116730</v>
      </c>
      <c r="G41" s="236">
        <f t="shared" si="10"/>
        <v>-0.029648057743495</v>
      </c>
      <c r="H41" s="87"/>
      <c r="I41" s="236">
        <f>(D41-D62)/D62</f>
        <v>-0.147762852676262</v>
      </c>
      <c r="J41" s="236"/>
      <c r="K41" s="10" t="str">
        <f t="shared" si="11"/>
        <v>2026//4/30</v>
      </c>
      <c r="L41" s="88">
        <v>2969344.4</v>
      </c>
      <c r="M41" s="88">
        <f t="shared" si="12"/>
        <v>3015244.4</v>
      </c>
      <c r="N41" s="88">
        <f t="shared" si="13"/>
        <v>-45900</v>
      </c>
      <c r="O41" s="236">
        <f t="shared" si="14"/>
        <v>-0.0152226466285784</v>
      </c>
      <c r="P41" s="87"/>
      <c r="Q41" s="236">
        <f>(L41-L62)/L62</f>
        <v>-0.0632848220151053</v>
      </c>
      <c r="R41" s="88"/>
      <c r="S41" s="10" t="str">
        <f t="shared" si="15"/>
        <v>2026//4/30</v>
      </c>
      <c r="T41" s="88">
        <v>1723476.68</v>
      </c>
      <c r="U41" s="88">
        <f t="shared" si="16"/>
        <v>1853076.68</v>
      </c>
      <c r="V41" s="88">
        <f t="shared" si="17"/>
        <v>-129600</v>
      </c>
      <c r="W41" s="236">
        <f t="shared" si="18"/>
        <v>-0.069937742673444</v>
      </c>
      <c r="X41" s="87"/>
      <c r="Y41" s="236">
        <f>(T41-T62)/T62</f>
        <v>-0.251400068040771</v>
      </c>
      <c r="Z41" s="88"/>
      <c r="AA41" s="10" t="str">
        <f t="shared" si="19"/>
        <v>2026//4/30</v>
      </c>
      <c r="AB41" s="88">
        <v>747656.86</v>
      </c>
      <c r="AC41" s="88">
        <f t="shared" si="20"/>
        <v>804496.86</v>
      </c>
      <c r="AD41" s="88">
        <f t="shared" si="21"/>
        <v>-56840</v>
      </c>
      <c r="AE41" s="236">
        <f t="shared" si="22"/>
        <v>-0.0706528550030637</v>
      </c>
      <c r="AF41" s="87"/>
      <c r="AG41" s="236">
        <f>(AB41-AB62)/AB62</f>
        <v>-0.207702617665493</v>
      </c>
      <c r="AH41" s="88"/>
      <c r="AI41" s="10" t="str">
        <f t="shared" si="23"/>
        <v>2026//4/30</v>
      </c>
      <c r="AJ41" s="88">
        <v>432121.76</v>
      </c>
      <c r="AK41" s="88">
        <f t="shared" si="24"/>
        <v>555921.76</v>
      </c>
      <c r="AL41" s="88">
        <f t="shared" si="25"/>
        <v>-123800</v>
      </c>
      <c r="AM41" s="236">
        <f t="shared" si="26"/>
        <v>-0.222693207763625</v>
      </c>
      <c r="AN41" s="87"/>
      <c r="AO41" s="87">
        <f>(AJ41-AJ62)/AJ62</f>
        <v>-0.428804585872057</v>
      </c>
      <c r="AP41" s="88"/>
      <c r="AQ41" s="10" t="str">
        <f t="shared" si="27"/>
        <v>2026//4/30</v>
      </c>
      <c r="AR41" s="88">
        <v>1240945.4936</v>
      </c>
      <c r="AS41" s="88">
        <f t="shared" si="28"/>
        <v>1237245.49</v>
      </c>
      <c r="AT41" s="88">
        <f t="shared" si="29"/>
        <v>3700.00359999994</v>
      </c>
      <c r="AU41" s="236">
        <f t="shared" si="30"/>
        <v>0.0029905169425996</v>
      </c>
      <c r="AV41" s="87"/>
      <c r="AW41" s="87">
        <f>(AR41-AR62)/AR62</f>
        <v>-0.22723232009077</v>
      </c>
      <c r="AX41" s="85"/>
      <c r="AY41" s="85"/>
      <c r="AZ41" s="10" t="str">
        <f t="shared" si="31"/>
        <v>2026//4/30</v>
      </c>
      <c r="BA41" s="85">
        <v>1795341.6676</v>
      </c>
      <c r="BB41" s="237">
        <f t="shared" si="32"/>
        <v>1842861.67</v>
      </c>
      <c r="BC41" s="85">
        <f t="shared" si="33"/>
        <v>-47520.0023999999</v>
      </c>
      <c r="BD41" s="87">
        <f t="shared" si="34"/>
        <v>-0.0257859844683838</v>
      </c>
      <c r="BE41" s="87"/>
      <c r="BF41" s="87">
        <f>(BA41-BA62)/BA62</f>
        <v>-0.100751731865486</v>
      </c>
      <c r="BG41" s="84"/>
      <c r="BH41" s="10" t="str">
        <f t="shared" si="35"/>
        <v>2026//4/30</v>
      </c>
      <c r="BI41" s="238">
        <v>1697726.5525</v>
      </c>
      <c r="BJ41" s="239">
        <f t="shared" si="36"/>
        <v>1680526.55</v>
      </c>
      <c r="BK41" s="239">
        <f t="shared" si="37"/>
        <v>17200.0024999999</v>
      </c>
      <c r="BL41" s="240">
        <f t="shared" si="38"/>
        <v>0.0102348888805119</v>
      </c>
      <c r="BM41" s="241"/>
      <c r="BN41" s="242">
        <f>(BI41-BI62)/BI62</f>
        <v>0.0382210052179008</v>
      </c>
      <c r="BP41" s="10" t="str">
        <f t="shared" si="39"/>
        <v>2026//4/30</v>
      </c>
      <c r="BQ41" s="243">
        <v>1126662.3921</v>
      </c>
      <c r="BR41" s="244">
        <f t="shared" si="40"/>
        <v>1131062.39</v>
      </c>
      <c r="BS41" s="244">
        <f t="shared" si="41"/>
        <v>-4399.99789999984</v>
      </c>
      <c r="BT41" s="245">
        <f t="shared" si="42"/>
        <v>-0.0038901460599356</v>
      </c>
      <c r="BU41" s="242"/>
      <c r="BV41" s="242">
        <f>(BQ41-BQ62)/BQ62</f>
        <v>-0.0311300788565359</v>
      </c>
      <c r="BX41" s="10" t="str">
        <f t="shared" si="43"/>
        <v>2026//4/30</v>
      </c>
      <c r="BY41" s="246">
        <v>2983010.7019</v>
      </c>
      <c r="BZ41" s="244">
        <f t="shared" si="44"/>
        <v>2992560.7</v>
      </c>
      <c r="CA41" s="244">
        <f t="shared" si="45"/>
        <v>-9549.99809999997</v>
      </c>
      <c r="CB41" s="245">
        <f t="shared" si="46"/>
        <v>-0.00319124624606611</v>
      </c>
      <c r="CC41" s="242"/>
      <c r="CD41" s="247">
        <f>(BY41-BY62)/BY62</f>
        <v>-0.0402340913419098</v>
      </c>
      <c r="CF41" s="10" t="str">
        <f t="shared" si="47"/>
        <v>2026//4/30</v>
      </c>
      <c r="CG41" s="248">
        <v>1321903.9</v>
      </c>
      <c r="CH41" s="244">
        <f t="shared" si="48"/>
        <v>1323603.9</v>
      </c>
      <c r="CI41" s="244">
        <f t="shared" si="49"/>
        <v>-1700</v>
      </c>
      <c r="CJ41" s="245">
        <f t="shared" si="50"/>
        <v>-0.00128437215997928</v>
      </c>
      <c r="CK41" s="242"/>
      <c r="CL41" s="247">
        <f>(CG41-CG62)/CG62</f>
        <v>-0.0516194703045994</v>
      </c>
      <c r="CN41" s="10" t="str">
        <f t="shared" si="51"/>
        <v>2026//4/30</v>
      </c>
      <c r="CO41" s="246">
        <v>634946.48</v>
      </c>
      <c r="CP41" s="244">
        <f t="shared" si="52"/>
        <v>642146.48</v>
      </c>
      <c r="CQ41" s="244">
        <f t="shared" si="53"/>
        <v>-7200</v>
      </c>
      <c r="CR41" s="245">
        <f t="shared" si="54"/>
        <v>-0.0112123950286234</v>
      </c>
      <c r="CS41" s="247"/>
      <c r="CT41" s="247">
        <f>(CO41-CO62)/CO62</f>
        <v>-0.0466934379714761</v>
      </c>
      <c r="CV41" s="10" t="str">
        <f t="shared" si="55"/>
        <v>2026//4/30</v>
      </c>
      <c r="CW41" s="246">
        <v>556190.4</v>
      </c>
      <c r="CX41" s="244">
        <f t="shared" si="56"/>
        <v>569390.4</v>
      </c>
      <c r="CY41" s="244">
        <f t="shared" si="57"/>
        <v>-13200</v>
      </c>
      <c r="CZ41" s="245">
        <f t="shared" si="58"/>
        <v>-0.0231826880115998</v>
      </c>
      <c r="DA41" s="242"/>
      <c r="DB41" s="242">
        <f>(CW41-CW62)/CW62</f>
        <v>-0.0236113871136949</v>
      </c>
      <c r="DC41" s="249"/>
      <c r="DD41" s="10" t="str">
        <f t="shared" si="59"/>
        <v>2026//4/30</v>
      </c>
      <c r="DE41" s="246">
        <v>2214717.9986</v>
      </c>
      <c r="DF41" s="244">
        <f t="shared" si="60"/>
        <v>2229918</v>
      </c>
      <c r="DG41" s="244">
        <f t="shared" si="61"/>
        <v>-15200.0014</v>
      </c>
      <c r="DH41" s="245">
        <f t="shared" si="62"/>
        <v>-0.0068163947732607</v>
      </c>
      <c r="DI41" s="242"/>
      <c r="DJ41" s="242">
        <f>(DE41-DE62)/DE62</f>
        <v>-0.063353288929724</v>
      </c>
      <c r="DL41" s="10" t="str">
        <f t="shared" si="63"/>
        <v>2026//4/30</v>
      </c>
      <c r="DM41" s="246">
        <v>1071500.36</v>
      </c>
      <c r="DN41" s="244">
        <f t="shared" si="64"/>
        <v>1126500.36</v>
      </c>
      <c r="DO41" s="244">
        <f t="shared" si="65"/>
        <v>-55000</v>
      </c>
      <c r="DP41" s="245">
        <f t="shared" si="66"/>
        <v>-0.0488237748987492</v>
      </c>
      <c r="DQ41" s="242"/>
      <c r="DR41" s="242">
        <f>(DM41-DM62)/DM62</f>
        <v>-0.238937363436714</v>
      </c>
      <c r="DT41" s="10" t="str">
        <f t="shared" si="67"/>
        <v>2026//4/30</v>
      </c>
      <c r="DU41" s="246">
        <v>1398689.48</v>
      </c>
      <c r="DV41" s="244">
        <f t="shared" si="68"/>
        <v>1440989.48</v>
      </c>
      <c r="DW41" s="244">
        <f t="shared" si="69"/>
        <v>-42300</v>
      </c>
      <c r="DX41" s="245">
        <f t="shared" si="70"/>
        <v>-0.0293548291553107</v>
      </c>
      <c r="DY41" s="242"/>
      <c r="DZ41" s="242">
        <f>(DU41-DU62)/DU62</f>
        <v>-0.170010555726944</v>
      </c>
      <c r="EB41" s="10" t="str">
        <f t="shared" si="71"/>
        <v>2026//4/30</v>
      </c>
      <c r="EC41" s="246">
        <v>4192766.82</v>
      </c>
      <c r="ED41" s="244">
        <f t="shared" si="72"/>
        <v>4485866.82</v>
      </c>
      <c r="EE41" s="244">
        <f t="shared" si="73"/>
        <v>-293100</v>
      </c>
      <c r="EF41" s="245">
        <f t="shared" si="74"/>
        <v>-0.0653385425294459</v>
      </c>
      <c r="EG41" s="242"/>
      <c r="EH41" s="242">
        <f>(EC41-EC62)/EC62</f>
        <v>-0.190408449236777</v>
      </c>
      <c r="EJ41" s="10" t="str">
        <f t="shared" si="75"/>
        <v>2026//4/30</v>
      </c>
      <c r="EK41" s="246">
        <v>1316722.9669</v>
      </c>
      <c r="EL41" s="244">
        <f t="shared" si="76"/>
        <v>1327922.97</v>
      </c>
      <c r="EM41" s="244">
        <f t="shared" si="77"/>
        <v>-11200.0030999999</v>
      </c>
      <c r="EN41" s="245">
        <f t="shared" si="78"/>
        <v>-0.00843422649733957</v>
      </c>
      <c r="EO41" s="242"/>
      <c r="EP41" s="242">
        <f>(EK41-EK62)/EK62</f>
        <v>-0.147599277672418</v>
      </c>
      <c r="ER41" s="10" t="str">
        <f t="shared" si="79"/>
        <v>2026//4/30</v>
      </c>
      <c r="ES41" s="250">
        <v>432797.02</v>
      </c>
      <c r="ET41" s="244">
        <f t="shared" si="80"/>
        <v>437447.02</v>
      </c>
      <c r="EU41" s="244">
        <f t="shared" si="81"/>
        <v>-4650</v>
      </c>
      <c r="EV41" s="245">
        <f t="shared" si="82"/>
        <v>-0.0106298586740858</v>
      </c>
      <c r="EW41" s="242"/>
      <c r="EX41" s="242">
        <f>(ES41-ES62)/ES62</f>
        <v>-0.193441253177291</v>
      </c>
      <c r="EZ41" s="10" t="str">
        <f t="shared" si="83"/>
        <v>2026//4/30</v>
      </c>
      <c r="FA41" s="246">
        <v>699508</v>
      </c>
      <c r="FB41" s="244">
        <f t="shared" si="84"/>
        <v>705308</v>
      </c>
      <c r="FC41" s="244">
        <f t="shared" si="85"/>
        <v>-5800</v>
      </c>
      <c r="FD41" s="245">
        <f t="shared" si="86"/>
        <v>-0.00822335773874676</v>
      </c>
      <c r="FE41" s="242"/>
      <c r="FF41" s="242">
        <f>(FA41-FA62)/FA62</f>
        <v>-0.031699538211094</v>
      </c>
      <c r="FG41" s="242"/>
      <c r="FH41" s="10" t="str">
        <f t="shared" si="87"/>
        <v>2026//4/30</v>
      </c>
      <c r="FI41" s="243">
        <v>1277595.3365</v>
      </c>
      <c r="FJ41" s="244">
        <f t="shared" si="88"/>
        <v>1262195.34</v>
      </c>
      <c r="FK41" s="244">
        <f t="shared" si="89"/>
        <v>15399.9964999999</v>
      </c>
      <c r="FL41" s="245">
        <f t="shared" si="90"/>
        <v>0.0122009613028677</v>
      </c>
      <c r="FM41" s="247"/>
      <c r="FN41" s="247">
        <f>(FI41-FI62)/FI62</f>
        <v>0.173510440703369</v>
      </c>
      <c r="FP41" s="10" t="str">
        <f t="shared" si="91"/>
        <v>2026//4/30</v>
      </c>
      <c r="FQ41" s="246">
        <v>2031268.73</v>
      </c>
      <c r="FR41" s="244">
        <f t="shared" si="92"/>
        <v>2041168.73</v>
      </c>
      <c r="FS41" s="244">
        <f t="shared" si="93"/>
        <v>-9900</v>
      </c>
      <c r="FT41" s="245">
        <f t="shared" si="94"/>
        <v>-0.00485016248509745</v>
      </c>
      <c r="FU41" s="242"/>
      <c r="FV41" s="242">
        <f>(FQ41-FQ62)/FQ62</f>
        <v>-0.110484960091392</v>
      </c>
      <c r="FX41" s="10" t="str">
        <f t="shared" si="95"/>
        <v>2026//4/30</v>
      </c>
      <c r="FY41" s="246">
        <v>8208282.05</v>
      </c>
      <c r="FZ41" s="244">
        <f t="shared" si="96"/>
        <v>8194582.05</v>
      </c>
      <c r="GA41" s="244">
        <f t="shared" si="97"/>
        <v>13700</v>
      </c>
      <c r="GB41" s="245">
        <f t="shared" si="98"/>
        <v>0.00167183633239721</v>
      </c>
      <c r="GC41" s="242"/>
      <c r="GD41" s="242">
        <f>(FY41-FY62)/FY62</f>
        <v>-0.0340336111683815</v>
      </c>
      <c r="GF41" s="10" t="str">
        <f t="shared" si="99"/>
        <v>2026//4/30</v>
      </c>
      <c r="GG41" s="251">
        <v>4634969.49</v>
      </c>
      <c r="GH41" s="244">
        <f t="shared" si="100"/>
        <v>4616069.49</v>
      </c>
      <c r="GI41" s="244">
        <f t="shared" si="101"/>
        <v>18900</v>
      </c>
      <c r="GJ41" s="245">
        <f t="shared" si="102"/>
        <v>0.00409439243515374</v>
      </c>
      <c r="GK41" s="242"/>
      <c r="GL41" s="242">
        <f>(GG41-GG62)/GG62</f>
        <v>-0.0212021469944471</v>
      </c>
      <c r="GN41" s="10" t="str">
        <f t="shared" si="103"/>
        <v>2026//4/30</v>
      </c>
      <c r="GO41" s="246">
        <v>1819978.1217</v>
      </c>
      <c r="GP41" s="244">
        <f t="shared" si="104"/>
        <v>1824418.12</v>
      </c>
      <c r="GQ41" s="244">
        <f t="shared" si="105"/>
        <v>-4439.99830000009</v>
      </c>
      <c r="GR41" s="245">
        <f t="shared" si="106"/>
        <v>-0.0024336517223366</v>
      </c>
      <c r="GS41" s="242"/>
      <c r="GT41" s="242">
        <f>(GO41-GO62)/GO62</f>
        <v>-0.0165991405989001</v>
      </c>
      <c r="GV41" s="10" t="str">
        <f t="shared" si="107"/>
        <v>2026//4/30</v>
      </c>
      <c r="GW41" s="246">
        <v>893749.4</v>
      </c>
      <c r="GX41" s="244">
        <f t="shared" si="108"/>
        <v>885949.4</v>
      </c>
      <c r="GY41" s="244">
        <f t="shared" si="109"/>
        <v>7800</v>
      </c>
      <c r="GZ41" s="245">
        <f t="shared" si="110"/>
        <v>0.00880411454649667</v>
      </c>
      <c r="HA41" s="242"/>
      <c r="HB41" s="242">
        <f>(GW41-GW62)/GW62</f>
        <v>-0.133081216207119</v>
      </c>
      <c r="HD41" s="10" t="str">
        <f t="shared" si="111"/>
        <v>2026//4/30</v>
      </c>
      <c r="HE41" s="246">
        <v>1315564.6746</v>
      </c>
      <c r="HF41" s="244">
        <f t="shared" si="112"/>
        <v>1271464.67</v>
      </c>
      <c r="HG41" s="244">
        <f t="shared" si="113"/>
        <v>44100.0046000001</v>
      </c>
      <c r="HH41" s="245">
        <f t="shared" si="114"/>
        <v>0.0346844121118993</v>
      </c>
      <c r="HI41" s="247"/>
      <c r="HJ41" s="242">
        <f>(HE41-HE62)/HE62</f>
        <v>0.193618984901775</v>
      </c>
      <c r="HL41" s="10" t="str">
        <f t="shared" si="115"/>
        <v>2026//4/30</v>
      </c>
      <c r="HM41" s="246">
        <v>138354.25</v>
      </c>
      <c r="HN41" s="244">
        <f t="shared" si="116"/>
        <v>139454.25</v>
      </c>
      <c r="HO41" s="244">
        <f t="shared" si="117"/>
        <v>-1100</v>
      </c>
      <c r="HP41" s="245">
        <f t="shared" si="118"/>
        <v>-0.00788789154866202</v>
      </c>
      <c r="HQ41" s="242"/>
      <c r="HR41" s="242">
        <f>(HM41-HM62)/HM62</f>
        <v>-0.0933787885986137</v>
      </c>
      <c r="HT41" s="10" t="str">
        <f t="shared" si="119"/>
        <v>2026//4/30</v>
      </c>
      <c r="HU41" s="246">
        <v>199768.8265</v>
      </c>
      <c r="HV41" s="244">
        <f t="shared" si="120"/>
        <v>205768.83</v>
      </c>
      <c r="HW41" s="244">
        <f t="shared" si="121"/>
        <v>-6000.00349999999</v>
      </c>
      <c r="HX41" s="245">
        <f t="shared" si="122"/>
        <v>-0.0291589523058473</v>
      </c>
      <c r="HY41" s="242"/>
      <c r="HZ41" s="242">
        <f>(HU41-HU62)/HU62</f>
        <v>-0.213721595196136</v>
      </c>
      <c r="IB41" s="10" t="str">
        <f t="shared" si="123"/>
        <v>2026//4/30</v>
      </c>
      <c r="IC41" s="246">
        <v>358184.79</v>
      </c>
      <c r="ID41" s="244">
        <f t="shared" si="124"/>
        <v>359434.79</v>
      </c>
      <c r="IE41" s="244">
        <f t="shared" si="125"/>
        <v>-1250</v>
      </c>
      <c r="IF41" s="245">
        <f t="shared" si="126"/>
        <v>-0.00347768228000411</v>
      </c>
      <c r="IG41" s="247"/>
      <c r="IH41" s="242">
        <f>(IC41-IC62)/IC62</f>
        <v>-0.179481685755218</v>
      </c>
      <c r="IJ41" s="10" t="str">
        <f t="shared" si="127"/>
        <v>2026//4/30</v>
      </c>
      <c r="IK41" s="246">
        <v>632316.29</v>
      </c>
      <c r="IL41" s="244">
        <f t="shared" si="128"/>
        <v>618396.29</v>
      </c>
      <c r="IM41" s="244">
        <f t="shared" si="129"/>
        <v>13920</v>
      </c>
      <c r="IN41" s="245">
        <f t="shared" si="130"/>
        <v>0.022509837502421</v>
      </c>
      <c r="IO41" s="242"/>
      <c r="IP41" s="242">
        <f>(IK41-IK62)/IK62</f>
        <v>0.0437081773361579</v>
      </c>
      <c r="IR41" s="10" t="str">
        <f t="shared" si="131"/>
        <v>2026//4/30</v>
      </c>
      <c r="IS41" s="246">
        <v>139989</v>
      </c>
      <c r="IT41" s="244">
        <f t="shared" si="132"/>
        <v>139589</v>
      </c>
      <c r="IU41" s="244">
        <f t="shared" si="133"/>
        <v>400</v>
      </c>
      <c r="IV41" s="245">
        <f t="shared" si="134"/>
        <v>0.0028655553087994</v>
      </c>
      <c r="IW41" s="242"/>
      <c r="IX41" s="242">
        <f>(IS41-IS62)/IS62</f>
        <v>-0.0189222715135715</v>
      </c>
      <c r="IZ41" s="10" t="str">
        <f t="shared" si="135"/>
        <v>2026//4/30</v>
      </c>
      <c r="JA41" s="246">
        <v>4977729.15</v>
      </c>
      <c r="JB41" s="244">
        <f t="shared" si="136"/>
        <v>4933729.15</v>
      </c>
      <c r="JC41" s="244">
        <f t="shared" si="137"/>
        <v>44000</v>
      </c>
      <c r="JD41" s="245">
        <f t="shared" si="138"/>
        <v>0.0089182033837427</v>
      </c>
      <c r="JE41" s="242"/>
      <c r="JF41" s="242">
        <f>(JA41-JA62)/JA62</f>
        <v>-0.00856449306770512</v>
      </c>
      <c r="JH41" s="10" t="str">
        <f t="shared" si="139"/>
        <v>2026//4/30</v>
      </c>
      <c r="JI41" s="246">
        <v>1327047.99</v>
      </c>
      <c r="JJ41" s="244">
        <f t="shared" si="140"/>
        <v>1341567.99</v>
      </c>
      <c r="JK41" s="244">
        <f t="shared" si="141"/>
        <v>-14520</v>
      </c>
      <c r="JL41" s="245">
        <f t="shared" si="142"/>
        <v>-0.0108231562680621</v>
      </c>
      <c r="JM41" s="242"/>
      <c r="JN41" s="242">
        <f>(JI41-JI62)/JI62</f>
        <v>-0.112620264108762</v>
      </c>
      <c r="JO41" s="242"/>
      <c r="JP41" s="10" t="str">
        <f t="shared" si="143"/>
        <v>2026//4/30</v>
      </c>
      <c r="JQ41" s="246">
        <v>1020390.4148</v>
      </c>
      <c r="JR41" s="244">
        <f t="shared" si="144"/>
        <v>1025590.41</v>
      </c>
      <c r="JS41" s="244">
        <f t="shared" si="145"/>
        <v>-5199.9952</v>
      </c>
      <c r="JT41" s="245">
        <f t="shared" si="146"/>
        <v>-0.00507024553788486</v>
      </c>
      <c r="JU41" s="242"/>
      <c r="JV41" s="242">
        <f>(JQ41-JQ62)/JQ62</f>
        <v>-0.0214808220186835</v>
      </c>
      <c r="JW41" s="247"/>
      <c r="JX41" s="10" t="str">
        <f t="shared" si="147"/>
        <v>2026//4/30</v>
      </c>
      <c r="JY41" s="246">
        <v>1170948.8</v>
      </c>
      <c r="JZ41" s="244">
        <f t="shared" si="148"/>
        <v>1171098.8</v>
      </c>
      <c r="KA41" s="244">
        <f t="shared" si="149"/>
        <v>-150</v>
      </c>
      <c r="KB41" s="245">
        <f t="shared" si="150"/>
        <v>-0.000128084837931693</v>
      </c>
      <c r="KC41" s="242"/>
      <c r="KD41" s="242">
        <f>(JY41-JY62)/JY62</f>
        <v>-0.0754077069677037</v>
      </c>
      <c r="KE41" s="247"/>
      <c r="KF41" s="10" t="str">
        <f t="shared" si="151"/>
        <v>2026//4/30</v>
      </c>
      <c r="KG41" s="246">
        <v>728155.9219</v>
      </c>
      <c r="KH41" s="244">
        <f t="shared" si="152"/>
        <v>728155.92</v>
      </c>
      <c r="KI41" s="244">
        <f t="shared" si="153"/>
        <v>0.00189999991562217</v>
      </c>
      <c r="KJ41" s="245">
        <f t="shared" si="154"/>
        <v>2.6093311383394e-9</v>
      </c>
      <c r="KK41" s="247"/>
      <c r="KL41" s="247">
        <f>(KG41-KG62)/KG62</f>
        <v>-0.00600636481103051</v>
      </c>
      <c r="KN41" s="10" t="str">
        <f t="shared" si="155"/>
        <v>2026//4/30</v>
      </c>
      <c r="KO41" s="246">
        <v>8328775.95</v>
      </c>
      <c r="KP41" s="244">
        <f t="shared" si="156"/>
        <v>8328775.95</v>
      </c>
      <c r="KQ41" s="244">
        <f t="shared" si="157"/>
        <v>0</v>
      </c>
      <c r="KR41" s="245">
        <f t="shared" si="158"/>
        <v>0</v>
      </c>
      <c r="KS41" s="242"/>
      <c r="KT41" s="242">
        <f>(KO41-KO62)/KO62</f>
        <v>0.00895228474026917</v>
      </c>
      <c r="KV41" s="10" t="str">
        <f t="shared" si="159"/>
        <v>2026//4/30</v>
      </c>
      <c r="KW41" s="246">
        <v>1032672.9726</v>
      </c>
      <c r="KX41" s="244">
        <f t="shared" si="160"/>
        <v>999372.97</v>
      </c>
      <c r="KY41" s="244">
        <f t="shared" si="161"/>
        <v>33300.0026</v>
      </c>
      <c r="KZ41" s="245">
        <f t="shared" si="162"/>
        <v>0.0333208958012943</v>
      </c>
      <c r="LA41" s="247"/>
      <c r="LB41" s="242">
        <f>(KW41-KW62)/KW62</f>
        <v>0.0257257627804608</v>
      </c>
      <c r="LD41" s="10" t="str">
        <f t="shared" si="163"/>
        <v>2026//4/30</v>
      </c>
      <c r="LE41" s="246">
        <v>471757.7</v>
      </c>
      <c r="LF41" s="244">
        <f t="shared" si="164"/>
        <v>476307.7</v>
      </c>
      <c r="LG41" s="244">
        <f t="shared" si="165"/>
        <v>-4550</v>
      </c>
      <c r="LH41" s="245">
        <f t="shared" si="166"/>
        <v>-0.00955264842453733</v>
      </c>
      <c r="LI41" s="242"/>
      <c r="LJ41" s="242">
        <f>(LE41-LE62)/LE62</f>
        <v>0.0607072120392744</v>
      </c>
      <c r="LL41" s="10" t="str">
        <f t="shared" si="167"/>
        <v>2026//4/30</v>
      </c>
      <c r="LM41" s="243">
        <v>3463495.02</v>
      </c>
      <c r="LN41" s="244">
        <f t="shared" si="168"/>
        <v>3499495.02</v>
      </c>
      <c r="LO41" s="244">
        <f t="shared" si="169"/>
        <v>-36000</v>
      </c>
      <c r="LP41" s="245">
        <f t="shared" si="170"/>
        <v>-0.0102871985227171</v>
      </c>
      <c r="LQ41" s="242"/>
      <c r="LR41" s="242">
        <f>(LM41-LM62)/LM62</f>
        <v>-0.0273963753584464</v>
      </c>
      <c r="LT41" s="10" t="str">
        <f t="shared" si="171"/>
        <v>2026//4/30</v>
      </c>
      <c r="LU41" s="246">
        <v>2476662.904</v>
      </c>
      <c r="LV41" s="244">
        <f t="shared" si="172"/>
        <v>2497262.9</v>
      </c>
      <c r="LW41" s="244">
        <f t="shared" si="173"/>
        <v>-20599.9959999998</v>
      </c>
      <c r="LX41" s="245">
        <f t="shared" si="174"/>
        <v>-0.00824902976775085</v>
      </c>
      <c r="LY41" s="242"/>
      <c r="LZ41" s="242">
        <f>(LU41-LU62)/LU62</f>
        <v>-0.0779579644244369</v>
      </c>
      <c r="MB41" s="10" t="str">
        <f t="shared" si="175"/>
        <v>2026//4/30</v>
      </c>
      <c r="MC41" s="246">
        <v>833917.69</v>
      </c>
      <c r="MD41" s="244">
        <f t="shared" si="176"/>
        <v>799517.69</v>
      </c>
      <c r="ME41" s="244">
        <f t="shared" si="177"/>
        <v>34400</v>
      </c>
      <c r="MF41" s="245">
        <f t="shared" si="178"/>
        <v>0.0430259398012819</v>
      </c>
      <c r="MG41" s="242"/>
      <c r="MH41" s="242">
        <f>(MC41-MC62)/MC62</f>
        <v>0.00500139984963743</v>
      </c>
      <c r="MK41" s="10" t="str">
        <f t="shared" si="179"/>
        <v>2026//4/30</v>
      </c>
      <c r="ML41" s="250">
        <v>216825.5354</v>
      </c>
      <c r="MM41" s="244">
        <f t="shared" si="180"/>
        <v>217065.54</v>
      </c>
      <c r="MN41" s="244">
        <f t="shared" si="181"/>
        <v>-240.004600000015</v>
      </c>
      <c r="MO41" s="245">
        <f t="shared" si="182"/>
        <v>-0.0011056780362282</v>
      </c>
      <c r="MP41" s="242"/>
      <c r="MQ41" s="247">
        <f>(ML41-ML62)/ML62</f>
        <v>-0.0200663637033749</v>
      </c>
      <c r="MR41" s="247"/>
      <c r="MT41" s="10" t="str">
        <f t="shared" si="183"/>
        <v>2026//4/30</v>
      </c>
      <c r="MU41" s="250">
        <v>203214.8</v>
      </c>
      <c r="MV41" s="252">
        <f t="shared" si="184"/>
        <v>201814.8</v>
      </c>
      <c r="MW41" s="10">
        <f t="shared" si="185"/>
        <v>1400</v>
      </c>
      <c r="MX41" s="242">
        <f t="shared" si="186"/>
        <v>0.00693705317944967</v>
      </c>
      <c r="MY41" s="242"/>
      <c r="MZ41" s="242">
        <f>(MU41-MU62)/MU62</f>
        <v>-0.325349219228272</v>
      </c>
      <c r="NA41" s="242"/>
      <c r="NC41" s="10" t="str">
        <f t="shared" si="187"/>
        <v>2026//4/30</v>
      </c>
      <c r="ND41" s="250">
        <v>41291.48</v>
      </c>
      <c r="NE41" s="252">
        <f t="shared" si="188"/>
        <v>41291.48</v>
      </c>
      <c r="NF41" s="10">
        <f t="shared" si="189"/>
        <v>0</v>
      </c>
      <c r="NG41" s="242">
        <f t="shared" si="190"/>
        <v>0</v>
      </c>
      <c r="NH41" s="242"/>
      <c r="NI41" s="242">
        <f>(ND41-ND62)/ND62</f>
        <v>-0.0883168313333987</v>
      </c>
      <c r="NJ41" s="242"/>
      <c r="NK41" s="242"/>
      <c r="NM41" s="10" t="str">
        <f t="shared" si="191"/>
        <v>2026//4/30</v>
      </c>
      <c r="NN41" s="250">
        <v>2555611.08</v>
      </c>
      <c r="NO41" s="10">
        <f t="shared" si="192"/>
        <v>2554811.08</v>
      </c>
      <c r="NP41" s="10">
        <f t="shared" si="193"/>
        <v>800</v>
      </c>
      <c r="NQ41" s="242">
        <f t="shared" si="194"/>
        <v>0.000313134699572385</v>
      </c>
      <c r="NR41" s="242"/>
      <c r="NS41" s="242">
        <f>(NN41-NN62)/NN62</f>
        <v>-0.0197160650349058</v>
      </c>
      <c r="NU41" s="10" t="str">
        <f t="shared" si="195"/>
        <v>2026//4/30</v>
      </c>
      <c r="NV41" s="250">
        <v>262176.5</v>
      </c>
      <c r="NW41" s="253">
        <f t="shared" si="196"/>
        <v>263376.5</v>
      </c>
      <c r="NX41" s="10">
        <f t="shared" si="197"/>
        <v>-1200</v>
      </c>
      <c r="NY41" s="242">
        <f t="shared" si="198"/>
        <v>-0.00455621515207317</v>
      </c>
      <c r="NZ41" s="247"/>
      <c r="OA41" s="247">
        <f>(NV41-NV62)/NV62</f>
        <v>0.0549237204080853</v>
      </c>
      <c r="OC41" s="10" t="str">
        <f t="shared" si="199"/>
        <v>2026//4/30</v>
      </c>
      <c r="OD41" s="246">
        <v>14534.97</v>
      </c>
      <c r="OE41" s="244">
        <f t="shared" si="200"/>
        <v>14444.97</v>
      </c>
      <c r="OF41" s="244">
        <f t="shared" si="201"/>
        <v>90</v>
      </c>
      <c r="OG41" s="245">
        <f t="shared" si="202"/>
        <v>0.00623054253487546</v>
      </c>
      <c r="OH41" s="242"/>
      <c r="OI41" s="242">
        <f>(OD41-OD62)/OD62</f>
        <v>0.249678229760716</v>
      </c>
      <c r="OK41" s="10" t="str">
        <f t="shared" si="203"/>
        <v>2026//4/30</v>
      </c>
      <c r="OL41" s="246">
        <v>14042.65</v>
      </c>
      <c r="OM41" s="244">
        <f t="shared" si="204"/>
        <v>14042.65</v>
      </c>
      <c r="ON41" s="244">
        <f t="shared" si="205"/>
        <v>0</v>
      </c>
      <c r="OO41" s="245">
        <f t="shared" si="206"/>
        <v>0</v>
      </c>
      <c r="OP41" s="242"/>
      <c r="OQ41" s="242">
        <f>(OL41-OL62)/OL62</f>
        <v>0.271558769066387</v>
      </c>
      <c r="OT41" s="234" t="str">
        <f t="shared" si="207"/>
        <v>2026//4/30</v>
      </c>
      <c r="OU41" s="206">
        <v>146232.4066</v>
      </c>
      <c r="OV41" s="8">
        <f t="shared" si="208"/>
        <v>146112.4066</v>
      </c>
      <c r="OW41" s="191">
        <f t="shared" si="209"/>
        <v>120</v>
      </c>
      <c r="OX41" s="192">
        <f t="shared" si="210"/>
        <v>0.000821285493767235</v>
      </c>
    </row>
    <row r="42" s="8" customFormat="1" ht="17" customHeight="1" spans="1:414">
      <c r="A42" s="15"/>
      <c r="B42" s="15"/>
      <c r="C42" s="15" t="s">
        <v>468</v>
      </c>
      <c r="D42" s="207">
        <v>3937188.77</v>
      </c>
      <c r="E42" s="19">
        <f t="shared" si="8"/>
        <v>3986058.77</v>
      </c>
      <c r="F42" s="19">
        <f t="shared" si="9"/>
        <v>-48870</v>
      </c>
      <c r="G42" s="172">
        <f t="shared" si="10"/>
        <v>-0.0122602306739195</v>
      </c>
      <c r="H42" s="18"/>
      <c r="I42" s="172">
        <f>(D42-D62)/D62</f>
        <v>-0.121723665186981</v>
      </c>
      <c r="J42" s="172"/>
      <c r="K42" s="8" t="str">
        <f t="shared" si="11"/>
        <v>2026//4/29</v>
      </c>
      <c r="L42" s="19">
        <v>3015244.4</v>
      </c>
      <c r="M42" s="19">
        <f t="shared" si="12"/>
        <v>3041524.4</v>
      </c>
      <c r="N42" s="19">
        <f t="shared" si="13"/>
        <v>-26280</v>
      </c>
      <c r="O42" s="172">
        <f t="shared" si="14"/>
        <v>-0.00864040413419008</v>
      </c>
      <c r="P42" s="18"/>
      <c r="Q42" s="172">
        <f>(L42-L62)/L62</f>
        <v>-0.0488051184584863</v>
      </c>
      <c r="R42" s="19"/>
      <c r="S42" s="8" t="str">
        <f t="shared" si="15"/>
        <v>2026//4/29</v>
      </c>
      <c r="T42" s="19">
        <v>1853076.68</v>
      </c>
      <c r="U42" s="19">
        <f t="shared" si="16"/>
        <v>1928226.68</v>
      </c>
      <c r="V42" s="19">
        <f t="shared" si="17"/>
        <v>-75150</v>
      </c>
      <c r="W42" s="172">
        <f t="shared" si="18"/>
        <v>-0.0389736335356588</v>
      </c>
      <c r="X42" s="18"/>
      <c r="Y42" s="172">
        <f>(T42-T62)/T62</f>
        <v>-0.195107718798241</v>
      </c>
      <c r="Z42" s="19"/>
      <c r="AA42" s="8" t="str">
        <f t="shared" si="19"/>
        <v>2026//4/29</v>
      </c>
      <c r="AB42" s="19">
        <v>804496.86</v>
      </c>
      <c r="AC42" s="19">
        <f t="shared" si="20"/>
        <v>781696.86</v>
      </c>
      <c r="AD42" s="19">
        <f t="shared" si="21"/>
        <v>22800</v>
      </c>
      <c r="AE42" s="172">
        <f t="shared" si="22"/>
        <v>0.0291673168547716</v>
      </c>
      <c r="AF42" s="18"/>
      <c r="AG42" s="172">
        <f>(AB42-AB62)/AB62</f>
        <v>-0.1474688585425</v>
      </c>
      <c r="AH42" s="19"/>
      <c r="AI42" s="8" t="str">
        <f t="shared" si="23"/>
        <v>2026//4/29</v>
      </c>
      <c r="AJ42" s="19">
        <v>555921.76</v>
      </c>
      <c r="AK42" s="19">
        <f t="shared" si="24"/>
        <v>553721.76</v>
      </c>
      <c r="AL42" s="19">
        <f t="shared" si="25"/>
        <v>2200</v>
      </c>
      <c r="AM42" s="172">
        <f t="shared" si="26"/>
        <v>0.00397311458375773</v>
      </c>
      <c r="AN42" s="18"/>
      <c r="AO42" s="18">
        <f>(AJ42-AJ62)/AJ62</f>
        <v>-0.265160912225446</v>
      </c>
      <c r="AP42" s="19"/>
      <c r="AQ42" s="8" t="str">
        <f t="shared" si="27"/>
        <v>2026//4/29</v>
      </c>
      <c r="AR42" s="254">
        <v>1237245.49</v>
      </c>
      <c r="AS42" s="19">
        <f t="shared" si="28"/>
        <v>1248145.49</v>
      </c>
      <c r="AT42" s="19">
        <f t="shared" si="29"/>
        <v>-10900</v>
      </c>
      <c r="AU42" s="172">
        <f t="shared" si="30"/>
        <v>-0.0087329562838063</v>
      </c>
      <c r="AV42" s="18"/>
      <c r="AW42" s="18">
        <f>(AR42-AR62)/AR62</f>
        <v>-0.22953640452669</v>
      </c>
      <c r="AX42" s="17"/>
      <c r="AY42" s="17"/>
      <c r="AZ42" s="8" t="str">
        <f t="shared" si="31"/>
        <v>2026//4/29</v>
      </c>
      <c r="BA42" s="255">
        <v>1842861.67</v>
      </c>
      <c r="BB42" s="129">
        <f t="shared" si="32"/>
        <v>1866801.67</v>
      </c>
      <c r="BC42" s="17">
        <f t="shared" si="33"/>
        <v>-23940</v>
      </c>
      <c r="BD42" s="18">
        <f t="shared" si="34"/>
        <v>-0.012824072521855</v>
      </c>
      <c r="BE42" s="18"/>
      <c r="BF42" s="18">
        <f>(BA42-BA62)/BA62</f>
        <v>-0.0769499783435108</v>
      </c>
      <c r="BG42" s="74"/>
      <c r="BH42" s="8" t="str">
        <f t="shared" si="35"/>
        <v>2026//4/29</v>
      </c>
      <c r="BI42" s="256">
        <v>1680526.55</v>
      </c>
      <c r="BJ42" s="195">
        <f t="shared" si="36"/>
        <v>1675326.55</v>
      </c>
      <c r="BK42" s="195">
        <f t="shared" si="37"/>
        <v>5200</v>
      </c>
      <c r="BL42" s="196">
        <f t="shared" si="38"/>
        <v>0.00310387249578299</v>
      </c>
      <c r="BM42" s="197"/>
      <c r="BN42" s="192"/>
      <c r="BP42" s="8" t="str">
        <f t="shared" si="39"/>
        <v>2026//4/29</v>
      </c>
      <c r="BQ42" s="198">
        <v>1131062.39</v>
      </c>
      <c r="BR42" s="12">
        <f t="shared" si="40"/>
        <v>1116662.39</v>
      </c>
      <c r="BS42" s="12">
        <f t="shared" si="41"/>
        <v>14400</v>
      </c>
      <c r="BT42" s="199">
        <f t="shared" si="42"/>
        <v>0.0128955717761749</v>
      </c>
      <c r="BU42" s="192"/>
      <c r="BV42" s="192"/>
      <c r="BX42" s="8" t="str">
        <f t="shared" si="43"/>
        <v>2026//4/29</v>
      </c>
      <c r="BY42" s="257">
        <v>2992560.7</v>
      </c>
      <c r="BZ42" s="12">
        <f t="shared" si="44"/>
        <v>2979560.7</v>
      </c>
      <c r="CA42" s="12">
        <f t="shared" si="45"/>
        <v>13000</v>
      </c>
      <c r="CB42" s="199">
        <f t="shared" si="46"/>
        <v>0.00436305929259974</v>
      </c>
      <c r="CC42" s="192"/>
      <c r="CD42" s="201"/>
      <c r="CF42" s="8" t="str">
        <f t="shared" si="47"/>
        <v>2026//4/29</v>
      </c>
      <c r="CG42" s="200">
        <v>1323603.9</v>
      </c>
      <c r="CH42" s="12">
        <f t="shared" si="48"/>
        <v>1346453.9</v>
      </c>
      <c r="CI42" s="12">
        <f t="shared" si="49"/>
        <v>-22850</v>
      </c>
      <c r="CJ42" s="199">
        <f t="shared" si="50"/>
        <v>-0.0169705030376458</v>
      </c>
      <c r="CK42" s="192"/>
      <c r="CL42" s="201"/>
      <c r="CN42" s="8" t="str">
        <f t="shared" si="51"/>
        <v>2026//4/29</v>
      </c>
      <c r="CO42" s="200">
        <v>642146.48</v>
      </c>
      <c r="CP42" s="12">
        <f t="shared" si="52"/>
        <v>646646.48</v>
      </c>
      <c r="CQ42" s="12">
        <f t="shared" si="53"/>
        <v>-4500</v>
      </c>
      <c r="CR42" s="199">
        <f t="shared" si="54"/>
        <v>-0.00695898012156503</v>
      </c>
      <c r="CS42" s="201"/>
      <c r="CT42" s="201"/>
      <c r="CV42" s="8" t="str">
        <f t="shared" si="55"/>
        <v>2026//4/29</v>
      </c>
      <c r="CW42" s="200">
        <v>569390.4</v>
      </c>
      <c r="CX42" s="12">
        <f t="shared" si="56"/>
        <v>574140.4</v>
      </c>
      <c r="CY42" s="12">
        <f t="shared" si="57"/>
        <v>-4750</v>
      </c>
      <c r="CZ42" s="199">
        <f t="shared" si="58"/>
        <v>-0.00827323769586672</v>
      </c>
      <c r="DA42" s="192"/>
      <c r="DB42" s="192"/>
      <c r="DC42" s="202"/>
      <c r="DD42" s="8" t="str">
        <f t="shared" si="59"/>
        <v>2026//4/29</v>
      </c>
      <c r="DE42" s="257">
        <v>2229918</v>
      </c>
      <c r="DF42" s="12">
        <f t="shared" si="60"/>
        <v>2217918</v>
      </c>
      <c r="DG42" s="12">
        <f t="shared" si="61"/>
        <v>12000</v>
      </c>
      <c r="DH42" s="199">
        <f t="shared" si="62"/>
        <v>0.00541047955785561</v>
      </c>
      <c r="DI42" s="192"/>
      <c r="DJ42" s="192"/>
      <c r="DL42" s="8" t="str">
        <f t="shared" si="63"/>
        <v>2026//4/29</v>
      </c>
      <c r="DM42" s="200">
        <v>1126500.36</v>
      </c>
      <c r="DN42" s="12">
        <f t="shared" si="64"/>
        <v>1114900.36</v>
      </c>
      <c r="DO42" s="12">
        <f t="shared" si="65"/>
        <v>11600</v>
      </c>
      <c r="DP42" s="199">
        <f t="shared" si="66"/>
        <v>0.0104045172251985</v>
      </c>
      <c r="DQ42" s="192"/>
      <c r="DR42" s="192"/>
      <c r="DT42" s="8" t="str">
        <f t="shared" si="67"/>
        <v>2026//4/29</v>
      </c>
      <c r="DU42" s="200">
        <v>1440989.48</v>
      </c>
      <c r="DV42" s="12">
        <f t="shared" si="68"/>
        <v>1418789.48</v>
      </c>
      <c r="DW42" s="12">
        <f t="shared" si="69"/>
        <v>22200</v>
      </c>
      <c r="DX42" s="199">
        <f t="shared" si="70"/>
        <v>0.0156471416746056</v>
      </c>
      <c r="DY42" s="192"/>
      <c r="DZ42" s="192"/>
      <c r="EB42" s="8" t="str">
        <f t="shared" si="71"/>
        <v>2026//4/29</v>
      </c>
      <c r="EC42" s="200">
        <v>4485866.82</v>
      </c>
      <c r="ED42" s="12">
        <f t="shared" si="72"/>
        <v>4467866.82</v>
      </c>
      <c r="EE42" s="12">
        <f t="shared" si="73"/>
        <v>18000</v>
      </c>
      <c r="EF42" s="199">
        <f t="shared" si="74"/>
        <v>0.00402876825231778</v>
      </c>
      <c r="EG42" s="192"/>
      <c r="EH42" s="192"/>
      <c r="EJ42" s="8" t="str">
        <f t="shared" si="75"/>
        <v>2026//4/29</v>
      </c>
      <c r="EK42" s="257">
        <v>1327922.97</v>
      </c>
      <c r="EL42" s="12">
        <f t="shared" si="76"/>
        <v>1333322.97</v>
      </c>
      <c r="EM42" s="12">
        <f t="shared" si="77"/>
        <v>-5400</v>
      </c>
      <c r="EN42" s="199">
        <f t="shared" si="78"/>
        <v>-0.00405003147886967</v>
      </c>
      <c r="EO42" s="192"/>
      <c r="EP42" s="192"/>
      <c r="ER42" s="8" t="str">
        <f t="shared" si="79"/>
        <v>2026//4/29</v>
      </c>
      <c r="ES42" s="8">
        <v>437447.02</v>
      </c>
      <c r="ET42" s="12">
        <f t="shared" si="80"/>
        <v>439397.02</v>
      </c>
      <c r="EU42" s="12">
        <f t="shared" si="81"/>
        <v>-1950</v>
      </c>
      <c r="EV42" s="199">
        <f t="shared" si="82"/>
        <v>-0.00443789992021339</v>
      </c>
      <c r="EW42" s="192"/>
      <c r="EX42" s="192"/>
      <c r="EZ42" s="8" t="str">
        <f t="shared" si="83"/>
        <v>2026//4/29</v>
      </c>
      <c r="FA42" s="200">
        <v>705308</v>
      </c>
      <c r="FB42" s="12">
        <f t="shared" si="84"/>
        <v>706908</v>
      </c>
      <c r="FC42" s="12">
        <f t="shared" si="85"/>
        <v>-1600</v>
      </c>
      <c r="FD42" s="199">
        <f t="shared" si="86"/>
        <v>-0.00226337797846396</v>
      </c>
      <c r="FE42" s="192"/>
      <c r="FF42" s="192"/>
      <c r="FG42" s="192"/>
      <c r="FH42" s="8" t="str">
        <f t="shared" si="87"/>
        <v>2026//4/29</v>
      </c>
      <c r="FI42" s="198">
        <v>1262195.34</v>
      </c>
      <c r="FJ42" s="12">
        <f t="shared" si="88"/>
        <v>1253395.34</v>
      </c>
      <c r="FK42" s="12">
        <f t="shared" si="89"/>
        <v>8800</v>
      </c>
      <c r="FL42" s="199">
        <f t="shared" si="90"/>
        <v>0.00702092924647382</v>
      </c>
      <c r="FM42" s="201"/>
      <c r="FN42" s="201"/>
      <c r="FP42" s="8" t="str">
        <f t="shared" si="91"/>
        <v>2026//4/29</v>
      </c>
      <c r="FQ42" s="200">
        <v>2041168.73</v>
      </c>
      <c r="FR42" s="12">
        <f t="shared" si="92"/>
        <v>2046718.73</v>
      </c>
      <c r="FS42" s="12">
        <f t="shared" si="93"/>
        <v>-5550</v>
      </c>
      <c r="FT42" s="199">
        <f t="shared" si="94"/>
        <v>-0.00271165740492344</v>
      </c>
      <c r="FU42" s="192"/>
      <c r="FV42" s="192"/>
      <c r="FX42" s="8" t="str">
        <f t="shared" si="95"/>
        <v>2026//4/29</v>
      </c>
      <c r="FY42" s="200">
        <v>8194582.05</v>
      </c>
      <c r="FZ42" s="12">
        <f t="shared" si="96"/>
        <v>8182782.05</v>
      </c>
      <c r="GA42" s="12">
        <f t="shared" si="97"/>
        <v>11800</v>
      </c>
      <c r="GB42" s="199">
        <f t="shared" si="98"/>
        <v>0.00144205233964407</v>
      </c>
      <c r="GC42" s="192"/>
      <c r="GD42" s="192"/>
      <c r="GF42" s="8" t="str">
        <f t="shared" si="99"/>
        <v>2026//4/29</v>
      </c>
      <c r="GG42" s="200">
        <v>4616069.49</v>
      </c>
      <c r="GH42" s="12">
        <f t="shared" si="100"/>
        <v>4607869.49</v>
      </c>
      <c r="GI42" s="12">
        <f t="shared" si="101"/>
        <v>8200</v>
      </c>
      <c r="GJ42" s="199">
        <f t="shared" si="102"/>
        <v>0.00177956429056761</v>
      </c>
      <c r="GK42" s="192"/>
      <c r="GL42" s="192"/>
      <c r="GN42" s="8" t="str">
        <f t="shared" si="103"/>
        <v>2026//4/29</v>
      </c>
      <c r="GO42" s="257">
        <v>1824418.12</v>
      </c>
      <c r="GP42" s="12">
        <f t="shared" si="104"/>
        <v>1824958.12</v>
      </c>
      <c r="GQ42" s="12">
        <f t="shared" si="105"/>
        <v>-540</v>
      </c>
      <c r="GR42" s="199">
        <f t="shared" si="106"/>
        <v>-0.000295897201191663</v>
      </c>
      <c r="GS42" s="192"/>
      <c r="GT42" s="192"/>
      <c r="GV42" s="8" t="str">
        <f t="shared" si="107"/>
        <v>2026//4/29</v>
      </c>
      <c r="GW42" s="200">
        <v>885949.4</v>
      </c>
      <c r="GX42" s="12">
        <f t="shared" si="108"/>
        <v>889549.4</v>
      </c>
      <c r="GY42" s="12">
        <f t="shared" si="109"/>
        <v>-3600</v>
      </c>
      <c r="GZ42" s="199">
        <f t="shared" si="110"/>
        <v>-0.00404699278083938</v>
      </c>
      <c r="HA42" s="192"/>
      <c r="HB42" s="192"/>
      <c r="HD42" s="8" t="str">
        <f t="shared" si="111"/>
        <v>2026//4/29</v>
      </c>
      <c r="HE42" s="257">
        <v>1271464.67</v>
      </c>
      <c r="HF42" s="12">
        <f t="shared" si="112"/>
        <v>1259864.67</v>
      </c>
      <c r="HG42" s="12">
        <f t="shared" si="113"/>
        <v>11600</v>
      </c>
      <c r="HH42" s="199">
        <f t="shared" si="114"/>
        <v>0.00920733811830758</v>
      </c>
      <c r="HI42" s="201"/>
      <c r="HJ42" s="192"/>
      <c r="HL42" s="8" t="str">
        <f t="shared" si="115"/>
        <v>2026//4/29</v>
      </c>
      <c r="HM42" s="200">
        <v>139454.25</v>
      </c>
      <c r="HN42" s="208">
        <f t="shared" si="116"/>
        <v>140004.25</v>
      </c>
      <c r="HO42" s="208">
        <f t="shared" si="117"/>
        <v>-550</v>
      </c>
      <c r="HP42" s="209">
        <f t="shared" si="118"/>
        <v>-0.00392845217198764</v>
      </c>
      <c r="HQ42" s="192"/>
      <c r="HR42" s="192"/>
      <c r="HT42" s="8" t="str">
        <f t="shared" si="119"/>
        <v>2026//4/29</v>
      </c>
      <c r="HU42" s="257">
        <v>205768.83</v>
      </c>
      <c r="HV42" s="12">
        <f t="shared" si="120"/>
        <v>206268.83</v>
      </c>
      <c r="HW42" s="12">
        <f t="shared" si="121"/>
        <v>-500</v>
      </c>
      <c r="HX42" s="199">
        <f t="shared" si="122"/>
        <v>-0.00242402111845983</v>
      </c>
      <c r="HY42" s="192"/>
      <c r="HZ42" s="192"/>
      <c r="IB42" s="8" t="str">
        <f t="shared" si="123"/>
        <v>2026//4/29</v>
      </c>
      <c r="IC42" s="200">
        <v>359434.79</v>
      </c>
      <c r="ID42" s="12">
        <f t="shared" si="124"/>
        <v>359509.79</v>
      </c>
      <c r="IE42" s="12">
        <f t="shared" si="125"/>
        <v>-75</v>
      </c>
      <c r="IF42" s="199">
        <f t="shared" si="126"/>
        <v>-0.000208617406496774</v>
      </c>
      <c r="IG42" s="201"/>
      <c r="IH42" s="192"/>
      <c r="IJ42" s="8" t="str">
        <f t="shared" si="127"/>
        <v>2026//4/29</v>
      </c>
      <c r="IK42" s="257">
        <v>618396.29</v>
      </c>
      <c r="IL42" s="12">
        <f t="shared" si="128"/>
        <v>613436.29</v>
      </c>
      <c r="IM42" s="12">
        <f t="shared" si="129"/>
        <v>4960</v>
      </c>
      <c r="IN42" s="199">
        <f t="shared" si="130"/>
        <v>0.00808559923965372</v>
      </c>
      <c r="IO42" s="192"/>
      <c r="IP42" s="192"/>
      <c r="IR42" s="8" t="str">
        <f t="shared" si="131"/>
        <v>2026//4/29</v>
      </c>
      <c r="IS42" s="200">
        <v>139589</v>
      </c>
      <c r="IT42" s="12">
        <f t="shared" si="132"/>
        <v>139789</v>
      </c>
      <c r="IU42" s="12">
        <f t="shared" si="133"/>
        <v>-200</v>
      </c>
      <c r="IV42" s="199">
        <f t="shared" si="134"/>
        <v>-0.00143072773966478</v>
      </c>
      <c r="IW42" s="192"/>
      <c r="IX42" s="192"/>
      <c r="IZ42" s="8" t="str">
        <f t="shared" si="135"/>
        <v>2026//4/29</v>
      </c>
      <c r="JA42" s="200">
        <v>4933729.15</v>
      </c>
      <c r="JB42" s="12">
        <f t="shared" si="136"/>
        <v>4907029.15</v>
      </c>
      <c r="JC42" s="12">
        <f t="shared" si="137"/>
        <v>26700</v>
      </c>
      <c r="JD42" s="199">
        <f t="shared" si="138"/>
        <v>0.00544117411652221</v>
      </c>
      <c r="JE42" s="192"/>
      <c r="JF42" s="192"/>
      <c r="JH42" s="8" t="str">
        <f t="shared" si="139"/>
        <v>2026//4/29</v>
      </c>
      <c r="JI42" s="200">
        <v>1341567.99</v>
      </c>
      <c r="JJ42" s="12">
        <f t="shared" si="140"/>
        <v>1333947.99</v>
      </c>
      <c r="JK42" s="12">
        <f t="shared" si="141"/>
        <v>7620</v>
      </c>
      <c r="JL42" s="199">
        <f t="shared" si="142"/>
        <v>0.00571236664182087</v>
      </c>
      <c r="JM42" s="192"/>
      <c r="JN42" s="192"/>
      <c r="JO42" s="192"/>
      <c r="JP42" s="8" t="str">
        <f t="shared" si="143"/>
        <v>2026//4/29</v>
      </c>
      <c r="JQ42" s="257">
        <v>1025590.41</v>
      </c>
      <c r="JR42" s="12">
        <f t="shared" si="144"/>
        <v>1031590.41</v>
      </c>
      <c r="JS42" s="12">
        <f t="shared" si="145"/>
        <v>-6000</v>
      </c>
      <c r="JT42" s="199">
        <f t="shared" si="146"/>
        <v>-0.00581626190185308</v>
      </c>
      <c r="JU42" s="192"/>
      <c r="JV42" s="192"/>
      <c r="JW42" s="201"/>
      <c r="JX42" s="8" t="str">
        <f t="shared" si="147"/>
        <v>2026//4/29</v>
      </c>
      <c r="JY42" s="200">
        <v>1171098.8</v>
      </c>
      <c r="JZ42" s="12">
        <f t="shared" si="148"/>
        <v>1183298.8</v>
      </c>
      <c r="KA42" s="12">
        <f t="shared" si="149"/>
        <v>-12200</v>
      </c>
      <c r="KB42" s="199">
        <f t="shared" si="150"/>
        <v>-0.0103101600373464</v>
      </c>
      <c r="KC42" s="192"/>
      <c r="KD42" s="192"/>
      <c r="KE42" s="201"/>
      <c r="KF42" s="8" t="str">
        <f t="shared" si="151"/>
        <v>2026//4/29</v>
      </c>
      <c r="KG42" s="257">
        <v>728155.92</v>
      </c>
      <c r="KH42" s="12">
        <f t="shared" si="152"/>
        <v>732555.92</v>
      </c>
      <c r="KI42" s="12">
        <f t="shared" si="153"/>
        <v>-4400</v>
      </c>
      <c r="KJ42" s="199">
        <f t="shared" si="154"/>
        <v>-0.00600636740468905</v>
      </c>
      <c r="KK42" s="201"/>
      <c r="KL42" s="201"/>
      <c r="KN42" s="8" t="str">
        <f t="shared" si="155"/>
        <v>2026//4/29</v>
      </c>
      <c r="KO42" s="200">
        <v>8328775.95</v>
      </c>
      <c r="KP42" s="12">
        <f t="shared" si="156"/>
        <v>8328775.95</v>
      </c>
      <c r="KQ42" s="12">
        <f t="shared" si="157"/>
        <v>0</v>
      </c>
      <c r="KR42" s="199">
        <f t="shared" si="158"/>
        <v>0</v>
      </c>
      <c r="KS42" s="192"/>
      <c r="KT42" s="192"/>
      <c r="KV42" s="8" t="str">
        <f t="shared" si="159"/>
        <v>2026//4/29</v>
      </c>
      <c r="KW42" s="257">
        <v>999372.97</v>
      </c>
      <c r="KX42" s="12">
        <f t="shared" si="160"/>
        <v>997972.97</v>
      </c>
      <c r="KY42" s="12">
        <f t="shared" si="161"/>
        <v>1400</v>
      </c>
      <c r="KZ42" s="199">
        <f t="shared" si="162"/>
        <v>0.00140284360607482</v>
      </c>
      <c r="LA42" s="201"/>
      <c r="LB42" s="192"/>
      <c r="LD42" s="8" t="str">
        <f t="shared" si="163"/>
        <v>2026//4/29</v>
      </c>
      <c r="LE42" s="200">
        <v>476307.7</v>
      </c>
      <c r="LF42" s="12">
        <f t="shared" si="164"/>
        <v>473307.7</v>
      </c>
      <c r="LG42" s="12">
        <f t="shared" si="165"/>
        <v>3000</v>
      </c>
      <c r="LH42" s="199">
        <f t="shared" si="166"/>
        <v>0.00633837142307214</v>
      </c>
      <c r="LI42" s="192"/>
      <c r="LJ42" s="192"/>
      <c r="LL42" s="8" t="str">
        <f t="shared" si="167"/>
        <v>2026//4/29</v>
      </c>
      <c r="LM42" s="198">
        <v>3499495.02</v>
      </c>
      <c r="LN42" s="12">
        <f t="shared" si="168"/>
        <v>3552775.02</v>
      </c>
      <c r="LO42" s="12">
        <f t="shared" si="169"/>
        <v>-53280</v>
      </c>
      <c r="LP42" s="199">
        <f t="shared" si="170"/>
        <v>-0.0149967278254507</v>
      </c>
      <c r="LQ42" s="192"/>
      <c r="LR42" s="192"/>
      <c r="LT42" s="8" t="str">
        <f t="shared" si="171"/>
        <v>2026//4/29</v>
      </c>
      <c r="LU42" s="257">
        <v>2497262.9</v>
      </c>
      <c r="LV42" s="12">
        <f t="shared" si="172"/>
        <v>2519462.9</v>
      </c>
      <c r="LW42" s="12">
        <f t="shared" si="173"/>
        <v>-22200</v>
      </c>
      <c r="LX42" s="199">
        <f t="shared" si="174"/>
        <v>-0.00881140182695288</v>
      </c>
      <c r="LY42" s="192"/>
      <c r="LZ42" s="192"/>
      <c r="MB42" s="8" t="str">
        <f t="shared" si="175"/>
        <v>2026//4/29</v>
      </c>
      <c r="MC42" s="200">
        <v>799517.69</v>
      </c>
      <c r="MD42" s="12">
        <f t="shared" si="176"/>
        <v>803667.69</v>
      </c>
      <c r="ME42" s="12">
        <f t="shared" si="177"/>
        <v>-4150</v>
      </c>
      <c r="MF42" s="199">
        <f t="shared" si="178"/>
        <v>-0.00516382585941709</v>
      </c>
      <c r="MG42" s="192"/>
      <c r="MH42" s="192"/>
      <c r="MI42" s="8"/>
      <c r="MJ42" s="8"/>
      <c r="MK42" s="8" t="str">
        <f t="shared" si="179"/>
        <v>2026//4/29</v>
      </c>
      <c r="ML42" s="258">
        <v>217065.54</v>
      </c>
      <c r="MM42" s="12">
        <f t="shared" si="180"/>
        <v>216825.54</v>
      </c>
      <c r="MN42" s="12">
        <f t="shared" si="181"/>
        <v>240</v>
      </c>
      <c r="MO42" s="199">
        <f t="shared" si="182"/>
        <v>0.00110688067466591</v>
      </c>
      <c r="MP42" s="192"/>
      <c r="MQ42" s="201"/>
      <c r="MR42" s="201"/>
      <c r="MT42" s="8" t="str">
        <f t="shared" si="183"/>
        <v>2026//4/29</v>
      </c>
      <c r="MU42" s="8">
        <v>201814.8</v>
      </c>
      <c r="MV42" s="204">
        <f t="shared" si="184"/>
        <v>204714.8</v>
      </c>
      <c r="MW42" s="8">
        <f t="shared" si="185"/>
        <v>-2900</v>
      </c>
      <c r="MX42" s="192">
        <f t="shared" si="186"/>
        <v>-0.0141660495479565</v>
      </c>
      <c r="MY42" s="192"/>
      <c r="MZ42" s="192"/>
      <c r="NA42" s="192"/>
      <c r="NC42" s="8" t="str">
        <f t="shared" si="187"/>
        <v>2026//4/29</v>
      </c>
      <c r="ND42" s="8">
        <v>41291.48</v>
      </c>
      <c r="NE42" s="204">
        <f t="shared" si="188"/>
        <v>41691.48</v>
      </c>
      <c r="NF42" s="8">
        <f t="shared" si="189"/>
        <v>-400</v>
      </c>
      <c r="NG42" s="192">
        <f t="shared" si="190"/>
        <v>-0.00959428641055679</v>
      </c>
      <c r="NH42" s="192"/>
      <c r="NI42" s="192"/>
      <c r="NJ42" s="192"/>
      <c r="NK42" s="192"/>
      <c r="NM42" s="8" t="str">
        <f t="shared" si="191"/>
        <v>2026//4/29</v>
      </c>
      <c r="NN42" s="8">
        <v>2554811.08</v>
      </c>
      <c r="NO42" s="8">
        <f t="shared" si="192"/>
        <v>2568811.08</v>
      </c>
      <c r="NP42" s="210">
        <f t="shared" si="193"/>
        <v>-14000</v>
      </c>
      <c r="NQ42" s="211">
        <f t="shared" si="194"/>
        <v>-0.00544999206403298</v>
      </c>
      <c r="NR42" s="192"/>
      <c r="NU42" s="8" t="str">
        <f t="shared" si="195"/>
        <v>2026//4/29</v>
      </c>
      <c r="NV42" s="8">
        <v>263376.5</v>
      </c>
      <c r="NW42" s="205">
        <f t="shared" si="196"/>
        <v>263126.5</v>
      </c>
      <c r="NX42" s="210">
        <f t="shared" si="197"/>
        <v>250</v>
      </c>
      <c r="NY42" s="211">
        <f t="shared" si="198"/>
        <v>0.000950113348522479</v>
      </c>
      <c r="NZ42" s="201"/>
      <c r="OA42" s="200"/>
      <c r="OC42" s="8" t="str">
        <f t="shared" si="199"/>
        <v>2026//4/29</v>
      </c>
      <c r="OD42" s="200">
        <v>14444.97</v>
      </c>
      <c r="OE42" s="12">
        <f t="shared" si="200"/>
        <v>14388.97</v>
      </c>
      <c r="OF42" s="12">
        <f t="shared" si="201"/>
        <v>56</v>
      </c>
      <c r="OG42" s="199">
        <f t="shared" si="202"/>
        <v>0.00389186995316552</v>
      </c>
      <c r="OH42" s="192"/>
      <c r="OI42" s="192"/>
      <c r="OK42" s="8" t="str">
        <f t="shared" si="203"/>
        <v>2026//4/29</v>
      </c>
      <c r="OL42" s="200">
        <v>14042.65</v>
      </c>
      <c r="OM42" s="12">
        <f t="shared" si="204"/>
        <v>14042.65</v>
      </c>
      <c r="ON42" s="12">
        <f t="shared" si="205"/>
        <v>0</v>
      </c>
      <c r="OO42" s="199">
        <f t="shared" si="206"/>
        <v>0</v>
      </c>
      <c r="OP42" s="192"/>
      <c r="OQ42" s="192"/>
      <c r="OT42" s="234" t="str">
        <f t="shared" si="207"/>
        <v>2026//4/29</v>
      </c>
      <c r="OU42" s="206">
        <v>146112.4066</v>
      </c>
      <c r="OV42" s="8">
        <f t="shared" si="208"/>
        <v>145992.4066</v>
      </c>
      <c r="OW42" s="191">
        <f t="shared" si="209"/>
        <v>120</v>
      </c>
      <c r="OX42" s="192">
        <f t="shared" si="210"/>
        <v>0.00082196055805001</v>
      </c>
    </row>
    <row r="43" s="8" customFormat="1" ht="17" customHeight="1" spans="1:414">
      <c r="A43" s="15"/>
      <c r="B43" s="15"/>
      <c r="C43" s="15" t="s">
        <v>469</v>
      </c>
      <c r="D43" s="248">
        <v>3986058.77</v>
      </c>
      <c r="E43" s="19">
        <f t="shared" si="8"/>
        <v>4036278.77</v>
      </c>
      <c r="F43" s="19">
        <f t="shared" si="9"/>
        <v>-50220</v>
      </c>
      <c r="G43" s="172">
        <f t="shared" si="10"/>
        <v>-0.0124421534937737</v>
      </c>
      <c r="H43" s="18"/>
      <c r="I43" s="172"/>
      <c r="J43" s="172"/>
      <c r="K43" s="8" t="str">
        <f t="shared" si="11"/>
        <v>2026//4/28</v>
      </c>
      <c r="L43" s="248">
        <v>3041524.4</v>
      </c>
      <c r="M43" s="19">
        <f t="shared" si="12"/>
        <v>3059884.4</v>
      </c>
      <c r="N43" s="19">
        <f t="shared" si="13"/>
        <v>-18360</v>
      </c>
      <c r="O43" s="172">
        <f t="shared" si="14"/>
        <v>-0.00600022667522995</v>
      </c>
      <c r="P43" s="18"/>
      <c r="Q43" s="172"/>
      <c r="R43" s="19"/>
      <c r="S43" s="8" t="str">
        <f t="shared" si="15"/>
        <v>2026//4/28</v>
      </c>
      <c r="T43" s="248">
        <v>1928226.68</v>
      </c>
      <c r="U43" s="19">
        <f t="shared" si="16"/>
        <v>2015526.68</v>
      </c>
      <c r="V43" s="19">
        <f t="shared" si="17"/>
        <v>-87300</v>
      </c>
      <c r="W43" s="172">
        <f t="shared" si="18"/>
        <v>-0.0433137407042411</v>
      </c>
      <c r="X43" s="18"/>
      <c r="Y43" s="172"/>
      <c r="Z43" s="19"/>
      <c r="AA43" s="8" t="str">
        <f t="shared" si="19"/>
        <v>2026//4/28</v>
      </c>
      <c r="AB43" s="248">
        <v>781696.86</v>
      </c>
      <c r="AC43" s="19">
        <f t="shared" si="20"/>
        <v>819576.86</v>
      </c>
      <c r="AD43" s="19">
        <f t="shared" si="21"/>
        <v>-37880</v>
      </c>
      <c r="AE43" s="172">
        <f t="shared" si="22"/>
        <v>-0.0462189720680987</v>
      </c>
      <c r="AF43" s="18"/>
      <c r="AG43" s="172"/>
      <c r="AH43" s="19"/>
      <c r="AI43" s="8" t="str">
        <f t="shared" si="23"/>
        <v>2026//4/28</v>
      </c>
      <c r="AJ43" s="248">
        <v>553721.76</v>
      </c>
      <c r="AK43" s="19">
        <f t="shared" si="24"/>
        <v>601521.76</v>
      </c>
      <c r="AL43" s="19">
        <f t="shared" si="25"/>
        <v>-47800</v>
      </c>
      <c r="AM43" s="172">
        <f t="shared" si="26"/>
        <v>-0.0794651219267612</v>
      </c>
      <c r="AN43" s="18"/>
      <c r="AO43" s="18"/>
      <c r="AP43" s="19"/>
      <c r="AQ43" s="8" t="str">
        <f t="shared" si="27"/>
        <v>2026//4/28</v>
      </c>
      <c r="AR43" s="254">
        <v>1248145.49</v>
      </c>
      <c r="AS43" s="19">
        <f t="shared" si="28"/>
        <v>1259945.49</v>
      </c>
      <c r="AT43" s="19">
        <f t="shared" si="29"/>
        <v>-11800</v>
      </c>
      <c r="AU43" s="172">
        <f t="shared" si="30"/>
        <v>-0.00936548453377931</v>
      </c>
      <c r="AV43" s="18"/>
      <c r="AW43" s="18"/>
      <c r="AX43" s="17"/>
      <c r="AY43" s="17"/>
      <c r="AZ43" s="8" t="str">
        <f t="shared" si="31"/>
        <v>2026//4/28</v>
      </c>
      <c r="BA43" s="255">
        <v>1866801.67</v>
      </c>
      <c r="BB43" s="129">
        <f t="shared" si="32"/>
        <v>1889661.67</v>
      </c>
      <c r="BC43" s="17">
        <f t="shared" si="33"/>
        <v>-22860</v>
      </c>
      <c r="BD43" s="18">
        <f t="shared" si="34"/>
        <v>-0.0120974036585078</v>
      </c>
      <c r="BE43" s="18"/>
      <c r="BF43" s="18"/>
      <c r="BG43" s="74"/>
      <c r="BH43" s="8" t="str">
        <f t="shared" si="35"/>
        <v>2026//4/28</v>
      </c>
      <c r="BI43" s="256">
        <v>1675326.55</v>
      </c>
      <c r="BJ43" s="195">
        <f t="shared" si="36"/>
        <v>1688526.55</v>
      </c>
      <c r="BK43" s="195">
        <f t="shared" si="37"/>
        <v>-13200</v>
      </c>
      <c r="BL43" s="196">
        <f t="shared" si="38"/>
        <v>-0.00781746665458118</v>
      </c>
      <c r="BM43" s="197"/>
      <c r="BN43" s="192"/>
      <c r="BP43" s="8" t="str">
        <f t="shared" si="39"/>
        <v>2026//4/28</v>
      </c>
      <c r="BQ43" s="198">
        <v>1116662.39</v>
      </c>
      <c r="BR43" s="12">
        <f t="shared" si="40"/>
        <v>1104562.39</v>
      </c>
      <c r="BS43" s="12">
        <f t="shared" si="41"/>
        <v>12100</v>
      </c>
      <c r="BT43" s="199">
        <f t="shared" si="42"/>
        <v>0.0109545645493144</v>
      </c>
      <c r="BU43" s="192"/>
      <c r="BV43" s="192"/>
      <c r="BX43" s="8" t="str">
        <f t="shared" si="43"/>
        <v>2026//4/28</v>
      </c>
      <c r="BY43" s="257">
        <v>2979560.7</v>
      </c>
      <c r="BZ43" s="12">
        <f t="shared" si="44"/>
        <v>2983760.7</v>
      </c>
      <c r="CA43" s="12">
        <f t="shared" si="45"/>
        <v>-4200</v>
      </c>
      <c r="CB43" s="199">
        <f t="shared" si="46"/>
        <v>-0.0014076195855787</v>
      </c>
      <c r="CC43" s="192"/>
      <c r="CD43" s="201"/>
      <c r="CF43" s="8" t="str">
        <f t="shared" si="47"/>
        <v>2026//4/28</v>
      </c>
      <c r="CG43" s="248">
        <v>1346453.9</v>
      </c>
      <c r="CH43" s="12">
        <f t="shared" si="48"/>
        <v>1360503.9</v>
      </c>
      <c r="CI43" s="12">
        <f t="shared" si="49"/>
        <v>-14050</v>
      </c>
      <c r="CJ43" s="199">
        <f t="shared" si="50"/>
        <v>-0.0103270560268148</v>
      </c>
      <c r="CK43" s="192"/>
      <c r="CL43" s="201"/>
      <c r="CN43" s="8" t="str">
        <f t="shared" si="51"/>
        <v>2026//4/28</v>
      </c>
      <c r="CO43" s="248">
        <v>646646.48</v>
      </c>
      <c r="CP43" s="12">
        <f t="shared" si="52"/>
        <v>651246.48</v>
      </c>
      <c r="CQ43" s="12">
        <f t="shared" si="53"/>
        <v>-4600</v>
      </c>
      <c r="CR43" s="199">
        <f t="shared" si="54"/>
        <v>-0.0070633779087758</v>
      </c>
      <c r="CS43" s="201"/>
      <c r="CT43" s="201"/>
      <c r="CV43" s="8" t="str">
        <f t="shared" si="55"/>
        <v>2026//4/28</v>
      </c>
      <c r="CW43" s="248">
        <v>574140.4</v>
      </c>
      <c r="CX43" s="12">
        <f t="shared" si="56"/>
        <v>578440.4</v>
      </c>
      <c r="CY43" s="12">
        <f t="shared" si="57"/>
        <v>-4300</v>
      </c>
      <c r="CZ43" s="199">
        <f t="shared" si="58"/>
        <v>-0.00743378228768253</v>
      </c>
      <c r="DA43" s="192"/>
      <c r="DB43" s="192"/>
      <c r="DC43" s="202"/>
      <c r="DD43" s="8" t="str">
        <f t="shared" si="59"/>
        <v>2026//4/28</v>
      </c>
      <c r="DE43" s="257">
        <v>2217918</v>
      </c>
      <c r="DF43" s="12">
        <f t="shared" si="60"/>
        <v>2224118</v>
      </c>
      <c r="DG43" s="12">
        <f t="shared" si="61"/>
        <v>-6200</v>
      </c>
      <c r="DH43" s="199">
        <f t="shared" si="62"/>
        <v>-0.00278762187977436</v>
      </c>
      <c r="DI43" s="192"/>
      <c r="DJ43" s="192"/>
      <c r="DL43" s="8" t="str">
        <f t="shared" si="63"/>
        <v>2026//4/28</v>
      </c>
      <c r="DM43" s="248">
        <v>1114900.36</v>
      </c>
      <c r="DN43" s="12">
        <f t="shared" si="64"/>
        <v>1127300.36</v>
      </c>
      <c r="DO43" s="12">
        <f t="shared" si="65"/>
        <v>-12400</v>
      </c>
      <c r="DP43" s="199">
        <f t="shared" si="66"/>
        <v>-0.0109997303646741</v>
      </c>
      <c r="DQ43" s="192"/>
      <c r="DR43" s="192"/>
      <c r="DT43" s="8" t="str">
        <f t="shared" si="67"/>
        <v>2026//4/28</v>
      </c>
      <c r="DU43" s="248">
        <v>1418789.48</v>
      </c>
      <c r="DV43" s="12">
        <f t="shared" si="68"/>
        <v>1434989.48</v>
      </c>
      <c r="DW43" s="12">
        <f t="shared" si="69"/>
        <v>-16200</v>
      </c>
      <c r="DX43" s="199">
        <f t="shared" si="70"/>
        <v>-0.0112892813681115</v>
      </c>
      <c r="DY43" s="192"/>
      <c r="DZ43" s="192"/>
      <c r="EB43" s="8" t="str">
        <f t="shared" si="71"/>
        <v>2026//4/28</v>
      </c>
      <c r="EC43" s="248">
        <v>4467866.82</v>
      </c>
      <c r="ED43" s="12">
        <f t="shared" si="72"/>
        <v>4478666.82</v>
      </c>
      <c r="EE43" s="12">
        <f t="shared" si="73"/>
        <v>-10800</v>
      </c>
      <c r="EF43" s="199">
        <f t="shared" si="74"/>
        <v>-0.00241143189124303</v>
      </c>
      <c r="EG43" s="192"/>
      <c r="EH43" s="192"/>
      <c r="EJ43" s="8" t="str">
        <f t="shared" si="75"/>
        <v>2026//4/28</v>
      </c>
      <c r="EK43" s="257">
        <v>1333322.97</v>
      </c>
      <c r="EL43" s="12">
        <f t="shared" si="76"/>
        <v>1332322.97</v>
      </c>
      <c r="EM43" s="12">
        <f t="shared" si="77"/>
        <v>1000</v>
      </c>
      <c r="EN43" s="199">
        <f t="shared" si="78"/>
        <v>0.000750568760365964</v>
      </c>
      <c r="EO43" s="192"/>
      <c r="EP43" s="192"/>
      <c r="ER43" s="8" t="str">
        <f t="shared" si="79"/>
        <v>2026//4/28</v>
      </c>
      <c r="ES43" s="248">
        <v>439397.02</v>
      </c>
      <c r="ET43" s="12">
        <f t="shared" si="80"/>
        <v>440447.02</v>
      </c>
      <c r="EU43" s="12">
        <f t="shared" si="81"/>
        <v>-1050</v>
      </c>
      <c r="EV43" s="199">
        <f t="shared" si="82"/>
        <v>-0.00238394165999806</v>
      </c>
      <c r="EW43" s="192"/>
      <c r="EX43" s="192"/>
      <c r="EZ43" s="8" t="str">
        <f t="shared" si="83"/>
        <v>2026//4/28</v>
      </c>
      <c r="FA43" s="248">
        <v>706908</v>
      </c>
      <c r="FB43" s="12">
        <f t="shared" si="84"/>
        <v>709608</v>
      </c>
      <c r="FC43" s="12">
        <f t="shared" si="85"/>
        <v>-2700</v>
      </c>
      <c r="FD43" s="199">
        <f t="shared" si="86"/>
        <v>-0.00380491764467142</v>
      </c>
      <c r="FE43" s="192"/>
      <c r="FF43" s="192"/>
      <c r="FG43" s="192"/>
      <c r="FH43" s="8" t="str">
        <f t="shared" si="87"/>
        <v>2026//4/28</v>
      </c>
      <c r="FI43" s="198">
        <v>1253395.34</v>
      </c>
      <c r="FJ43" s="12">
        <f t="shared" si="88"/>
        <v>1257195.33</v>
      </c>
      <c r="FK43" s="12">
        <f t="shared" si="89"/>
        <v>-3799.98999999999</v>
      </c>
      <c r="FL43" s="199">
        <f t="shared" si="90"/>
        <v>-0.00302259315583044</v>
      </c>
      <c r="FM43" s="201"/>
      <c r="FN43" s="201"/>
      <c r="FP43" s="8" t="str">
        <f t="shared" si="91"/>
        <v>2026//4/28</v>
      </c>
      <c r="FQ43" s="248">
        <v>2046718.73</v>
      </c>
      <c r="FR43" s="12">
        <f t="shared" si="92"/>
        <v>2032468.73</v>
      </c>
      <c r="FS43" s="12">
        <f t="shared" si="93"/>
        <v>14250</v>
      </c>
      <c r="FT43" s="199">
        <f t="shared" si="94"/>
        <v>0.00701117797763117</v>
      </c>
      <c r="FU43" s="192"/>
      <c r="FV43" s="192"/>
      <c r="FX43" s="8" t="str">
        <f t="shared" si="95"/>
        <v>2026//4/28</v>
      </c>
      <c r="FY43" s="248">
        <v>8182782.05</v>
      </c>
      <c r="FZ43" s="12">
        <f t="shared" si="96"/>
        <v>8262282.05</v>
      </c>
      <c r="GA43" s="12">
        <f t="shared" si="97"/>
        <v>-79500</v>
      </c>
      <c r="GB43" s="199">
        <f t="shared" si="98"/>
        <v>-0.00962203898619026</v>
      </c>
      <c r="GC43" s="192"/>
      <c r="GD43" s="192"/>
      <c r="GF43" s="8" t="str">
        <f t="shared" si="99"/>
        <v>2026//4/28</v>
      </c>
      <c r="GG43" s="248">
        <v>4607869.49</v>
      </c>
      <c r="GH43" s="12">
        <f t="shared" si="100"/>
        <v>4673769.49</v>
      </c>
      <c r="GI43" s="12">
        <f t="shared" si="101"/>
        <v>-65900</v>
      </c>
      <c r="GJ43" s="199">
        <f t="shared" si="102"/>
        <v>-0.0140999679468574</v>
      </c>
      <c r="GK43" s="192"/>
      <c r="GL43" s="192"/>
      <c r="GN43" s="8" t="str">
        <f t="shared" si="103"/>
        <v>2026//4/28</v>
      </c>
      <c r="GO43" s="257">
        <v>1824958.12</v>
      </c>
      <c r="GP43" s="12">
        <f t="shared" si="104"/>
        <v>1835158.12</v>
      </c>
      <c r="GQ43" s="12">
        <f t="shared" si="105"/>
        <v>-10200</v>
      </c>
      <c r="GR43" s="199">
        <f t="shared" si="106"/>
        <v>-0.0055581041703371</v>
      </c>
      <c r="GS43" s="192"/>
      <c r="GT43" s="192"/>
      <c r="GV43" s="8" t="str">
        <f t="shared" si="107"/>
        <v>2026//4/28</v>
      </c>
      <c r="GW43" s="248">
        <v>889549.4</v>
      </c>
      <c r="GX43" s="12">
        <f t="shared" si="108"/>
        <v>888749.4</v>
      </c>
      <c r="GY43" s="12">
        <f t="shared" si="109"/>
        <v>800</v>
      </c>
      <c r="GZ43" s="199">
        <f t="shared" si="110"/>
        <v>0.000900141254666388</v>
      </c>
      <c r="HA43" s="192"/>
      <c r="HB43" s="192"/>
      <c r="HD43" s="8" t="str">
        <f t="shared" si="111"/>
        <v>2026//4/28</v>
      </c>
      <c r="HE43" s="257">
        <v>1259864.67</v>
      </c>
      <c r="HF43" s="12">
        <f t="shared" si="112"/>
        <v>1254164.67</v>
      </c>
      <c r="HG43" s="12">
        <f t="shared" si="113"/>
        <v>5700</v>
      </c>
      <c r="HH43" s="199">
        <f t="shared" si="114"/>
        <v>0.00454485773387318</v>
      </c>
      <c r="HI43" s="201"/>
      <c r="HJ43" s="192"/>
      <c r="HL43" s="8" t="str">
        <f t="shared" si="115"/>
        <v>2026//4/28</v>
      </c>
      <c r="HM43" s="248">
        <v>140004.25</v>
      </c>
      <c r="HN43" s="208">
        <f t="shared" si="116"/>
        <v>140404.25</v>
      </c>
      <c r="HO43" s="208">
        <f t="shared" si="117"/>
        <v>-400</v>
      </c>
      <c r="HP43" s="209">
        <f t="shared" si="118"/>
        <v>-0.00284891661043024</v>
      </c>
      <c r="HQ43" s="192"/>
      <c r="HR43" s="192"/>
      <c r="HT43" s="8" t="str">
        <f t="shared" si="119"/>
        <v>2026//4/28</v>
      </c>
      <c r="HU43" s="257">
        <v>206268.83</v>
      </c>
      <c r="HV43" s="12">
        <f t="shared" si="120"/>
        <v>208968.83</v>
      </c>
      <c r="HW43" s="12">
        <f t="shared" si="121"/>
        <v>-2700</v>
      </c>
      <c r="HX43" s="199">
        <f t="shared" si="122"/>
        <v>-0.01292058724739</v>
      </c>
      <c r="HY43" s="192"/>
      <c r="HZ43" s="192"/>
      <c r="IB43" s="8" t="str">
        <f t="shared" si="123"/>
        <v>2026//4/28</v>
      </c>
      <c r="IC43" s="248">
        <v>359509.79</v>
      </c>
      <c r="ID43" s="12">
        <f t="shared" si="124"/>
        <v>361809.79</v>
      </c>
      <c r="IE43" s="12">
        <f t="shared" si="125"/>
        <v>-2300</v>
      </c>
      <c r="IF43" s="199">
        <f t="shared" si="126"/>
        <v>-0.00635693135887782</v>
      </c>
      <c r="IG43" s="201"/>
      <c r="IH43" s="192"/>
      <c r="IJ43" s="8" t="str">
        <f t="shared" si="127"/>
        <v>2026//4/28</v>
      </c>
      <c r="IK43" s="257">
        <v>613436.29</v>
      </c>
      <c r="IL43" s="12">
        <f t="shared" si="128"/>
        <v>613676.29</v>
      </c>
      <c r="IM43" s="12">
        <f t="shared" si="129"/>
        <v>-240</v>
      </c>
      <c r="IN43" s="199">
        <f t="shared" si="130"/>
        <v>-0.000391085665049891</v>
      </c>
      <c r="IO43" s="192"/>
      <c r="IP43" s="192"/>
      <c r="IR43" s="8" t="str">
        <f t="shared" si="131"/>
        <v>2026//4/28</v>
      </c>
      <c r="IS43" s="248">
        <v>139789</v>
      </c>
      <c r="IT43" s="12">
        <f t="shared" si="132"/>
        <v>139589</v>
      </c>
      <c r="IU43" s="12">
        <f t="shared" si="133"/>
        <v>200</v>
      </c>
      <c r="IV43" s="199">
        <f t="shared" si="134"/>
        <v>0.0014327776543997</v>
      </c>
      <c r="IW43" s="192"/>
      <c r="IX43" s="192"/>
      <c r="IZ43" s="8" t="str">
        <f t="shared" si="135"/>
        <v>2026//4/28</v>
      </c>
      <c r="JA43" s="248">
        <v>4907029.15</v>
      </c>
      <c r="JB43" s="12">
        <f t="shared" si="136"/>
        <v>4947629.15</v>
      </c>
      <c r="JC43" s="12">
        <f t="shared" si="137"/>
        <v>-40600</v>
      </c>
      <c r="JD43" s="199">
        <f t="shared" si="138"/>
        <v>-0.00820595052076609</v>
      </c>
      <c r="JE43" s="192"/>
      <c r="JF43" s="192"/>
      <c r="JH43" s="8" t="str">
        <f t="shared" si="139"/>
        <v>2026//4/28</v>
      </c>
      <c r="JI43" s="248">
        <v>1333947.99</v>
      </c>
      <c r="JJ43" s="12">
        <f t="shared" si="140"/>
        <v>1324107.99</v>
      </c>
      <c r="JK43" s="12">
        <f t="shared" si="141"/>
        <v>9840</v>
      </c>
      <c r="JL43" s="199">
        <f t="shared" si="142"/>
        <v>0.00743141803713457</v>
      </c>
      <c r="JM43" s="192"/>
      <c r="JN43" s="192"/>
      <c r="JO43" s="192"/>
      <c r="JP43" s="8" t="str">
        <f t="shared" si="143"/>
        <v>2026//4/28</v>
      </c>
      <c r="JQ43" s="257">
        <v>1031590.41</v>
      </c>
      <c r="JR43" s="12">
        <f t="shared" si="144"/>
        <v>1021590.41</v>
      </c>
      <c r="JS43" s="12">
        <f t="shared" si="145"/>
        <v>10000</v>
      </c>
      <c r="JT43" s="199">
        <f t="shared" si="146"/>
        <v>0.00978865884224579</v>
      </c>
      <c r="JU43" s="192"/>
      <c r="JV43" s="192"/>
      <c r="JW43" s="201"/>
      <c r="JX43" s="8" t="str">
        <f t="shared" si="147"/>
        <v>2026//4/28</v>
      </c>
      <c r="JY43" s="248">
        <v>1183298.8</v>
      </c>
      <c r="JZ43" s="12">
        <f t="shared" si="148"/>
        <v>1183648.8</v>
      </c>
      <c r="KA43" s="12">
        <f t="shared" si="149"/>
        <v>-350</v>
      </c>
      <c r="KB43" s="199">
        <f t="shared" si="150"/>
        <v>-0.000295695817881115</v>
      </c>
      <c r="KC43" s="192"/>
      <c r="KD43" s="192"/>
      <c r="KE43" s="201"/>
      <c r="KF43" s="8" t="str">
        <f t="shared" si="151"/>
        <v>2026//4/28</v>
      </c>
      <c r="KG43" s="257">
        <v>732555.92</v>
      </c>
      <c r="KH43" s="12">
        <f t="shared" si="152"/>
        <v>732555.92</v>
      </c>
      <c r="KI43" s="12">
        <f t="shared" si="153"/>
        <v>0</v>
      </c>
      <c r="KJ43" s="199">
        <f t="shared" si="154"/>
        <v>0</v>
      </c>
      <c r="KK43" s="201"/>
      <c r="KL43" s="201"/>
      <c r="KN43" s="8" t="str">
        <f t="shared" si="155"/>
        <v>2026//4/28</v>
      </c>
      <c r="KO43" s="248">
        <v>8328775.95</v>
      </c>
      <c r="KP43" s="12">
        <f t="shared" si="156"/>
        <v>8328775.95</v>
      </c>
      <c r="KQ43" s="12">
        <f t="shared" si="157"/>
        <v>0</v>
      </c>
      <c r="KR43" s="199">
        <f t="shared" si="158"/>
        <v>0</v>
      </c>
      <c r="KS43" s="192"/>
      <c r="KT43" s="192"/>
      <c r="KV43" s="8" t="str">
        <f t="shared" si="159"/>
        <v>2026//4/28</v>
      </c>
      <c r="KW43" s="257">
        <v>997972.97</v>
      </c>
      <c r="KX43" s="12">
        <f t="shared" si="160"/>
        <v>993772.97</v>
      </c>
      <c r="KY43" s="12">
        <f t="shared" si="161"/>
        <v>4200</v>
      </c>
      <c r="KZ43" s="199">
        <f t="shared" si="162"/>
        <v>0.00422631740527215</v>
      </c>
      <c r="LA43" s="201"/>
      <c r="LB43" s="192"/>
      <c r="LD43" s="8" t="str">
        <f t="shared" si="163"/>
        <v>2026//4/28</v>
      </c>
      <c r="LE43" s="248">
        <v>473307.7</v>
      </c>
      <c r="LF43" s="12">
        <f t="shared" si="164"/>
        <v>481407.7</v>
      </c>
      <c r="LG43" s="12">
        <f t="shared" si="165"/>
        <v>-8100</v>
      </c>
      <c r="LH43" s="199">
        <f t="shared" si="166"/>
        <v>-0.0168256552606034</v>
      </c>
      <c r="LI43" s="192"/>
      <c r="LJ43" s="192"/>
      <c r="LL43" s="8" t="str">
        <f t="shared" si="167"/>
        <v>2026//4/28</v>
      </c>
      <c r="LM43" s="248">
        <v>3552775.02</v>
      </c>
      <c r="LN43" s="12">
        <f t="shared" si="168"/>
        <v>3557095.02</v>
      </c>
      <c r="LO43" s="12">
        <f t="shared" si="169"/>
        <v>-4320</v>
      </c>
      <c r="LP43" s="199">
        <f t="shared" si="170"/>
        <v>-0.00121447416380797</v>
      </c>
      <c r="LQ43" s="192"/>
      <c r="LR43" s="192"/>
      <c r="LT43" s="8" t="str">
        <f t="shared" si="171"/>
        <v>2026//4/28</v>
      </c>
      <c r="LU43" s="257">
        <v>2519462.9</v>
      </c>
      <c r="LV43" s="12">
        <f t="shared" si="172"/>
        <v>2525262.9</v>
      </c>
      <c r="LW43" s="12">
        <f t="shared" si="173"/>
        <v>-5800</v>
      </c>
      <c r="LX43" s="199">
        <f t="shared" si="174"/>
        <v>-0.00229679056386565</v>
      </c>
      <c r="LY43" s="192"/>
      <c r="LZ43" s="192"/>
      <c r="MB43" s="8" t="str">
        <f t="shared" si="175"/>
        <v>2026//4/28</v>
      </c>
      <c r="MC43" s="248">
        <v>803667.69</v>
      </c>
      <c r="MD43" s="12">
        <f t="shared" si="176"/>
        <v>788217.69</v>
      </c>
      <c r="ME43" s="12">
        <f t="shared" si="177"/>
        <v>15450</v>
      </c>
      <c r="MF43" s="199">
        <f t="shared" si="178"/>
        <v>0.0196011840333094</v>
      </c>
      <c r="MG43" s="192"/>
      <c r="MH43" s="192"/>
      <c r="MI43" s="8"/>
      <c r="MJ43" s="8"/>
      <c r="MK43" s="8" t="str">
        <f t="shared" si="179"/>
        <v>2026//4/28</v>
      </c>
      <c r="ML43" s="258">
        <v>216825.54</v>
      </c>
      <c r="MM43" s="12">
        <f t="shared" si="180"/>
        <v>217305.54</v>
      </c>
      <c r="MN43" s="12">
        <f t="shared" si="181"/>
        <v>-480</v>
      </c>
      <c r="MO43" s="199">
        <f t="shared" si="182"/>
        <v>-0.0022088714351231</v>
      </c>
      <c r="MP43" s="192"/>
      <c r="MQ43" s="201"/>
      <c r="MR43" s="201"/>
      <c r="MT43" s="8" t="str">
        <f t="shared" si="183"/>
        <v>2026//4/28</v>
      </c>
      <c r="MU43" s="248">
        <v>204714.8</v>
      </c>
      <c r="MV43" s="204">
        <f t="shared" si="184"/>
        <v>203014.8</v>
      </c>
      <c r="MW43" s="8">
        <f t="shared" si="185"/>
        <v>1700</v>
      </c>
      <c r="MX43" s="192">
        <f t="shared" si="186"/>
        <v>0.00837377373472279</v>
      </c>
      <c r="MY43" s="192"/>
      <c r="MZ43" s="192"/>
      <c r="NA43" s="192"/>
      <c r="NC43" s="8" t="str">
        <f t="shared" si="187"/>
        <v>2026//4/28</v>
      </c>
      <c r="ND43" s="248">
        <v>41691.48</v>
      </c>
      <c r="NE43" s="204">
        <f t="shared" si="188"/>
        <v>42091.48</v>
      </c>
      <c r="NF43" s="8">
        <f t="shared" si="189"/>
        <v>-400</v>
      </c>
      <c r="NG43" s="192">
        <f t="shared" si="190"/>
        <v>-0.00950311084333456</v>
      </c>
      <c r="NH43" s="192"/>
      <c r="NI43" s="192"/>
      <c r="NJ43" s="192"/>
      <c r="NK43" s="192"/>
      <c r="NM43" s="8" t="str">
        <f t="shared" si="191"/>
        <v>2026//4/28</v>
      </c>
      <c r="NN43" s="248">
        <v>2568811.08</v>
      </c>
      <c r="NO43" s="8">
        <f t="shared" si="192"/>
        <v>2577311.08</v>
      </c>
      <c r="NP43" s="210">
        <f t="shared" si="193"/>
        <v>-8500</v>
      </c>
      <c r="NQ43" s="211">
        <f t="shared" si="194"/>
        <v>-0.00329801088660202</v>
      </c>
      <c r="NR43" s="192"/>
      <c r="NU43" s="8" t="str">
        <f t="shared" si="195"/>
        <v>2026//4/28</v>
      </c>
      <c r="NV43" s="248">
        <v>263126.5</v>
      </c>
      <c r="NW43" s="205">
        <f t="shared" si="196"/>
        <v>262826.5</v>
      </c>
      <c r="NX43" s="210">
        <f t="shared" si="197"/>
        <v>300</v>
      </c>
      <c r="NY43" s="211">
        <f t="shared" si="198"/>
        <v>0.0011414374121331</v>
      </c>
      <c r="NZ43" s="201"/>
      <c r="OA43" s="200"/>
      <c r="OC43" s="8" t="str">
        <f t="shared" si="199"/>
        <v>2026//4/28</v>
      </c>
      <c r="OD43" s="248">
        <v>14388.97</v>
      </c>
      <c r="OE43" s="12">
        <f t="shared" si="200"/>
        <v>14263.97</v>
      </c>
      <c r="OF43" s="12">
        <f t="shared" si="201"/>
        <v>125</v>
      </c>
      <c r="OG43" s="199">
        <f t="shared" si="202"/>
        <v>0.00876333867780148</v>
      </c>
      <c r="OH43" s="192"/>
      <c r="OI43" s="192"/>
      <c r="OK43" s="8" t="str">
        <f t="shared" si="203"/>
        <v>2026//4/28</v>
      </c>
      <c r="OL43" s="248">
        <v>14042.65</v>
      </c>
      <c r="OM43" s="12">
        <f t="shared" si="204"/>
        <v>13993.65</v>
      </c>
      <c r="ON43" s="12">
        <f t="shared" si="205"/>
        <v>49</v>
      </c>
      <c r="OO43" s="199">
        <f t="shared" si="206"/>
        <v>0.00350158822037138</v>
      </c>
      <c r="OP43" s="192"/>
      <c r="OQ43" s="192"/>
      <c r="OT43" s="234" t="str">
        <f t="shared" si="207"/>
        <v>2026//4/28</v>
      </c>
      <c r="OU43" s="206">
        <v>145992.4066</v>
      </c>
      <c r="OV43" s="8">
        <f t="shared" si="208"/>
        <v>145872.4066</v>
      </c>
      <c r="OW43" s="191">
        <f t="shared" si="209"/>
        <v>120</v>
      </c>
      <c r="OX43" s="192">
        <f t="shared" si="210"/>
        <v>0.000822636732998138</v>
      </c>
    </row>
    <row r="44" s="8" customFormat="1" ht="17" customHeight="1" spans="1:414">
      <c r="A44" s="15"/>
      <c r="B44" s="15"/>
      <c r="C44" s="15" t="s">
        <v>470</v>
      </c>
      <c r="D44" s="248">
        <v>4036278.77</v>
      </c>
      <c r="E44" s="19">
        <f t="shared" si="8"/>
        <v>4092258.77</v>
      </c>
      <c r="F44" s="19">
        <f t="shared" si="9"/>
        <v>-55980</v>
      </c>
      <c r="G44" s="172">
        <f t="shared" si="10"/>
        <v>-0.0136794868424217</v>
      </c>
      <c r="H44" s="18"/>
      <c r="I44" s="172"/>
      <c r="J44" s="172"/>
      <c r="K44" s="8" t="str">
        <f t="shared" si="11"/>
        <v>2026//4/27</v>
      </c>
      <c r="L44" s="248">
        <v>3059884.4</v>
      </c>
      <c r="M44" s="19">
        <f t="shared" si="12"/>
        <v>3080764.4</v>
      </c>
      <c r="N44" s="19">
        <f t="shared" si="13"/>
        <v>-20880</v>
      </c>
      <c r="O44" s="172">
        <f t="shared" si="14"/>
        <v>-0.00677753871733911</v>
      </c>
      <c r="P44" s="18"/>
      <c r="Q44" s="172"/>
      <c r="R44" s="19"/>
      <c r="S44" s="8" t="str">
        <f t="shared" si="15"/>
        <v>2026//4/27</v>
      </c>
      <c r="T44" s="248">
        <v>2015526.68</v>
      </c>
      <c r="U44" s="19">
        <f t="shared" si="16"/>
        <v>2080686.68</v>
      </c>
      <c r="V44" s="19">
        <f t="shared" si="17"/>
        <v>-65160</v>
      </c>
      <c r="W44" s="172">
        <f t="shared" si="18"/>
        <v>-0.0313165843883809</v>
      </c>
      <c r="X44" s="18"/>
      <c r="Y44" s="172"/>
      <c r="Z44" s="19"/>
      <c r="AA44" s="8" t="str">
        <f t="shared" si="19"/>
        <v>2026//4/27</v>
      </c>
      <c r="AB44" s="248">
        <v>819576.86</v>
      </c>
      <c r="AC44" s="19">
        <f t="shared" si="20"/>
        <v>843536.86</v>
      </c>
      <c r="AD44" s="19">
        <f t="shared" si="21"/>
        <v>-23960</v>
      </c>
      <c r="AE44" s="172">
        <f t="shared" si="22"/>
        <v>-0.02840421223561</v>
      </c>
      <c r="AF44" s="18"/>
      <c r="AG44" s="172"/>
      <c r="AH44" s="19"/>
      <c r="AI44" s="8" t="str">
        <f t="shared" si="23"/>
        <v>2026//4/27</v>
      </c>
      <c r="AJ44" s="248">
        <v>601521.76</v>
      </c>
      <c r="AK44" s="19">
        <f t="shared" si="24"/>
        <v>675521.76</v>
      </c>
      <c r="AL44" s="19">
        <f t="shared" si="25"/>
        <v>-74000</v>
      </c>
      <c r="AM44" s="172">
        <f t="shared" si="26"/>
        <v>-0.109544953814663</v>
      </c>
      <c r="AN44" s="18"/>
      <c r="AO44" s="18"/>
      <c r="AP44" s="19"/>
      <c r="AQ44" s="8" t="str">
        <f t="shared" si="27"/>
        <v>2026//4/27</v>
      </c>
      <c r="AR44" s="254">
        <v>1259945.49</v>
      </c>
      <c r="AS44" s="19">
        <f t="shared" si="28"/>
        <v>1242045.49</v>
      </c>
      <c r="AT44" s="19">
        <f t="shared" si="29"/>
        <v>17900</v>
      </c>
      <c r="AU44" s="172">
        <f t="shared" si="30"/>
        <v>0.0144117104760793</v>
      </c>
      <c r="AV44" s="18"/>
      <c r="AW44" s="18"/>
      <c r="AX44" s="17"/>
      <c r="AY44" s="17"/>
      <c r="AZ44" s="8" t="str">
        <f t="shared" si="31"/>
        <v>2026//4/27</v>
      </c>
      <c r="BA44" s="255">
        <v>1889661.67</v>
      </c>
      <c r="BB44" s="129">
        <f t="shared" si="32"/>
        <v>1900281.66</v>
      </c>
      <c r="BC44" s="17">
        <f t="shared" si="33"/>
        <v>-10619.99</v>
      </c>
      <c r="BD44" s="18">
        <f t="shared" si="34"/>
        <v>-0.00558863994930098</v>
      </c>
      <c r="BE44" s="18"/>
      <c r="BF44" s="18"/>
      <c r="BG44" s="74"/>
      <c r="BH44" s="8" t="str">
        <f t="shared" si="35"/>
        <v>2026//4/27</v>
      </c>
      <c r="BI44" s="256">
        <v>1688526.55</v>
      </c>
      <c r="BJ44" s="195">
        <f t="shared" si="36"/>
        <v>1697126.55</v>
      </c>
      <c r="BK44" s="195">
        <f t="shared" si="37"/>
        <v>-8600</v>
      </c>
      <c r="BL44" s="196">
        <f t="shared" si="38"/>
        <v>-0.00506738875778003</v>
      </c>
      <c r="BM44" s="197"/>
      <c r="BN44" s="192"/>
      <c r="BP44" s="8" t="str">
        <f t="shared" si="39"/>
        <v>2026//4/27</v>
      </c>
      <c r="BQ44" s="198">
        <v>1104562.39</v>
      </c>
      <c r="BR44" s="12">
        <f t="shared" si="40"/>
        <v>1099762.39</v>
      </c>
      <c r="BS44" s="12">
        <f t="shared" si="41"/>
        <v>4800</v>
      </c>
      <c r="BT44" s="199">
        <f t="shared" si="42"/>
        <v>0.00436457915241128</v>
      </c>
      <c r="BU44" s="192"/>
      <c r="BV44" s="192"/>
      <c r="BX44" s="8" t="str">
        <f t="shared" si="43"/>
        <v>2026//4/27</v>
      </c>
      <c r="BY44" s="257">
        <v>2983760.7</v>
      </c>
      <c r="BZ44" s="12">
        <f t="shared" si="44"/>
        <v>2984660.7</v>
      </c>
      <c r="CA44" s="12">
        <f t="shared" si="45"/>
        <v>-900</v>
      </c>
      <c r="CB44" s="199">
        <f t="shared" si="46"/>
        <v>-0.000301541813446332</v>
      </c>
      <c r="CC44" s="192"/>
      <c r="CD44" s="201"/>
      <c r="CF44" s="8" t="str">
        <f t="shared" si="47"/>
        <v>2026//4/27</v>
      </c>
      <c r="CG44" s="248">
        <v>1360503.9</v>
      </c>
      <c r="CH44" s="12">
        <f t="shared" si="48"/>
        <v>1365303.9</v>
      </c>
      <c r="CI44" s="12">
        <f t="shared" si="49"/>
        <v>-4800</v>
      </c>
      <c r="CJ44" s="199">
        <f t="shared" si="50"/>
        <v>-0.00351570079013178</v>
      </c>
      <c r="CK44" s="192"/>
      <c r="CL44" s="201"/>
      <c r="CN44" s="8" t="str">
        <f t="shared" si="51"/>
        <v>2026//4/27</v>
      </c>
      <c r="CO44" s="248">
        <v>651246.48</v>
      </c>
      <c r="CP44" s="12">
        <f t="shared" si="52"/>
        <v>654446.48</v>
      </c>
      <c r="CQ44" s="12">
        <f t="shared" si="53"/>
        <v>-3200</v>
      </c>
      <c r="CR44" s="199">
        <f t="shared" si="54"/>
        <v>-0.00488962825501025</v>
      </c>
      <c r="CS44" s="201"/>
      <c r="CT44" s="201"/>
      <c r="CV44" s="8" t="str">
        <f t="shared" si="55"/>
        <v>2026//4/27</v>
      </c>
      <c r="CW44" s="248">
        <v>578440.4</v>
      </c>
      <c r="CX44" s="12">
        <f t="shared" si="56"/>
        <v>581090.4</v>
      </c>
      <c r="CY44" s="12">
        <f t="shared" si="57"/>
        <v>-2650</v>
      </c>
      <c r="CZ44" s="199">
        <f t="shared" si="58"/>
        <v>-0.00456039198031838</v>
      </c>
      <c r="DA44" s="192"/>
      <c r="DB44" s="192"/>
      <c r="DC44" s="202"/>
      <c r="DD44" s="8" t="str">
        <f t="shared" si="59"/>
        <v>2026//4/27</v>
      </c>
      <c r="DE44" s="257">
        <v>2224118</v>
      </c>
      <c r="DF44" s="12">
        <f t="shared" si="60"/>
        <v>2284717.99</v>
      </c>
      <c r="DG44" s="12">
        <f t="shared" si="61"/>
        <v>-60599.9900000002</v>
      </c>
      <c r="DH44" s="199">
        <f t="shared" si="62"/>
        <v>-0.0265240569143504</v>
      </c>
      <c r="DI44" s="192"/>
      <c r="DJ44" s="192"/>
      <c r="DL44" s="8" t="str">
        <f t="shared" si="63"/>
        <v>2026//4/27</v>
      </c>
      <c r="DM44" s="248">
        <v>1127300.36</v>
      </c>
      <c r="DN44" s="12">
        <f t="shared" si="64"/>
        <v>1156700.36</v>
      </c>
      <c r="DO44" s="12">
        <f t="shared" si="65"/>
        <v>-29400</v>
      </c>
      <c r="DP44" s="199">
        <f t="shared" si="66"/>
        <v>-0.0254171270423051</v>
      </c>
      <c r="DQ44" s="192"/>
      <c r="DR44" s="192"/>
      <c r="DT44" s="8" t="str">
        <f t="shared" si="67"/>
        <v>2026//4/27</v>
      </c>
      <c r="DU44" s="248">
        <v>1434989.48</v>
      </c>
      <c r="DV44" s="12">
        <f t="shared" si="68"/>
        <v>1444589.48</v>
      </c>
      <c r="DW44" s="12">
        <f t="shared" si="69"/>
        <v>-9600</v>
      </c>
      <c r="DX44" s="199">
        <f t="shared" si="70"/>
        <v>-0.00664548657795847</v>
      </c>
      <c r="DY44" s="192"/>
      <c r="DZ44" s="192"/>
      <c r="EB44" s="8" t="str">
        <f t="shared" si="71"/>
        <v>2026//4/27</v>
      </c>
      <c r="EC44" s="248">
        <v>4478666.82</v>
      </c>
      <c r="ED44" s="12">
        <f t="shared" si="72"/>
        <v>4575866.82</v>
      </c>
      <c r="EE44" s="12">
        <f t="shared" si="73"/>
        <v>-97200</v>
      </c>
      <c r="EF44" s="199">
        <f t="shared" si="74"/>
        <v>-0.0212418769652916</v>
      </c>
      <c r="EG44" s="192"/>
      <c r="EH44" s="192"/>
      <c r="EJ44" s="8" t="str">
        <f t="shared" si="75"/>
        <v>2026//4/27</v>
      </c>
      <c r="EK44" s="257">
        <v>1332322.97</v>
      </c>
      <c r="EL44" s="12">
        <f t="shared" si="76"/>
        <v>1336722.96</v>
      </c>
      <c r="EM44" s="12">
        <f t="shared" si="77"/>
        <v>-4399.98999999999</v>
      </c>
      <c r="EN44" s="199">
        <f t="shared" si="78"/>
        <v>-0.0032916244664489</v>
      </c>
      <c r="EO44" s="192"/>
      <c r="EP44" s="192"/>
      <c r="ER44" s="8" t="str">
        <f t="shared" si="79"/>
        <v>2026//4/27</v>
      </c>
      <c r="ES44" s="248">
        <v>440447.02</v>
      </c>
      <c r="ET44" s="12">
        <f t="shared" si="80"/>
        <v>442697.02</v>
      </c>
      <c r="EU44" s="12">
        <f t="shared" si="81"/>
        <v>-2250</v>
      </c>
      <c r="EV44" s="199">
        <f t="shared" si="82"/>
        <v>-0.00508248282312811</v>
      </c>
      <c r="EW44" s="192"/>
      <c r="EX44" s="192"/>
      <c r="EZ44" s="8" t="str">
        <f t="shared" si="83"/>
        <v>2026//4/27</v>
      </c>
      <c r="FA44" s="248">
        <v>709608</v>
      </c>
      <c r="FB44" s="12">
        <f t="shared" si="84"/>
        <v>710908</v>
      </c>
      <c r="FC44" s="12">
        <f t="shared" si="85"/>
        <v>-1300</v>
      </c>
      <c r="FD44" s="199">
        <f t="shared" si="86"/>
        <v>-0.00182864730738717</v>
      </c>
      <c r="FE44" s="192"/>
      <c r="FF44" s="192"/>
      <c r="FG44" s="192"/>
      <c r="FH44" s="8" t="str">
        <f t="shared" si="87"/>
        <v>2026//4/27</v>
      </c>
      <c r="FI44" s="198">
        <v>1257195.33</v>
      </c>
      <c r="FJ44" s="12">
        <f t="shared" si="88"/>
        <v>1284195.33</v>
      </c>
      <c r="FK44" s="12">
        <f t="shared" si="89"/>
        <v>-27000</v>
      </c>
      <c r="FL44" s="199">
        <f t="shared" si="90"/>
        <v>-0.0210248389549898</v>
      </c>
      <c r="FM44" s="201"/>
      <c r="FN44" s="201"/>
      <c r="FP44" s="8" t="str">
        <f t="shared" si="91"/>
        <v>2026//4/27</v>
      </c>
      <c r="FQ44" s="248">
        <v>2032468.73</v>
      </c>
      <c r="FR44" s="12">
        <f t="shared" si="92"/>
        <v>2045368.73</v>
      </c>
      <c r="FS44" s="12">
        <f t="shared" si="93"/>
        <v>-12900</v>
      </c>
      <c r="FT44" s="199">
        <f t="shared" si="94"/>
        <v>-0.00630693126906267</v>
      </c>
      <c r="FU44" s="192"/>
      <c r="FV44" s="192"/>
      <c r="FX44" s="8" t="str">
        <f t="shared" si="95"/>
        <v>2026//4/27</v>
      </c>
      <c r="FY44" s="248">
        <v>8262282.05</v>
      </c>
      <c r="FZ44" s="12">
        <f t="shared" si="96"/>
        <v>8224282.05</v>
      </c>
      <c r="GA44" s="12">
        <f t="shared" si="97"/>
        <v>38000</v>
      </c>
      <c r="GB44" s="199">
        <f t="shared" si="98"/>
        <v>0.00462046410482724</v>
      </c>
      <c r="GC44" s="192"/>
      <c r="GD44" s="192"/>
      <c r="GF44" s="8" t="str">
        <f t="shared" si="99"/>
        <v>2026//4/27</v>
      </c>
      <c r="GG44" s="248">
        <v>4673769.49</v>
      </c>
      <c r="GH44" s="12">
        <f t="shared" si="100"/>
        <v>4658269.49</v>
      </c>
      <c r="GI44" s="12">
        <f t="shared" si="101"/>
        <v>15500</v>
      </c>
      <c r="GJ44" s="199">
        <f t="shared" si="102"/>
        <v>0.0033274159069745</v>
      </c>
      <c r="GK44" s="192"/>
      <c r="GL44" s="192"/>
      <c r="GN44" s="8" t="str">
        <f t="shared" si="103"/>
        <v>2026//4/27</v>
      </c>
      <c r="GO44" s="257">
        <v>1835158.12</v>
      </c>
      <c r="GP44" s="12">
        <f t="shared" si="104"/>
        <v>1836838.12</v>
      </c>
      <c r="GQ44" s="12">
        <f t="shared" si="105"/>
        <v>-1680</v>
      </c>
      <c r="GR44" s="199">
        <f t="shared" si="106"/>
        <v>-0.00091461516488998</v>
      </c>
      <c r="GS44" s="192"/>
      <c r="GT44" s="192"/>
      <c r="GV44" s="8" t="str">
        <f t="shared" si="107"/>
        <v>2026//4/27</v>
      </c>
      <c r="GW44" s="248">
        <v>888749.4</v>
      </c>
      <c r="GX44" s="12">
        <f t="shared" si="108"/>
        <v>894749.4</v>
      </c>
      <c r="GY44" s="12">
        <f t="shared" si="109"/>
        <v>-6000</v>
      </c>
      <c r="GZ44" s="199">
        <f t="shared" si="110"/>
        <v>-0.006705788235231</v>
      </c>
      <c r="HA44" s="192"/>
      <c r="HB44" s="192"/>
      <c r="HD44" s="8" t="str">
        <f t="shared" si="111"/>
        <v>2026//4/27</v>
      </c>
      <c r="HE44" s="257">
        <v>1254164.67</v>
      </c>
      <c r="HF44" s="12">
        <f t="shared" si="112"/>
        <v>1250164.67</v>
      </c>
      <c r="HG44" s="12">
        <f t="shared" si="113"/>
        <v>4000</v>
      </c>
      <c r="HH44" s="199">
        <f t="shared" si="114"/>
        <v>0.00319957850032668</v>
      </c>
      <c r="HI44" s="201"/>
      <c r="HJ44" s="192"/>
      <c r="HL44" s="8" t="str">
        <f t="shared" si="115"/>
        <v>2026//4/27</v>
      </c>
      <c r="HM44" s="248">
        <v>140404.25</v>
      </c>
      <c r="HN44" s="208">
        <f t="shared" si="116"/>
        <v>145754.25</v>
      </c>
      <c r="HO44" s="208">
        <f t="shared" si="117"/>
        <v>-5350</v>
      </c>
      <c r="HP44" s="209">
        <f t="shared" si="118"/>
        <v>-0.0367056192186506</v>
      </c>
      <c r="HQ44" s="192"/>
      <c r="HR44" s="192"/>
      <c r="HT44" s="8" t="str">
        <f t="shared" si="119"/>
        <v>2026//4/27</v>
      </c>
      <c r="HU44" s="257">
        <v>208968.83</v>
      </c>
      <c r="HV44" s="12">
        <f t="shared" si="120"/>
        <v>209468.82</v>
      </c>
      <c r="HW44" s="12">
        <f t="shared" si="121"/>
        <v>-499.99000000002</v>
      </c>
      <c r="HX44" s="199">
        <f t="shared" si="122"/>
        <v>-0.00238694236211394</v>
      </c>
      <c r="HY44" s="192"/>
      <c r="HZ44" s="192"/>
      <c r="IB44" s="8" t="str">
        <f t="shared" si="123"/>
        <v>2026//4/27</v>
      </c>
      <c r="IC44" s="248">
        <v>361809.79</v>
      </c>
      <c r="ID44" s="12">
        <f t="shared" si="124"/>
        <v>366084.79</v>
      </c>
      <c r="IE44" s="12">
        <f t="shared" si="125"/>
        <v>-4275</v>
      </c>
      <c r="IF44" s="199">
        <f t="shared" si="126"/>
        <v>-0.011677622552961</v>
      </c>
      <c r="IG44" s="201"/>
      <c r="IH44" s="192"/>
      <c r="IJ44" s="8" t="str">
        <f t="shared" si="127"/>
        <v>2026//4/27</v>
      </c>
      <c r="IK44" s="257">
        <v>613676.29</v>
      </c>
      <c r="IL44" s="12">
        <f t="shared" si="128"/>
        <v>611916.29</v>
      </c>
      <c r="IM44" s="12">
        <f t="shared" si="129"/>
        <v>1760</v>
      </c>
      <c r="IN44" s="199">
        <f t="shared" si="130"/>
        <v>0.00287621040453099</v>
      </c>
      <c r="IO44" s="192"/>
      <c r="IP44" s="192"/>
      <c r="IR44" s="8" t="str">
        <f t="shared" si="131"/>
        <v>2026//4/27</v>
      </c>
      <c r="IS44" s="248">
        <v>139589</v>
      </c>
      <c r="IT44" s="12">
        <f t="shared" si="132"/>
        <v>139689</v>
      </c>
      <c r="IU44" s="12">
        <f t="shared" si="133"/>
        <v>-100</v>
      </c>
      <c r="IV44" s="199">
        <f t="shared" si="134"/>
        <v>-0.00071587598164494</v>
      </c>
      <c r="IW44" s="192"/>
      <c r="IX44" s="192"/>
      <c r="IZ44" s="8" t="str">
        <f t="shared" si="135"/>
        <v>2026//4/27</v>
      </c>
      <c r="JA44" s="248">
        <v>4947629.15</v>
      </c>
      <c r="JB44" s="12">
        <f t="shared" si="136"/>
        <v>4926129.15</v>
      </c>
      <c r="JC44" s="12">
        <f t="shared" si="137"/>
        <v>21500</v>
      </c>
      <c r="JD44" s="199">
        <f t="shared" si="138"/>
        <v>0.0043644815930171</v>
      </c>
      <c r="JE44" s="192"/>
      <c r="JF44" s="192"/>
      <c r="JH44" s="8" t="str">
        <f t="shared" si="139"/>
        <v>2026//4/27</v>
      </c>
      <c r="JI44" s="248">
        <v>1324107.99</v>
      </c>
      <c r="JJ44" s="12">
        <f t="shared" si="140"/>
        <v>1325547.99</v>
      </c>
      <c r="JK44" s="12">
        <f t="shared" si="141"/>
        <v>-1440</v>
      </c>
      <c r="JL44" s="199">
        <f t="shared" si="142"/>
        <v>-0.00108634316589322</v>
      </c>
      <c r="JM44" s="192"/>
      <c r="JN44" s="192"/>
      <c r="JO44" s="192"/>
      <c r="JP44" s="8" t="str">
        <f t="shared" si="143"/>
        <v>2026//4/27</v>
      </c>
      <c r="JQ44" s="257">
        <v>1021590.41</v>
      </c>
      <c r="JR44" s="12">
        <f t="shared" si="144"/>
        <v>1023490.41</v>
      </c>
      <c r="JS44" s="12">
        <f t="shared" si="145"/>
        <v>-1900</v>
      </c>
      <c r="JT44" s="199">
        <f t="shared" si="146"/>
        <v>-0.00185639257723968</v>
      </c>
      <c r="JU44" s="192"/>
      <c r="JV44" s="192"/>
      <c r="JW44" s="201"/>
      <c r="JX44" s="8" t="str">
        <f t="shared" si="147"/>
        <v>2026//4/27</v>
      </c>
      <c r="JY44" s="248">
        <v>1183648.8</v>
      </c>
      <c r="JZ44" s="12">
        <f t="shared" si="148"/>
        <v>1195548.8</v>
      </c>
      <c r="KA44" s="12">
        <f t="shared" si="149"/>
        <v>-11900</v>
      </c>
      <c r="KB44" s="199">
        <f t="shared" si="150"/>
        <v>-0.00995358784183465</v>
      </c>
      <c r="KC44" s="192"/>
      <c r="KD44" s="192"/>
      <c r="KE44" s="201"/>
      <c r="KF44" s="8" t="str">
        <f t="shared" si="151"/>
        <v>2026//4/27</v>
      </c>
      <c r="KG44" s="257">
        <v>732555.92</v>
      </c>
      <c r="KH44" s="12">
        <f t="shared" si="152"/>
        <v>732555.92</v>
      </c>
      <c r="KI44" s="12">
        <f t="shared" si="153"/>
        <v>0</v>
      </c>
      <c r="KJ44" s="199">
        <f t="shared" si="154"/>
        <v>0</v>
      </c>
      <c r="KK44" s="201"/>
      <c r="KL44" s="201"/>
      <c r="KN44" s="8" t="str">
        <f t="shared" si="155"/>
        <v>2026//4/27</v>
      </c>
      <c r="KO44" s="248">
        <v>8328775.95</v>
      </c>
      <c r="KP44" s="12">
        <f t="shared" si="156"/>
        <v>8328775.95</v>
      </c>
      <c r="KQ44" s="12">
        <f t="shared" si="157"/>
        <v>0</v>
      </c>
      <c r="KR44" s="199">
        <f t="shared" si="158"/>
        <v>0</v>
      </c>
      <c r="KS44" s="192"/>
      <c r="KT44" s="192"/>
      <c r="KV44" s="8" t="str">
        <f t="shared" si="159"/>
        <v>2026//4/27</v>
      </c>
      <c r="KW44" s="257">
        <v>993772.97</v>
      </c>
      <c r="KX44" s="12">
        <f t="shared" si="160"/>
        <v>993772.97</v>
      </c>
      <c r="KY44" s="12">
        <f t="shared" si="161"/>
        <v>0</v>
      </c>
      <c r="KZ44" s="199">
        <f t="shared" si="162"/>
        <v>0</v>
      </c>
      <c r="LA44" s="201"/>
      <c r="LB44" s="192"/>
      <c r="LD44" s="8" t="str">
        <f t="shared" si="163"/>
        <v>2026//4/27</v>
      </c>
      <c r="LE44" s="248">
        <v>481407.7</v>
      </c>
      <c r="LF44" s="12">
        <f t="shared" si="164"/>
        <v>482157.7</v>
      </c>
      <c r="LG44" s="12">
        <f t="shared" si="165"/>
        <v>-750</v>
      </c>
      <c r="LH44" s="199">
        <f t="shared" si="166"/>
        <v>-0.00155550766896391</v>
      </c>
      <c r="LI44" s="192"/>
      <c r="LJ44" s="192"/>
      <c r="LL44" s="8" t="str">
        <f t="shared" si="167"/>
        <v>2026//4/27</v>
      </c>
      <c r="LM44" s="248">
        <v>3557095.02</v>
      </c>
      <c r="LN44" s="12">
        <f t="shared" si="168"/>
        <v>3545575.02</v>
      </c>
      <c r="LO44" s="12">
        <f t="shared" si="169"/>
        <v>11520</v>
      </c>
      <c r="LP44" s="199">
        <f t="shared" si="170"/>
        <v>0.0032491203641208</v>
      </c>
      <c r="LQ44" s="192"/>
      <c r="LR44" s="192"/>
      <c r="LT44" s="8" t="str">
        <f t="shared" si="171"/>
        <v>2026//4/27</v>
      </c>
      <c r="LU44" s="257">
        <v>2525262.9</v>
      </c>
      <c r="LV44" s="12">
        <f t="shared" si="172"/>
        <v>2519262.9</v>
      </c>
      <c r="LW44" s="12">
        <f t="shared" si="173"/>
        <v>6000</v>
      </c>
      <c r="LX44" s="199">
        <f t="shared" si="174"/>
        <v>0.00238164901328877</v>
      </c>
      <c r="LY44" s="192"/>
      <c r="LZ44" s="192"/>
      <c r="MB44" s="8" t="str">
        <f t="shared" si="175"/>
        <v>2026//4/27</v>
      </c>
      <c r="MC44" s="248">
        <v>788217.69</v>
      </c>
      <c r="MD44" s="12">
        <f t="shared" si="176"/>
        <v>756667.69</v>
      </c>
      <c r="ME44" s="12">
        <f t="shared" si="177"/>
        <v>31550</v>
      </c>
      <c r="MF44" s="199">
        <f t="shared" si="178"/>
        <v>0.0416959788516938</v>
      </c>
      <c r="MG44" s="192"/>
      <c r="MH44" s="192"/>
      <c r="MI44" s="8"/>
      <c r="MJ44" s="8"/>
      <c r="MK44" s="8" t="str">
        <f t="shared" si="179"/>
        <v>2026//4/27</v>
      </c>
      <c r="ML44" s="258">
        <v>217305.54</v>
      </c>
      <c r="MM44" s="12">
        <f t="shared" si="180"/>
        <v>220905.53</v>
      </c>
      <c r="MN44" s="12">
        <f t="shared" si="181"/>
        <v>-3599.98999999999</v>
      </c>
      <c r="MO44" s="199">
        <f t="shared" si="182"/>
        <v>-0.0162965137178775</v>
      </c>
      <c r="MP44" s="192"/>
      <c r="MQ44" s="201"/>
      <c r="MR44" s="201"/>
      <c r="MT44" s="8" t="str">
        <f t="shared" si="183"/>
        <v>2026//4/27</v>
      </c>
      <c r="MU44" s="248">
        <v>203014.8</v>
      </c>
      <c r="MV44" s="204">
        <f t="shared" si="184"/>
        <v>204114.8</v>
      </c>
      <c r="MW44" s="8">
        <f t="shared" si="185"/>
        <v>-1100</v>
      </c>
      <c r="MX44" s="192">
        <f t="shared" si="186"/>
        <v>-0.00538912415954159</v>
      </c>
      <c r="MY44" s="192"/>
      <c r="MZ44" s="192"/>
      <c r="NA44" s="192"/>
      <c r="NC44" s="8" t="str">
        <f t="shared" si="187"/>
        <v>2026//4/27</v>
      </c>
      <c r="ND44" s="248">
        <v>42091.48</v>
      </c>
      <c r="NE44" s="204">
        <f t="shared" si="188"/>
        <v>42091.48</v>
      </c>
      <c r="NF44" s="8">
        <f t="shared" si="189"/>
        <v>0</v>
      </c>
      <c r="NG44" s="192">
        <f t="shared" si="190"/>
        <v>0</v>
      </c>
      <c r="NH44" s="192"/>
      <c r="NI44" s="192"/>
      <c r="NJ44" s="192"/>
      <c r="NK44" s="192"/>
      <c r="NM44" s="8" t="str">
        <f t="shared" si="191"/>
        <v>2026//4/27</v>
      </c>
      <c r="NN44" s="248">
        <v>2577311.08</v>
      </c>
      <c r="NO44" s="8">
        <f t="shared" si="192"/>
        <v>2572211.08</v>
      </c>
      <c r="NP44" s="210">
        <f t="shared" si="193"/>
        <v>5100</v>
      </c>
      <c r="NQ44" s="211">
        <f t="shared" si="194"/>
        <v>0.0019827299709789</v>
      </c>
      <c r="NR44" s="192"/>
      <c r="NU44" s="8" t="str">
        <f t="shared" si="195"/>
        <v>2026//4/27</v>
      </c>
      <c r="NV44" s="248">
        <v>262826.5</v>
      </c>
      <c r="NW44" s="205">
        <f t="shared" si="196"/>
        <v>261276.5</v>
      </c>
      <c r="NX44" s="210">
        <f t="shared" si="197"/>
        <v>1550</v>
      </c>
      <c r="NY44" s="211">
        <f t="shared" si="198"/>
        <v>0.00593241259738247</v>
      </c>
      <c r="NZ44" s="201"/>
      <c r="OA44" s="200"/>
      <c r="OC44" s="8" t="str">
        <f t="shared" si="199"/>
        <v>2026//4/27</v>
      </c>
      <c r="OD44" s="248">
        <v>14263.97</v>
      </c>
      <c r="OE44" s="12">
        <f t="shared" si="200"/>
        <v>14010.97</v>
      </c>
      <c r="OF44" s="12">
        <f t="shared" si="201"/>
        <v>253</v>
      </c>
      <c r="OG44" s="199">
        <f t="shared" si="202"/>
        <v>0.0180572794032105</v>
      </c>
      <c r="OH44" s="192"/>
      <c r="OI44" s="192"/>
      <c r="OK44" s="8" t="str">
        <f t="shared" si="203"/>
        <v>2026//4/27</v>
      </c>
      <c r="OL44" s="248">
        <v>13993.65</v>
      </c>
      <c r="OM44" s="12">
        <f t="shared" si="204"/>
        <v>13925.65</v>
      </c>
      <c r="ON44" s="12">
        <f t="shared" si="205"/>
        <v>68</v>
      </c>
      <c r="OO44" s="199">
        <f t="shared" si="206"/>
        <v>0.00488307547583057</v>
      </c>
      <c r="OP44" s="192"/>
      <c r="OQ44" s="192"/>
      <c r="OT44" s="234" t="str">
        <f t="shared" si="207"/>
        <v>2026//4/27</v>
      </c>
      <c r="OU44" s="206">
        <v>145872.4066</v>
      </c>
      <c r="OV44" s="8">
        <f t="shared" si="208"/>
        <v>145752.4066</v>
      </c>
      <c r="OW44" s="191">
        <f t="shared" si="209"/>
        <v>120</v>
      </c>
      <c r="OX44" s="192">
        <f t="shared" si="210"/>
        <v>0.000823314021354897</v>
      </c>
    </row>
    <row r="45" s="9" customFormat="1" ht="17" customHeight="1" spans="1:414">
      <c r="A45" s="212"/>
      <c r="B45" s="212"/>
      <c r="C45" s="212" t="s">
        <v>471</v>
      </c>
      <c r="D45" s="259">
        <v>4092258.77</v>
      </c>
      <c r="E45" s="214">
        <f t="shared" si="8"/>
        <v>4111878.77</v>
      </c>
      <c r="F45" s="214">
        <f t="shared" si="9"/>
        <v>-19620</v>
      </c>
      <c r="G45" s="215">
        <f t="shared" si="10"/>
        <v>-0.00477154145281379</v>
      </c>
      <c r="H45" s="216">
        <f>(D45-D50)/D50</f>
        <v>-0.0540095856195913</v>
      </c>
      <c r="I45" s="215">
        <f>(D45-D62)/D62</f>
        <v>-0.0871318995400784</v>
      </c>
      <c r="J45" s="215"/>
      <c r="K45" s="9" t="str">
        <f t="shared" si="11"/>
        <v>2026//4/24</v>
      </c>
      <c r="L45" s="259">
        <v>3080764.4</v>
      </c>
      <c r="M45" s="214">
        <f t="shared" si="12"/>
        <v>3082294.4</v>
      </c>
      <c r="N45" s="214">
        <f t="shared" si="13"/>
        <v>-1530</v>
      </c>
      <c r="O45" s="215">
        <f t="shared" si="14"/>
        <v>-0.000496383473298333</v>
      </c>
      <c r="P45" s="216">
        <f>(L45-L50)/L50</f>
        <v>-0.0168027567627187</v>
      </c>
      <c r="Q45" s="215">
        <f>(L45-L62)/L62</f>
        <v>-0.0281360514208028</v>
      </c>
      <c r="R45" s="214"/>
      <c r="S45" s="9" t="str">
        <f t="shared" si="15"/>
        <v>2026//4/24</v>
      </c>
      <c r="T45" s="259">
        <v>2080686.68</v>
      </c>
      <c r="U45" s="214">
        <f t="shared" si="16"/>
        <v>2119656.68</v>
      </c>
      <c r="V45" s="214">
        <f t="shared" si="17"/>
        <v>-38970.0000000002</v>
      </c>
      <c r="W45" s="215">
        <f t="shared" si="18"/>
        <v>-0.01838505280959</v>
      </c>
      <c r="X45" s="216">
        <f>(T45-T50)/T50</f>
        <v>-0.0907348190985525</v>
      </c>
      <c r="Y45" s="215">
        <f>(T45-T62)/T62</f>
        <v>-0.0962442804410479</v>
      </c>
      <c r="Z45" s="214"/>
      <c r="AA45" s="9" t="str">
        <f t="shared" si="19"/>
        <v>2026//4/24</v>
      </c>
      <c r="AB45" s="259">
        <v>843536.86</v>
      </c>
      <c r="AC45" s="214">
        <f t="shared" si="20"/>
        <v>853936.86</v>
      </c>
      <c r="AD45" s="214">
        <f t="shared" si="21"/>
        <v>-10400</v>
      </c>
      <c r="AE45" s="215">
        <f t="shared" si="22"/>
        <v>-0.0121788863874549</v>
      </c>
      <c r="AF45" s="216">
        <f>(AB45-AB50)/AB50</f>
        <v>-0.135983229527134</v>
      </c>
      <c r="AG45" s="215">
        <f>(AB45-AB62)/AB62</f>
        <v>-0.10609788816668</v>
      </c>
      <c r="AH45" s="214"/>
      <c r="AI45" s="9" t="str">
        <f t="shared" si="23"/>
        <v>2026//4/24</v>
      </c>
      <c r="AJ45" s="259">
        <v>675521.76</v>
      </c>
      <c r="AK45" s="214">
        <f t="shared" si="24"/>
        <v>685321.76</v>
      </c>
      <c r="AL45" s="214">
        <f t="shared" si="25"/>
        <v>-9800</v>
      </c>
      <c r="AM45" s="215">
        <f t="shared" si="26"/>
        <v>-0.0142998523788301</v>
      </c>
      <c r="AN45" s="216">
        <f>(AJ45-AJ50)/AJ50</f>
        <v>-0.090233045830199</v>
      </c>
      <c r="AO45" s="216">
        <f>(AJ45-AJ62)/AJ62</f>
        <v>-0.107068962563615</v>
      </c>
      <c r="AP45" s="214"/>
      <c r="AQ45" s="9" t="str">
        <f t="shared" si="27"/>
        <v>2026//4/24</v>
      </c>
      <c r="AR45" s="260">
        <v>1242045.49</v>
      </c>
      <c r="AS45" s="214">
        <f t="shared" si="28"/>
        <v>1225245.49</v>
      </c>
      <c r="AT45" s="214">
        <f t="shared" si="29"/>
        <v>16800</v>
      </c>
      <c r="AU45" s="215">
        <f t="shared" si="30"/>
        <v>0.0137115379220861</v>
      </c>
      <c r="AV45" s="216">
        <f>(AR45-AR50)/AR50</f>
        <v>-0.11908261786773</v>
      </c>
      <c r="AW45" s="216">
        <f>(AR45-AR62)/AR62</f>
        <v>-0.226547324923521</v>
      </c>
      <c r="AX45" s="217"/>
      <c r="AY45" s="217"/>
      <c r="AZ45" s="9" t="str">
        <f t="shared" si="31"/>
        <v>2026//4/24</v>
      </c>
      <c r="BA45" s="260">
        <v>1900281.66</v>
      </c>
      <c r="BB45" s="218">
        <f t="shared" si="32"/>
        <v>1908201.66</v>
      </c>
      <c r="BC45" s="217">
        <f t="shared" si="33"/>
        <v>-7920</v>
      </c>
      <c r="BD45" s="216">
        <f t="shared" si="34"/>
        <v>-0.00415050472181226</v>
      </c>
      <c r="BE45" s="216">
        <f>(BA45-BA50)/BA50</f>
        <v>-0.026286371229785</v>
      </c>
      <c r="BF45" s="216">
        <f>(BA45-BA62)/BA62</f>
        <v>-0.0481895326324579</v>
      </c>
      <c r="BG45" s="219"/>
      <c r="BH45" s="9" t="str">
        <f t="shared" si="35"/>
        <v>2026//4/24</v>
      </c>
      <c r="BI45" s="261">
        <v>1697126.55</v>
      </c>
      <c r="BJ45" s="221">
        <f t="shared" si="36"/>
        <v>1710926.55</v>
      </c>
      <c r="BK45" s="221">
        <f t="shared" si="37"/>
        <v>-13800</v>
      </c>
      <c r="BL45" s="222">
        <f t="shared" si="38"/>
        <v>-0.00806580504580983</v>
      </c>
      <c r="BM45" s="223">
        <f>(BI45-BI50)/BI50</f>
        <v>0.0130728587127514</v>
      </c>
      <c r="BN45" s="224"/>
      <c r="BP45" s="9" t="str">
        <f t="shared" si="39"/>
        <v>2026//4/24</v>
      </c>
      <c r="BQ45" s="261">
        <v>1099762.39</v>
      </c>
      <c r="BR45" s="13">
        <f t="shared" si="40"/>
        <v>1101962.39</v>
      </c>
      <c r="BS45" s="13">
        <f t="shared" si="41"/>
        <v>-2200</v>
      </c>
      <c r="BT45" s="226">
        <f t="shared" si="42"/>
        <v>-0.00199643837209362</v>
      </c>
      <c r="BU45" s="224">
        <f>(BQ45-BQ50)/BQ50</f>
        <v>-0.00972480258403132</v>
      </c>
      <c r="BV45" s="224"/>
      <c r="BX45" s="9" t="str">
        <f t="shared" si="43"/>
        <v>2026//4/24</v>
      </c>
      <c r="BY45" s="261">
        <v>2984660.7</v>
      </c>
      <c r="BZ45" s="13">
        <f t="shared" si="44"/>
        <v>2995560.7</v>
      </c>
      <c r="CA45" s="13">
        <f t="shared" si="45"/>
        <v>-10900</v>
      </c>
      <c r="CB45" s="226">
        <f t="shared" si="46"/>
        <v>-0.00363871778662339</v>
      </c>
      <c r="CC45" s="224">
        <f>(BY45-BY50)/BY50</f>
        <v>-0.0489594608972273</v>
      </c>
      <c r="CD45" s="228"/>
      <c r="CF45" s="9" t="str">
        <f t="shared" si="47"/>
        <v>2026//4/24</v>
      </c>
      <c r="CG45" s="259">
        <v>1365303.9</v>
      </c>
      <c r="CH45" s="13">
        <f t="shared" si="48"/>
        <v>1375553.9</v>
      </c>
      <c r="CI45" s="13">
        <f t="shared" si="49"/>
        <v>-10250</v>
      </c>
      <c r="CJ45" s="226">
        <f t="shared" si="50"/>
        <v>-0.00745154370177715</v>
      </c>
      <c r="CK45" s="224">
        <f>(CG45-CG50)/CG50</f>
        <v>-0.020201601215512</v>
      </c>
      <c r="CL45" s="228"/>
      <c r="CN45" s="9" t="str">
        <f t="shared" si="51"/>
        <v>2026//4/24</v>
      </c>
      <c r="CO45" s="259">
        <v>654446.48</v>
      </c>
      <c r="CP45" s="13">
        <f t="shared" si="52"/>
        <v>654346.48</v>
      </c>
      <c r="CQ45" s="13">
        <f t="shared" si="53"/>
        <v>100</v>
      </c>
      <c r="CR45" s="226">
        <f t="shared" si="54"/>
        <v>0.000152824234647063</v>
      </c>
      <c r="CS45" s="228">
        <f>(CO45-CO50)/CO50</f>
        <v>-0.0116288468376363</v>
      </c>
      <c r="CT45" s="228"/>
      <c r="CV45" s="9" t="str">
        <f t="shared" si="55"/>
        <v>2026//4/24</v>
      </c>
      <c r="CW45" s="259">
        <v>581090.4</v>
      </c>
      <c r="CX45" s="13">
        <f t="shared" si="56"/>
        <v>583940.4</v>
      </c>
      <c r="CY45" s="13">
        <f t="shared" si="57"/>
        <v>-2850</v>
      </c>
      <c r="CZ45" s="226">
        <f t="shared" si="58"/>
        <v>-0.00488063507851144</v>
      </c>
      <c r="DA45" s="224">
        <f>(CW45-CW50)/CW50</f>
        <v>-0.016751541141785</v>
      </c>
      <c r="DB45" s="224"/>
      <c r="DC45" s="229"/>
      <c r="DD45" s="9" t="str">
        <f t="shared" si="59"/>
        <v>2026//4/24</v>
      </c>
      <c r="DE45" s="261">
        <v>2284717.99</v>
      </c>
      <c r="DF45" s="13">
        <f t="shared" si="60"/>
        <v>2302317.99</v>
      </c>
      <c r="DG45" s="13">
        <f t="shared" si="61"/>
        <v>-17600</v>
      </c>
      <c r="DH45" s="226">
        <f t="shared" si="62"/>
        <v>-0.00764446965034574</v>
      </c>
      <c r="DI45" s="224">
        <f>(DE45-DE50)/DE50</f>
        <v>-0.0306332253843079</v>
      </c>
      <c r="DJ45" s="224"/>
      <c r="DL45" s="9" t="str">
        <f t="shared" si="63"/>
        <v>2026//4/24</v>
      </c>
      <c r="DM45" s="259">
        <v>1156700.36</v>
      </c>
      <c r="DN45" s="13">
        <f t="shared" si="64"/>
        <v>1190700.36</v>
      </c>
      <c r="DO45" s="13">
        <f t="shared" si="65"/>
        <v>-34000</v>
      </c>
      <c r="DP45" s="226">
        <f t="shared" si="66"/>
        <v>-0.0285546230959399</v>
      </c>
      <c r="DQ45" s="224">
        <f>(DM45-DM50)/DM50</f>
        <v>-0.0726368747299969</v>
      </c>
      <c r="DR45" s="224"/>
      <c r="DT45" s="9" t="str">
        <f t="shared" si="67"/>
        <v>2026//4/24</v>
      </c>
      <c r="DU45" s="259">
        <v>1444589.48</v>
      </c>
      <c r="DV45" s="13">
        <f t="shared" si="68"/>
        <v>1461989.48</v>
      </c>
      <c r="DW45" s="13">
        <f t="shared" si="69"/>
        <v>-17400</v>
      </c>
      <c r="DX45" s="226">
        <f t="shared" si="70"/>
        <v>-0.0119015904273128</v>
      </c>
      <c r="DY45" s="224">
        <f>(DU45-DU50)/DU50</f>
        <v>-0.0317696610032398</v>
      </c>
      <c r="DZ45" s="224"/>
      <c r="EB45" s="9" t="str">
        <f t="shared" si="71"/>
        <v>2026//4/24</v>
      </c>
      <c r="EC45" s="259">
        <v>4575866.82</v>
      </c>
      <c r="ED45" s="13">
        <f t="shared" si="72"/>
        <v>4642466.82</v>
      </c>
      <c r="EE45" s="13">
        <f t="shared" si="73"/>
        <v>-66600</v>
      </c>
      <c r="EF45" s="226">
        <f t="shared" si="74"/>
        <v>-0.014345821431202</v>
      </c>
      <c r="EG45" s="224">
        <f>(EC45-EC50)/EC50</f>
        <v>-0.0432794823252051</v>
      </c>
      <c r="EH45" s="224"/>
      <c r="EJ45" s="9" t="str">
        <f t="shared" si="75"/>
        <v>2026//4/24</v>
      </c>
      <c r="EK45" s="261">
        <v>1336722.96</v>
      </c>
      <c r="EL45" s="13">
        <f t="shared" si="76"/>
        <v>1338522.96</v>
      </c>
      <c r="EM45" s="13">
        <f t="shared" si="77"/>
        <v>-1800</v>
      </c>
      <c r="EN45" s="226">
        <f t="shared" si="78"/>
        <v>-0.00134476587536459</v>
      </c>
      <c r="EO45" s="224">
        <f>(EK45-EK50)/EK50</f>
        <v>-0.0328480180952931</v>
      </c>
      <c r="EP45" s="224"/>
      <c r="ER45" s="9" t="str">
        <f t="shared" si="79"/>
        <v>2026//4/24</v>
      </c>
      <c r="ES45" s="259">
        <v>442697.02</v>
      </c>
      <c r="ET45" s="13">
        <f t="shared" si="80"/>
        <v>447497.02</v>
      </c>
      <c r="EU45" s="13">
        <f t="shared" si="81"/>
        <v>-4800</v>
      </c>
      <c r="EV45" s="226">
        <f t="shared" si="82"/>
        <v>-0.0107263284121981</v>
      </c>
      <c r="EW45" s="224">
        <f>(ES45-ES50)/ES50</f>
        <v>-0.0625731846862686</v>
      </c>
      <c r="EX45" s="224"/>
      <c r="EZ45" s="9" t="str">
        <f t="shared" si="83"/>
        <v>2026//4/24</v>
      </c>
      <c r="FA45" s="259">
        <v>710908</v>
      </c>
      <c r="FB45" s="13">
        <f t="shared" si="84"/>
        <v>717808</v>
      </c>
      <c r="FC45" s="13">
        <f t="shared" si="85"/>
        <v>-6900</v>
      </c>
      <c r="FD45" s="226">
        <f t="shared" si="86"/>
        <v>-0.00961259835499186</v>
      </c>
      <c r="FE45" s="224">
        <f>(FA45-FA50)/FA50</f>
        <v>-0.0318667371184843</v>
      </c>
      <c r="FF45" s="224"/>
      <c r="FG45" s="224"/>
      <c r="FH45" s="9" t="str">
        <f t="shared" si="87"/>
        <v>2026//4/24</v>
      </c>
      <c r="FI45" s="261">
        <v>1284195.33</v>
      </c>
      <c r="FJ45" s="13">
        <f t="shared" si="88"/>
        <v>1291695.33</v>
      </c>
      <c r="FK45" s="13">
        <f t="shared" si="89"/>
        <v>-7500</v>
      </c>
      <c r="FL45" s="226">
        <f t="shared" si="90"/>
        <v>-0.00580632276498205</v>
      </c>
      <c r="FM45" s="228">
        <f>(FI45-FI50)/FI50</f>
        <v>0.0763560108813769</v>
      </c>
      <c r="FN45" s="228"/>
      <c r="FP45" s="9" t="str">
        <f t="shared" si="91"/>
        <v>2026//4/24</v>
      </c>
      <c r="FQ45" s="259">
        <v>2045368.73</v>
      </c>
      <c r="FR45" s="13">
        <f t="shared" si="92"/>
        <v>2073118.73</v>
      </c>
      <c r="FS45" s="13">
        <f t="shared" si="93"/>
        <v>-27750</v>
      </c>
      <c r="FT45" s="226">
        <f t="shared" si="94"/>
        <v>-0.0133856298717633</v>
      </c>
      <c r="FU45" s="224">
        <f>(FQ45-FQ50)/FQ50</f>
        <v>-0.0465009225852967</v>
      </c>
      <c r="FV45" s="224"/>
      <c r="FX45" s="9" t="str">
        <f t="shared" si="95"/>
        <v>2026//4/24</v>
      </c>
      <c r="FY45" s="259">
        <v>8224282.05</v>
      </c>
      <c r="FZ45" s="13">
        <f t="shared" si="96"/>
        <v>8253482.05</v>
      </c>
      <c r="GA45" s="13">
        <f t="shared" si="97"/>
        <v>-29200</v>
      </c>
      <c r="GB45" s="226">
        <f t="shared" si="98"/>
        <v>-0.00353790070943451</v>
      </c>
      <c r="GC45" s="224">
        <f>(FY45-FY50)/FY50</f>
        <v>-0.0127720634830854</v>
      </c>
      <c r="GD45" s="224"/>
      <c r="GF45" s="9" t="str">
        <f t="shared" si="99"/>
        <v>2026//4/24</v>
      </c>
      <c r="GG45" s="259">
        <v>4658269.49</v>
      </c>
      <c r="GH45" s="13">
        <f t="shared" si="100"/>
        <v>4672669.49</v>
      </c>
      <c r="GI45" s="13">
        <f t="shared" si="101"/>
        <v>-14400</v>
      </c>
      <c r="GJ45" s="226">
        <f t="shared" si="102"/>
        <v>-0.00308175017103553</v>
      </c>
      <c r="GK45" s="224">
        <f>(GG45-GG50)/GG50</f>
        <v>-0.00508322229108992</v>
      </c>
      <c r="GL45" s="224"/>
      <c r="GN45" s="9" t="str">
        <f t="shared" si="103"/>
        <v>2026//4/24</v>
      </c>
      <c r="GO45" s="261">
        <v>1836838.12</v>
      </c>
      <c r="GP45" s="13">
        <f t="shared" si="104"/>
        <v>1847818.12</v>
      </c>
      <c r="GQ45" s="13">
        <f t="shared" si="105"/>
        <v>-10980</v>
      </c>
      <c r="GR45" s="226">
        <f t="shared" si="106"/>
        <v>-0.00594214326678429</v>
      </c>
      <c r="GS45" s="224">
        <f>(GO45-GO50)/GO50</f>
        <v>0.00823344282641314</v>
      </c>
      <c r="GT45" s="224"/>
      <c r="GV45" s="9" t="str">
        <f t="shared" si="107"/>
        <v>2026//4/24</v>
      </c>
      <c r="GW45" s="259">
        <v>894749.4</v>
      </c>
      <c r="GX45" s="13">
        <f t="shared" si="108"/>
        <v>904949.4</v>
      </c>
      <c r="GY45" s="13">
        <f t="shared" si="109"/>
        <v>-10200</v>
      </c>
      <c r="GZ45" s="226">
        <f t="shared" si="110"/>
        <v>-0.0112713484311941</v>
      </c>
      <c r="HA45" s="224">
        <f>(GW45-GW50)/GW50</f>
        <v>-0.0374374939083388</v>
      </c>
      <c r="HB45" s="224"/>
      <c r="HD45" s="9" t="str">
        <f t="shared" si="111"/>
        <v>2026//4/24</v>
      </c>
      <c r="HE45" s="261">
        <v>1250164.67</v>
      </c>
      <c r="HF45" s="13">
        <f t="shared" si="112"/>
        <v>1258364.67</v>
      </c>
      <c r="HG45" s="13">
        <f t="shared" si="113"/>
        <v>-8200</v>
      </c>
      <c r="HH45" s="226">
        <f t="shared" si="114"/>
        <v>-0.00651639401160238</v>
      </c>
      <c r="HI45" s="228">
        <f>(HE45-HE50)/HE50</f>
        <v>0.0797157063268888</v>
      </c>
      <c r="HJ45" s="224"/>
      <c r="HL45" s="9" t="str">
        <f t="shared" si="115"/>
        <v>2026//4/24</v>
      </c>
      <c r="HM45" s="259">
        <v>145754.25</v>
      </c>
      <c r="HN45" s="13">
        <f t="shared" si="116"/>
        <v>147054.25</v>
      </c>
      <c r="HO45" s="13">
        <f t="shared" si="117"/>
        <v>-1300</v>
      </c>
      <c r="HP45" s="226">
        <f t="shared" si="118"/>
        <v>-0.0088402749325504</v>
      </c>
      <c r="HQ45" s="224">
        <f>(HM45-HM50)/HM50</f>
        <v>-0.0395376076782034</v>
      </c>
      <c r="HR45" s="224"/>
      <c r="HT45" s="9" t="str">
        <f t="shared" si="119"/>
        <v>2026//4/24</v>
      </c>
      <c r="HU45" s="261">
        <v>209468.82</v>
      </c>
      <c r="HV45" s="13">
        <f t="shared" si="120"/>
        <v>213368.82</v>
      </c>
      <c r="HW45" s="13">
        <f t="shared" si="121"/>
        <v>-3900</v>
      </c>
      <c r="HX45" s="226">
        <f t="shared" si="122"/>
        <v>-0.0182782095340828</v>
      </c>
      <c r="HY45" s="224">
        <f>(HU45-HU50)/HU50</f>
        <v>-0.116794442035003</v>
      </c>
      <c r="HZ45" s="224"/>
      <c r="IB45" s="9" t="str">
        <f t="shared" si="123"/>
        <v>2026//4/24</v>
      </c>
      <c r="IC45" s="259">
        <v>366084.79</v>
      </c>
      <c r="ID45" s="13">
        <f t="shared" si="124"/>
        <v>370284.79</v>
      </c>
      <c r="IE45" s="13">
        <f t="shared" si="125"/>
        <v>-4200</v>
      </c>
      <c r="IF45" s="226">
        <f t="shared" si="126"/>
        <v>-0.0113426209053847</v>
      </c>
      <c r="IG45" s="228">
        <f>(IC45-IC50)/IC50</f>
        <v>-0.0335920568473164</v>
      </c>
      <c r="IH45" s="224"/>
      <c r="IJ45" s="9" t="str">
        <f t="shared" si="127"/>
        <v>2026//4/24</v>
      </c>
      <c r="IK45" s="261">
        <v>611916.29</v>
      </c>
      <c r="IL45" s="13">
        <f t="shared" si="128"/>
        <v>610476.29</v>
      </c>
      <c r="IM45" s="13">
        <f t="shared" si="129"/>
        <v>1440</v>
      </c>
      <c r="IN45" s="226">
        <f t="shared" si="130"/>
        <v>0.00235881396802487</v>
      </c>
      <c r="IO45" s="224">
        <f>(IK45-IK50)/IK50</f>
        <v>0.0262982986158055</v>
      </c>
      <c r="IP45" s="224"/>
      <c r="IR45" s="9" t="str">
        <f t="shared" si="131"/>
        <v>2026//4/24</v>
      </c>
      <c r="IS45" s="259">
        <v>139689</v>
      </c>
      <c r="IT45" s="13">
        <f t="shared" si="132"/>
        <v>142689</v>
      </c>
      <c r="IU45" s="13">
        <f t="shared" si="133"/>
        <v>-3000</v>
      </c>
      <c r="IV45" s="226">
        <f t="shared" si="134"/>
        <v>-0.0210247461261905</v>
      </c>
      <c r="IW45" s="224">
        <f>(IS45-IS50)/IS50</f>
        <v>-0.0251240499968595</v>
      </c>
      <c r="IX45" s="224"/>
      <c r="IZ45" s="9" t="str">
        <f t="shared" si="135"/>
        <v>2026//4/24</v>
      </c>
      <c r="JA45" s="259">
        <v>4926129.15</v>
      </c>
      <c r="JB45" s="13">
        <f t="shared" si="136"/>
        <v>4917129.15</v>
      </c>
      <c r="JC45" s="13">
        <f t="shared" si="137"/>
        <v>9000</v>
      </c>
      <c r="JD45" s="226">
        <f t="shared" si="138"/>
        <v>0.00183033630507753</v>
      </c>
      <c r="JE45" s="224">
        <f>(JA45-JA50)/JA50</f>
        <v>0.00101602698234408</v>
      </c>
      <c r="JF45" s="224"/>
      <c r="JH45" s="9" t="str">
        <f t="shared" si="139"/>
        <v>2026//4/24</v>
      </c>
      <c r="JI45" s="259">
        <v>1325547.99</v>
      </c>
      <c r="JJ45" s="13">
        <f t="shared" si="140"/>
        <v>1333347.99</v>
      </c>
      <c r="JK45" s="13">
        <f t="shared" si="141"/>
        <v>-7800</v>
      </c>
      <c r="JL45" s="226">
        <f t="shared" si="142"/>
        <v>-0.00584993569458188</v>
      </c>
      <c r="JM45" s="224">
        <f>(JI45-JI50)/JI50</f>
        <v>-0.0186999190018117</v>
      </c>
      <c r="JN45" s="224"/>
      <c r="JO45" s="224"/>
      <c r="JP45" s="9" t="str">
        <f t="shared" si="143"/>
        <v>2026//4/24</v>
      </c>
      <c r="JQ45" s="261">
        <v>1023490.41</v>
      </c>
      <c r="JR45" s="13">
        <f t="shared" si="144"/>
        <v>1025990.41</v>
      </c>
      <c r="JS45" s="13">
        <f t="shared" si="145"/>
        <v>-2500</v>
      </c>
      <c r="JT45" s="226">
        <f t="shared" si="146"/>
        <v>-0.00243666994899104</v>
      </c>
      <c r="JU45" s="224">
        <f>(JQ45-JQ50)/JQ50</f>
        <v>-0.0108244938696204</v>
      </c>
      <c r="JV45" s="224"/>
      <c r="JW45" s="228"/>
      <c r="JX45" s="9" t="str">
        <f t="shared" si="147"/>
        <v>2026//4/24</v>
      </c>
      <c r="JY45" s="259">
        <v>1195548.8</v>
      </c>
      <c r="JZ45" s="13">
        <f t="shared" si="148"/>
        <v>1195848.8</v>
      </c>
      <c r="KA45" s="13">
        <f t="shared" si="149"/>
        <v>-300</v>
      </c>
      <c r="KB45" s="226">
        <f t="shared" si="150"/>
        <v>-0.000250867835465487</v>
      </c>
      <c r="KC45" s="224">
        <f>(JY45-JY50)/JY50</f>
        <v>-0.0010027166937623</v>
      </c>
      <c r="KD45" s="224"/>
      <c r="KE45" s="228"/>
      <c r="KF45" s="9" t="str">
        <f t="shared" si="151"/>
        <v>2026//4/24</v>
      </c>
      <c r="KG45" s="261">
        <v>732555.92</v>
      </c>
      <c r="KH45" s="13">
        <f t="shared" si="152"/>
        <v>732555.92</v>
      </c>
      <c r="KI45" s="13">
        <f t="shared" si="153"/>
        <v>0</v>
      </c>
      <c r="KJ45" s="226">
        <f t="shared" si="154"/>
        <v>0</v>
      </c>
      <c r="KK45" s="228">
        <f>(KG45-KG50)/KG50</f>
        <v>0</v>
      </c>
      <c r="KL45" s="228"/>
      <c r="KN45" s="9" t="str">
        <f t="shared" si="155"/>
        <v>2026//4/24</v>
      </c>
      <c r="KO45" s="259">
        <v>8328775.95</v>
      </c>
      <c r="KP45" s="13">
        <f t="shared" si="156"/>
        <v>8328775.95</v>
      </c>
      <c r="KQ45" s="13">
        <f t="shared" si="157"/>
        <v>0</v>
      </c>
      <c r="KR45" s="226">
        <f t="shared" si="158"/>
        <v>0</v>
      </c>
      <c r="KS45" s="224">
        <f>(KO45-KO50)/KO50</f>
        <v>0.000720913314985969</v>
      </c>
      <c r="KT45" s="224"/>
      <c r="KV45" s="9" t="str">
        <f t="shared" si="159"/>
        <v>2026//4/24</v>
      </c>
      <c r="KW45" s="261">
        <v>993772.97</v>
      </c>
      <c r="KX45" s="13">
        <f t="shared" si="160"/>
        <v>994072.97</v>
      </c>
      <c r="KY45" s="13">
        <f t="shared" si="161"/>
        <v>-300</v>
      </c>
      <c r="KZ45" s="226">
        <f t="shared" si="162"/>
        <v>-0.000301788710742231</v>
      </c>
      <c r="LA45" s="228">
        <f>(KW45-KW50)/KW50</f>
        <v>-0.000603395323587688</v>
      </c>
      <c r="LB45" s="224"/>
      <c r="LD45" s="9" t="str">
        <f t="shared" si="163"/>
        <v>2026//4/24</v>
      </c>
      <c r="LE45" s="259">
        <v>482157.7</v>
      </c>
      <c r="LF45" s="13">
        <f t="shared" si="164"/>
        <v>483307.7</v>
      </c>
      <c r="LG45" s="13">
        <f t="shared" si="165"/>
        <v>-1150</v>
      </c>
      <c r="LH45" s="226">
        <f t="shared" si="166"/>
        <v>-0.00237943653701358</v>
      </c>
      <c r="LI45" s="224">
        <f>(LE45-LE50)/LE50</f>
        <v>0.0229125354269168</v>
      </c>
      <c r="LJ45" s="224"/>
      <c r="LL45" s="9" t="str">
        <f t="shared" si="167"/>
        <v>2026//4/24</v>
      </c>
      <c r="LM45" s="259">
        <v>3545575.02</v>
      </c>
      <c r="LN45" s="13">
        <f t="shared" si="168"/>
        <v>3576895.02</v>
      </c>
      <c r="LO45" s="13">
        <f t="shared" si="169"/>
        <v>-31320</v>
      </c>
      <c r="LP45" s="226">
        <f t="shared" si="170"/>
        <v>-0.00875619771474311</v>
      </c>
      <c r="LQ45" s="224">
        <f>(LM45-LM50)/LM50</f>
        <v>-0.0122357043972163</v>
      </c>
      <c r="LR45" s="224"/>
      <c r="LT45" s="9" t="str">
        <f t="shared" si="171"/>
        <v>2026//4/24</v>
      </c>
      <c r="LU45" s="261">
        <v>2519262.9</v>
      </c>
      <c r="LV45" s="13">
        <f t="shared" si="172"/>
        <v>2516462.9</v>
      </c>
      <c r="LW45" s="13">
        <f t="shared" si="173"/>
        <v>2800</v>
      </c>
      <c r="LX45" s="226">
        <f t="shared" si="174"/>
        <v>0.00111267287111604</v>
      </c>
      <c r="LY45" s="224">
        <f>(LU45-LU50)/LU50</f>
        <v>-0.0159371084202658</v>
      </c>
      <c r="LZ45" s="224"/>
      <c r="MB45" s="9" t="str">
        <f t="shared" si="175"/>
        <v>2026//4/24</v>
      </c>
      <c r="MC45" s="259">
        <v>756667.69</v>
      </c>
      <c r="MD45" s="13">
        <f t="shared" si="176"/>
        <v>745667.69</v>
      </c>
      <c r="ME45" s="13">
        <f t="shared" si="177"/>
        <v>11000</v>
      </c>
      <c r="MF45" s="226">
        <f t="shared" si="178"/>
        <v>0.0147518796208</v>
      </c>
      <c r="MG45" s="224">
        <f>(MC45-MC50)/MC50</f>
        <v>0.0366479678003146</v>
      </c>
      <c r="MH45" s="224"/>
      <c r="MI45" s="9"/>
      <c r="MJ45" s="9"/>
      <c r="MK45" s="9" t="str">
        <f t="shared" si="179"/>
        <v>2026//4/24</v>
      </c>
      <c r="ML45" s="261">
        <v>220905.53</v>
      </c>
      <c r="MM45" s="13">
        <f t="shared" si="180"/>
        <v>221385.53</v>
      </c>
      <c r="MN45" s="13">
        <f t="shared" si="181"/>
        <v>-480</v>
      </c>
      <c r="MO45" s="226">
        <f t="shared" si="182"/>
        <v>-0.00216816338448136</v>
      </c>
      <c r="MP45" s="224">
        <f>(ML45-ML50)/ML50</f>
        <v>0.000543513879736593</v>
      </c>
      <c r="MQ45" s="228"/>
      <c r="MR45" s="228"/>
      <c r="MT45" s="9" t="str">
        <f t="shared" si="183"/>
        <v>2026//4/24</v>
      </c>
      <c r="MU45" s="259">
        <v>204114.8</v>
      </c>
      <c r="MV45" s="231">
        <f t="shared" si="184"/>
        <v>203914.8</v>
      </c>
      <c r="MW45" s="9">
        <f t="shared" si="185"/>
        <v>200</v>
      </c>
      <c r="MX45" s="224">
        <f t="shared" si="186"/>
        <v>0.000980801785843892</v>
      </c>
      <c r="MY45" s="224">
        <f>(MU45-MU50)/MU50</f>
        <v>-0.0920757886046648</v>
      </c>
      <c r="MZ45" s="224"/>
      <c r="NA45" s="224"/>
      <c r="NC45" s="9" t="str">
        <f t="shared" si="187"/>
        <v>2026//4/24</v>
      </c>
      <c r="ND45" s="259">
        <v>42091.48</v>
      </c>
      <c r="NE45" s="231">
        <f t="shared" si="188"/>
        <v>42291.48</v>
      </c>
      <c r="NF45" s="9">
        <f t="shared" si="189"/>
        <v>-200</v>
      </c>
      <c r="NG45" s="224">
        <f t="shared" si="190"/>
        <v>-0.00472908491261124</v>
      </c>
      <c r="NH45" s="224">
        <f>(ND45-ND50)/ND50</f>
        <v>-0.0232064435939541</v>
      </c>
      <c r="NI45" s="224"/>
      <c r="NJ45" s="224"/>
      <c r="NK45" s="224"/>
      <c r="NM45" s="9" t="str">
        <f t="shared" si="191"/>
        <v>2026//4/24</v>
      </c>
      <c r="NN45" s="259">
        <v>2572211.08</v>
      </c>
      <c r="NO45" s="9">
        <f t="shared" si="192"/>
        <v>2552911.08</v>
      </c>
      <c r="NP45" s="9">
        <f t="shared" si="193"/>
        <v>19300</v>
      </c>
      <c r="NQ45" s="224">
        <f t="shared" si="194"/>
        <v>0.00755999695845262</v>
      </c>
      <c r="NR45" s="224">
        <f>(NN45-NN50)/NN50</f>
        <v>0.00132356950126515</v>
      </c>
      <c r="NU45" s="9" t="str">
        <f t="shared" si="195"/>
        <v>2026//4/24</v>
      </c>
      <c r="NV45" s="259">
        <v>261276.5</v>
      </c>
      <c r="NW45" s="232">
        <f t="shared" si="196"/>
        <v>260226.5</v>
      </c>
      <c r="NX45" s="9">
        <f t="shared" si="197"/>
        <v>1050</v>
      </c>
      <c r="NY45" s="224">
        <f t="shared" si="198"/>
        <v>0.00403494647931706</v>
      </c>
      <c r="NZ45" s="228">
        <f>(NV45-NV50)/NV50</f>
        <v>0.0420777221394627</v>
      </c>
      <c r="OA45" s="227"/>
      <c r="OC45" s="9" t="str">
        <f t="shared" si="199"/>
        <v>2026//4/24</v>
      </c>
      <c r="OD45" s="259">
        <v>14010.97</v>
      </c>
      <c r="OE45" s="13">
        <f t="shared" si="200"/>
        <v>13800.97</v>
      </c>
      <c r="OF45" s="13">
        <f t="shared" si="201"/>
        <v>210</v>
      </c>
      <c r="OG45" s="226">
        <f t="shared" si="202"/>
        <v>0.0152163217512972</v>
      </c>
      <c r="OH45" s="224">
        <f>(OD45-OD50)/OD50</f>
        <v>0.0363933051112622</v>
      </c>
      <c r="OI45" s="224"/>
      <c r="OK45" s="9" t="str">
        <f t="shared" si="203"/>
        <v>2026//4/24</v>
      </c>
      <c r="OL45" s="259">
        <v>13925.65</v>
      </c>
      <c r="OM45" s="13">
        <f t="shared" si="204"/>
        <v>13925.65</v>
      </c>
      <c r="ON45" s="13">
        <f t="shared" si="205"/>
        <v>0</v>
      </c>
      <c r="OO45" s="226">
        <f t="shared" si="206"/>
        <v>0</v>
      </c>
      <c r="OP45" s="224">
        <f>(OL45-OL50)/OL50</f>
        <v>0.112481176578671</v>
      </c>
      <c r="OQ45" s="224"/>
      <c r="OT45" s="234" t="str">
        <f t="shared" si="207"/>
        <v>2026//4/24</v>
      </c>
      <c r="OU45" s="206">
        <v>145752.4066</v>
      </c>
      <c r="OV45" s="8">
        <f t="shared" si="208"/>
        <v>145632.4066</v>
      </c>
      <c r="OW45" s="191">
        <f t="shared" si="209"/>
        <v>120</v>
      </c>
      <c r="OX45" s="192">
        <f t="shared" si="210"/>
        <v>0.000823992425872608</v>
      </c>
    </row>
    <row r="46" s="8" customFormat="1" ht="17" customHeight="1" spans="1:414">
      <c r="A46" s="15"/>
      <c r="B46" s="15"/>
      <c r="C46" s="15" t="s">
        <v>472</v>
      </c>
      <c r="D46" s="262">
        <v>4111878.77</v>
      </c>
      <c r="E46" s="19">
        <f t="shared" si="8"/>
        <v>4181628.77</v>
      </c>
      <c r="F46" s="19">
        <f t="shared" si="9"/>
        <v>-69750</v>
      </c>
      <c r="G46" s="172">
        <f t="shared" si="10"/>
        <v>-0.0166801033368632</v>
      </c>
      <c r="H46" s="18"/>
      <c r="I46" s="172"/>
      <c r="J46" s="172"/>
      <c r="K46" s="8" t="str">
        <f t="shared" si="11"/>
        <v>2026//4/23</v>
      </c>
      <c r="L46" s="262">
        <v>3082294.4</v>
      </c>
      <c r="M46" s="19">
        <f t="shared" si="12"/>
        <v>3105514.4</v>
      </c>
      <c r="N46" s="19">
        <f t="shared" si="13"/>
        <v>-23220</v>
      </c>
      <c r="O46" s="172">
        <f t="shared" si="14"/>
        <v>-0.00747702216418639</v>
      </c>
      <c r="P46" s="18"/>
      <c r="Q46" s="172"/>
      <c r="R46" s="19"/>
      <c r="S46" s="8" t="str">
        <f t="shared" si="15"/>
        <v>2026//4/23</v>
      </c>
      <c r="T46" s="262">
        <v>2119656.68</v>
      </c>
      <c r="U46" s="19">
        <f t="shared" si="16"/>
        <v>2212176.68</v>
      </c>
      <c r="V46" s="19">
        <f t="shared" si="17"/>
        <v>-92520</v>
      </c>
      <c r="W46" s="172">
        <f t="shared" si="18"/>
        <v>-0.0418230608958413</v>
      </c>
      <c r="X46" s="18"/>
      <c r="Y46" s="172"/>
      <c r="Z46" s="19"/>
      <c r="AA46" s="8" t="str">
        <f t="shared" si="19"/>
        <v>2026//4/23</v>
      </c>
      <c r="AB46" s="262">
        <v>853936.86</v>
      </c>
      <c r="AC46" s="19">
        <f t="shared" si="20"/>
        <v>892896.86</v>
      </c>
      <c r="AD46" s="19">
        <f t="shared" si="21"/>
        <v>-38960</v>
      </c>
      <c r="AE46" s="172">
        <f t="shared" si="22"/>
        <v>-0.0436332590530109</v>
      </c>
      <c r="AF46" s="18"/>
      <c r="AG46" s="172"/>
      <c r="AH46" s="19"/>
      <c r="AI46" s="8" t="str">
        <f t="shared" si="23"/>
        <v>2026//4/23</v>
      </c>
      <c r="AJ46" s="262">
        <v>685321.76</v>
      </c>
      <c r="AK46" s="19">
        <f t="shared" si="24"/>
        <v>672921.76</v>
      </c>
      <c r="AL46" s="19">
        <f t="shared" si="25"/>
        <v>12400</v>
      </c>
      <c r="AM46" s="172">
        <f t="shared" si="26"/>
        <v>0.0184271051065431</v>
      </c>
      <c r="AN46" s="18"/>
      <c r="AO46" s="18"/>
      <c r="AP46" s="19"/>
      <c r="AQ46" s="8" t="str">
        <f t="shared" si="27"/>
        <v>2026//4/23</v>
      </c>
      <c r="AR46" s="263">
        <v>1225245.49</v>
      </c>
      <c r="AS46" s="19">
        <f t="shared" si="28"/>
        <v>1251045.49</v>
      </c>
      <c r="AT46" s="19">
        <f t="shared" si="29"/>
        <v>-25800</v>
      </c>
      <c r="AU46" s="172">
        <f t="shared" si="30"/>
        <v>-0.0206227512957982</v>
      </c>
      <c r="AV46" s="18"/>
      <c r="AW46" s="18"/>
      <c r="AX46" s="17"/>
      <c r="AY46" s="17"/>
      <c r="AZ46" s="8" t="str">
        <f t="shared" si="31"/>
        <v>2026//4/23</v>
      </c>
      <c r="BA46" s="263">
        <v>1908201.66</v>
      </c>
      <c r="BB46" s="129">
        <f t="shared" si="32"/>
        <v>1926021.66</v>
      </c>
      <c r="BC46" s="17">
        <f t="shared" si="33"/>
        <v>-17820</v>
      </c>
      <c r="BD46" s="18">
        <f t="shared" si="34"/>
        <v>-0.00925223239701261</v>
      </c>
      <c r="BE46" s="18"/>
      <c r="BF46" s="18"/>
      <c r="BG46" s="74"/>
      <c r="BH46" s="8" t="str">
        <f t="shared" si="35"/>
        <v>2026//4/23</v>
      </c>
      <c r="BI46" s="263">
        <v>1710926.55</v>
      </c>
      <c r="BJ46" s="195">
        <f t="shared" si="36"/>
        <v>1731026.55</v>
      </c>
      <c r="BK46" s="195">
        <f t="shared" si="37"/>
        <v>-20100</v>
      </c>
      <c r="BL46" s="196">
        <f t="shared" si="38"/>
        <v>-0.0116116069970157</v>
      </c>
      <c r="BM46" s="197"/>
      <c r="BN46" s="192"/>
      <c r="BP46" s="8" t="str">
        <f t="shared" si="39"/>
        <v>2026//4/23</v>
      </c>
      <c r="BQ46" s="263">
        <v>1101962.39</v>
      </c>
      <c r="BR46" s="12">
        <f t="shared" si="40"/>
        <v>1107362.39</v>
      </c>
      <c r="BS46" s="12">
        <f t="shared" si="41"/>
        <v>-5400</v>
      </c>
      <c r="BT46" s="199">
        <f t="shared" si="42"/>
        <v>-0.00487645241410086</v>
      </c>
      <c r="BU46" s="192"/>
      <c r="BV46" s="192"/>
      <c r="BX46" s="8" t="str">
        <f t="shared" si="43"/>
        <v>2026//4/23</v>
      </c>
      <c r="BY46" s="263">
        <v>2995560.7</v>
      </c>
      <c r="BZ46" s="12">
        <f t="shared" si="44"/>
        <v>3069010.7</v>
      </c>
      <c r="CA46" s="12">
        <f t="shared" si="45"/>
        <v>-73450</v>
      </c>
      <c r="CB46" s="199">
        <f t="shared" si="46"/>
        <v>-0.0239327937175325</v>
      </c>
      <c r="CC46" s="192"/>
      <c r="CD46" s="201"/>
      <c r="CF46" s="8" t="str">
        <f t="shared" si="47"/>
        <v>2026//4/23</v>
      </c>
      <c r="CG46" s="262">
        <v>1375553.9</v>
      </c>
      <c r="CH46" s="12">
        <f t="shared" si="48"/>
        <v>1378953.9</v>
      </c>
      <c r="CI46" s="12">
        <f t="shared" si="49"/>
        <v>-3400</v>
      </c>
      <c r="CJ46" s="199">
        <f t="shared" si="50"/>
        <v>-0.00246563717612315</v>
      </c>
      <c r="CK46" s="192"/>
      <c r="CL46" s="201"/>
      <c r="CN46" s="8" t="str">
        <f t="shared" si="51"/>
        <v>2026//4/23</v>
      </c>
      <c r="CO46" s="262">
        <v>654346.48</v>
      </c>
      <c r="CP46" s="12">
        <f t="shared" si="52"/>
        <v>657046.48</v>
      </c>
      <c r="CQ46" s="12">
        <f t="shared" si="53"/>
        <v>-2700</v>
      </c>
      <c r="CR46" s="199">
        <f t="shared" si="54"/>
        <v>-0.00410929832543962</v>
      </c>
      <c r="CS46" s="201"/>
      <c r="CT46" s="201"/>
      <c r="CV46" s="8" t="str">
        <f t="shared" si="55"/>
        <v>2026//4/23</v>
      </c>
      <c r="CW46" s="262">
        <v>583940.4</v>
      </c>
      <c r="CX46" s="12">
        <f t="shared" si="56"/>
        <v>583890.4</v>
      </c>
      <c r="CY46" s="12">
        <f t="shared" si="57"/>
        <v>50</v>
      </c>
      <c r="CZ46" s="199">
        <f t="shared" si="58"/>
        <v>8.56325091147243e-5</v>
      </c>
      <c r="DA46" s="192"/>
      <c r="DB46" s="192"/>
      <c r="DC46" s="202"/>
      <c r="DD46" s="8" t="str">
        <f t="shared" si="59"/>
        <v>2026//4/23</v>
      </c>
      <c r="DE46" s="263">
        <v>2302317.99</v>
      </c>
      <c r="DF46" s="12">
        <f t="shared" si="60"/>
        <v>2346517.99</v>
      </c>
      <c r="DG46" s="12">
        <f t="shared" si="61"/>
        <v>-44200</v>
      </c>
      <c r="DH46" s="199">
        <f t="shared" si="62"/>
        <v>-0.0188364206830564</v>
      </c>
      <c r="DI46" s="192"/>
      <c r="DJ46" s="192"/>
      <c r="DL46" s="8" t="str">
        <f t="shared" si="63"/>
        <v>2026//4/23</v>
      </c>
      <c r="DM46" s="262">
        <v>1190700.36</v>
      </c>
      <c r="DN46" s="12">
        <f t="shared" si="64"/>
        <v>1195100.36</v>
      </c>
      <c r="DO46" s="12">
        <f t="shared" si="65"/>
        <v>-4400</v>
      </c>
      <c r="DP46" s="199">
        <f t="shared" si="66"/>
        <v>-0.0036816991670892</v>
      </c>
      <c r="DQ46" s="192"/>
      <c r="DR46" s="192"/>
      <c r="DT46" s="8" t="str">
        <f t="shared" si="67"/>
        <v>2026//4/23</v>
      </c>
      <c r="DU46" s="262">
        <v>1461989.48</v>
      </c>
      <c r="DV46" s="12">
        <f t="shared" si="68"/>
        <v>1465889.48</v>
      </c>
      <c r="DW46" s="12">
        <f t="shared" si="69"/>
        <v>-3900</v>
      </c>
      <c r="DX46" s="199">
        <f t="shared" si="70"/>
        <v>-0.0026605007084163</v>
      </c>
      <c r="DY46" s="192"/>
      <c r="DZ46" s="192"/>
      <c r="EB46" s="8" t="str">
        <f t="shared" si="71"/>
        <v>2026//4/23</v>
      </c>
      <c r="EC46" s="262">
        <v>4642466.82</v>
      </c>
      <c r="ED46" s="12">
        <f t="shared" si="72"/>
        <v>4674566.82</v>
      </c>
      <c r="EE46" s="12">
        <f t="shared" si="73"/>
        <v>-32100</v>
      </c>
      <c r="EF46" s="199">
        <f t="shared" si="74"/>
        <v>-0.00686694644360651</v>
      </c>
      <c r="EG46" s="192"/>
      <c r="EH46" s="192"/>
      <c r="EJ46" s="8" t="str">
        <f t="shared" si="75"/>
        <v>2026//4/23</v>
      </c>
      <c r="EK46" s="263">
        <v>1338522.96</v>
      </c>
      <c r="EL46" s="12">
        <f t="shared" si="76"/>
        <v>1355522.96</v>
      </c>
      <c r="EM46" s="12">
        <f t="shared" si="77"/>
        <v>-17000</v>
      </c>
      <c r="EN46" s="199">
        <f t="shared" si="78"/>
        <v>-0.0125412851730671</v>
      </c>
      <c r="EO46" s="192"/>
      <c r="EP46" s="192"/>
      <c r="ER46" s="8" t="str">
        <f t="shared" si="79"/>
        <v>2026//4/23</v>
      </c>
      <c r="ES46" s="262">
        <v>447497.02</v>
      </c>
      <c r="ET46" s="12">
        <f t="shared" si="80"/>
        <v>455597.02</v>
      </c>
      <c r="EU46" s="12">
        <f t="shared" si="81"/>
        <v>-8100</v>
      </c>
      <c r="EV46" s="199">
        <f t="shared" si="82"/>
        <v>-0.0177788695808414</v>
      </c>
      <c r="EW46" s="192"/>
      <c r="EX46" s="192"/>
      <c r="EZ46" s="8" t="str">
        <f t="shared" si="83"/>
        <v>2026//4/23</v>
      </c>
      <c r="FA46" s="262">
        <v>717808</v>
      </c>
      <c r="FB46" s="12">
        <f t="shared" si="84"/>
        <v>726908</v>
      </c>
      <c r="FC46" s="12">
        <f t="shared" si="85"/>
        <v>-9100</v>
      </c>
      <c r="FD46" s="199">
        <f t="shared" si="86"/>
        <v>-0.0125187781672509</v>
      </c>
      <c r="FE46" s="192"/>
      <c r="FF46" s="192"/>
      <c r="FG46" s="192"/>
      <c r="FH46" s="8" t="str">
        <f t="shared" si="87"/>
        <v>2026//4/23</v>
      </c>
      <c r="FI46" s="263">
        <v>1291695.33</v>
      </c>
      <c r="FJ46" s="12">
        <f t="shared" si="88"/>
        <v>1264095.33</v>
      </c>
      <c r="FK46" s="12">
        <f t="shared" si="89"/>
        <v>27600</v>
      </c>
      <c r="FL46" s="199">
        <f t="shared" si="90"/>
        <v>0.0218337963482548</v>
      </c>
      <c r="FM46" s="201"/>
      <c r="FN46" s="201"/>
      <c r="FP46" s="8" t="str">
        <f t="shared" si="91"/>
        <v>2026//4/23</v>
      </c>
      <c r="FQ46" s="262">
        <v>2073118.73</v>
      </c>
      <c r="FR46" s="12">
        <f t="shared" si="92"/>
        <v>2104018.73</v>
      </c>
      <c r="FS46" s="12">
        <f t="shared" si="93"/>
        <v>-30900</v>
      </c>
      <c r="FT46" s="199">
        <f t="shared" si="94"/>
        <v>-0.0146861810493484</v>
      </c>
      <c r="FU46" s="192"/>
      <c r="FV46" s="192"/>
      <c r="FX46" s="8" t="str">
        <f t="shared" si="95"/>
        <v>2026//4/23</v>
      </c>
      <c r="FY46" s="262">
        <v>8253482.05</v>
      </c>
      <c r="FZ46" s="12">
        <f t="shared" si="96"/>
        <v>8281382.05</v>
      </c>
      <c r="GA46" s="12">
        <f t="shared" si="97"/>
        <v>-27900</v>
      </c>
      <c r="GB46" s="199">
        <f t="shared" si="98"/>
        <v>-0.00336900288279781</v>
      </c>
      <c r="GC46" s="192"/>
      <c r="GD46" s="192"/>
      <c r="GF46" s="8" t="str">
        <f t="shared" si="99"/>
        <v>2026//4/23</v>
      </c>
      <c r="GG46" s="262">
        <v>4672669.49</v>
      </c>
      <c r="GH46" s="12">
        <f t="shared" si="100"/>
        <v>4711769.49</v>
      </c>
      <c r="GI46" s="12">
        <f t="shared" si="101"/>
        <v>-39100</v>
      </c>
      <c r="GJ46" s="199">
        <f t="shared" si="102"/>
        <v>-0.00829836860291737</v>
      </c>
      <c r="GK46" s="192"/>
      <c r="GL46" s="192"/>
      <c r="GN46" s="8" t="str">
        <f t="shared" si="103"/>
        <v>2026//4/23</v>
      </c>
      <c r="GO46" s="263">
        <v>1847818.12</v>
      </c>
      <c r="GP46" s="12">
        <f t="shared" si="104"/>
        <v>1847398.12</v>
      </c>
      <c r="GQ46" s="12">
        <f t="shared" si="105"/>
        <v>420</v>
      </c>
      <c r="GR46" s="199">
        <f t="shared" si="106"/>
        <v>0.000227346772443397</v>
      </c>
      <c r="GS46" s="192"/>
      <c r="GT46" s="192"/>
      <c r="GV46" s="8" t="str">
        <f t="shared" si="107"/>
        <v>2026//4/23</v>
      </c>
      <c r="GW46" s="262">
        <v>904949.4</v>
      </c>
      <c r="GX46" s="12">
        <f t="shared" si="108"/>
        <v>915949.4</v>
      </c>
      <c r="GY46" s="12">
        <f t="shared" si="109"/>
        <v>-11000</v>
      </c>
      <c r="GZ46" s="199">
        <f t="shared" si="110"/>
        <v>-0.0120093970256436</v>
      </c>
      <c r="HA46" s="192"/>
      <c r="HB46" s="192"/>
      <c r="HD46" s="8" t="str">
        <f t="shared" si="111"/>
        <v>2026//4/23</v>
      </c>
      <c r="HE46" s="263">
        <v>1258364.67</v>
      </c>
      <c r="HF46" s="12">
        <f t="shared" si="112"/>
        <v>1249964.67</v>
      </c>
      <c r="HG46" s="12">
        <f t="shared" si="113"/>
        <v>8400</v>
      </c>
      <c r="HH46" s="199">
        <f t="shared" si="114"/>
        <v>0.00672018993944845</v>
      </c>
      <c r="HI46" s="201"/>
      <c r="HJ46" s="192"/>
      <c r="HL46" s="8" t="str">
        <f t="shared" si="115"/>
        <v>2026//4/23</v>
      </c>
      <c r="HM46" s="262">
        <v>147054.25</v>
      </c>
      <c r="HN46" s="208">
        <f t="shared" si="116"/>
        <v>148554.25</v>
      </c>
      <c r="HO46" s="208">
        <f t="shared" si="117"/>
        <v>-1500</v>
      </c>
      <c r="HP46" s="209">
        <f t="shared" si="118"/>
        <v>-0.0100973213489348</v>
      </c>
      <c r="HQ46" s="192"/>
      <c r="HR46" s="192"/>
      <c r="HT46" s="8" t="str">
        <f t="shared" si="119"/>
        <v>2026//4/23</v>
      </c>
      <c r="HU46" s="263">
        <v>213368.82</v>
      </c>
      <c r="HV46" s="12">
        <f t="shared" si="120"/>
        <v>217868.82</v>
      </c>
      <c r="HW46" s="12">
        <f t="shared" si="121"/>
        <v>-4500</v>
      </c>
      <c r="HX46" s="199">
        <f t="shared" si="122"/>
        <v>-0.020654630616717</v>
      </c>
      <c r="HY46" s="192"/>
      <c r="HZ46" s="192"/>
      <c r="IB46" s="8" t="str">
        <f t="shared" si="123"/>
        <v>2026//4/23</v>
      </c>
      <c r="IC46" s="262">
        <v>370284.79</v>
      </c>
      <c r="ID46" s="12">
        <f t="shared" si="124"/>
        <v>376609.79</v>
      </c>
      <c r="IE46" s="12">
        <f t="shared" si="125"/>
        <v>-6325</v>
      </c>
      <c r="IF46" s="199">
        <f t="shared" si="126"/>
        <v>-0.0167945713785082</v>
      </c>
      <c r="IG46" s="201"/>
      <c r="IH46" s="192"/>
      <c r="IJ46" s="8" t="str">
        <f t="shared" si="127"/>
        <v>2026//4/23</v>
      </c>
      <c r="IK46" s="263">
        <v>610476.29</v>
      </c>
      <c r="IL46" s="12">
        <f t="shared" si="128"/>
        <v>601516.29</v>
      </c>
      <c r="IM46" s="12">
        <f t="shared" si="129"/>
        <v>8960</v>
      </c>
      <c r="IN46" s="199">
        <f t="shared" si="130"/>
        <v>0.0148956896911304</v>
      </c>
      <c r="IO46" s="192"/>
      <c r="IP46" s="192"/>
      <c r="IR46" s="8" t="str">
        <f t="shared" si="131"/>
        <v>2026//4/23</v>
      </c>
      <c r="IS46" s="262">
        <v>142689</v>
      </c>
      <c r="IT46" s="12">
        <f t="shared" si="132"/>
        <v>142689</v>
      </c>
      <c r="IU46" s="12">
        <f t="shared" si="133"/>
        <v>0</v>
      </c>
      <c r="IV46" s="199">
        <f t="shared" si="134"/>
        <v>0</v>
      </c>
      <c r="IW46" s="192"/>
      <c r="IX46" s="192"/>
      <c r="IZ46" s="8" t="str">
        <f t="shared" si="135"/>
        <v>2026//4/23</v>
      </c>
      <c r="JA46" s="262">
        <v>4917129.15</v>
      </c>
      <c r="JB46" s="12">
        <f t="shared" si="136"/>
        <v>4927329.15</v>
      </c>
      <c r="JC46" s="12">
        <f t="shared" si="137"/>
        <v>-10200</v>
      </c>
      <c r="JD46" s="199">
        <f t="shared" si="138"/>
        <v>-0.00207008699631929</v>
      </c>
      <c r="JE46" s="192"/>
      <c r="JF46" s="192"/>
      <c r="JH46" s="8" t="str">
        <f t="shared" si="139"/>
        <v>2026//4/23</v>
      </c>
      <c r="JI46" s="262">
        <v>1333347.99</v>
      </c>
      <c r="JJ46" s="12">
        <f t="shared" si="140"/>
        <v>1339167.99</v>
      </c>
      <c r="JK46" s="12">
        <f t="shared" si="141"/>
        <v>-5820</v>
      </c>
      <c r="JL46" s="199">
        <f t="shared" si="142"/>
        <v>-0.00434598201529593</v>
      </c>
      <c r="JM46" s="192"/>
      <c r="JN46" s="192"/>
      <c r="JO46" s="192"/>
      <c r="JP46" s="8" t="str">
        <f t="shared" si="143"/>
        <v>2026//4/23</v>
      </c>
      <c r="JQ46" s="263">
        <v>1025990.41</v>
      </c>
      <c r="JR46" s="12">
        <f t="shared" si="144"/>
        <v>1026390.41</v>
      </c>
      <c r="JS46" s="12">
        <f t="shared" si="145"/>
        <v>-400</v>
      </c>
      <c r="JT46" s="199">
        <f t="shared" si="146"/>
        <v>-0.000389715254646621</v>
      </c>
      <c r="JU46" s="192"/>
      <c r="JV46" s="192"/>
      <c r="JW46" s="201"/>
      <c r="JX46" s="8" t="str">
        <f t="shared" si="147"/>
        <v>2026//4/23</v>
      </c>
      <c r="JY46" s="262">
        <v>1195848.8</v>
      </c>
      <c r="JZ46" s="12">
        <f t="shared" si="148"/>
        <v>1195998.8</v>
      </c>
      <c r="KA46" s="12">
        <f t="shared" si="149"/>
        <v>-150</v>
      </c>
      <c r="KB46" s="199">
        <f t="shared" si="150"/>
        <v>-0.000125418186038314</v>
      </c>
      <c r="KC46" s="192"/>
      <c r="KD46" s="192"/>
      <c r="KE46" s="201"/>
      <c r="KF46" s="8" t="str">
        <f t="shared" si="151"/>
        <v>2026//4/23</v>
      </c>
      <c r="KG46" s="263">
        <v>732555.92</v>
      </c>
      <c r="KH46" s="12">
        <f t="shared" si="152"/>
        <v>732555.92</v>
      </c>
      <c r="KI46" s="12">
        <f t="shared" si="153"/>
        <v>0</v>
      </c>
      <c r="KJ46" s="199">
        <f t="shared" si="154"/>
        <v>0</v>
      </c>
      <c r="KK46" s="201"/>
      <c r="KL46" s="201"/>
      <c r="KN46" s="8" t="str">
        <f t="shared" si="155"/>
        <v>2026//4/23</v>
      </c>
      <c r="KO46" s="262">
        <v>8328775.95</v>
      </c>
      <c r="KP46" s="12">
        <f t="shared" si="156"/>
        <v>8323775.95</v>
      </c>
      <c r="KQ46" s="12">
        <f t="shared" si="157"/>
        <v>5000</v>
      </c>
      <c r="KR46" s="199">
        <f t="shared" si="158"/>
        <v>0.00060068892171467</v>
      </c>
      <c r="KS46" s="192"/>
      <c r="KT46" s="192"/>
      <c r="KV46" s="8" t="str">
        <f t="shared" si="159"/>
        <v>2026//4/23</v>
      </c>
      <c r="KW46" s="263">
        <v>994072.97</v>
      </c>
      <c r="KX46" s="12">
        <f t="shared" si="160"/>
        <v>994072.97</v>
      </c>
      <c r="KY46" s="12">
        <f t="shared" si="161"/>
        <v>0</v>
      </c>
      <c r="KZ46" s="199">
        <f t="shared" si="162"/>
        <v>0</v>
      </c>
      <c r="LA46" s="201"/>
      <c r="LB46" s="192"/>
      <c r="LD46" s="8" t="str">
        <f t="shared" si="163"/>
        <v>2026//4/23</v>
      </c>
      <c r="LE46" s="262">
        <v>483307.7</v>
      </c>
      <c r="LF46" s="12">
        <f t="shared" si="164"/>
        <v>493357.7</v>
      </c>
      <c r="LG46" s="12">
        <f t="shared" si="165"/>
        <v>-10050</v>
      </c>
      <c r="LH46" s="199">
        <f t="shared" si="166"/>
        <v>-0.0203706154783841</v>
      </c>
      <c r="LI46" s="192"/>
      <c r="LJ46" s="192"/>
      <c r="LL46" s="8" t="str">
        <f t="shared" si="167"/>
        <v>2026//4/23</v>
      </c>
      <c r="LM46" s="262">
        <v>3576895.02</v>
      </c>
      <c r="LN46" s="12">
        <f t="shared" si="168"/>
        <v>3622435.02</v>
      </c>
      <c r="LO46" s="12">
        <f t="shared" si="169"/>
        <v>-45540</v>
      </c>
      <c r="LP46" s="199">
        <f t="shared" si="170"/>
        <v>-0.0125716540803539</v>
      </c>
      <c r="LQ46" s="192"/>
      <c r="LR46" s="192"/>
      <c r="LT46" s="8" t="str">
        <f t="shared" si="171"/>
        <v>2026//4/23</v>
      </c>
      <c r="LU46" s="263">
        <v>2516462.9</v>
      </c>
      <c r="LV46" s="12">
        <f t="shared" si="172"/>
        <v>2525862.9</v>
      </c>
      <c r="LW46" s="12">
        <f t="shared" si="173"/>
        <v>-9400</v>
      </c>
      <c r="LX46" s="199">
        <f t="shared" si="174"/>
        <v>-0.00372150048207288</v>
      </c>
      <c r="LY46" s="192"/>
      <c r="LZ46" s="192"/>
      <c r="MB46" s="8" t="str">
        <f t="shared" si="175"/>
        <v>2026//4/23</v>
      </c>
      <c r="MC46" s="262">
        <v>745667.69</v>
      </c>
      <c r="MD46" s="12">
        <f t="shared" si="176"/>
        <v>720967.69</v>
      </c>
      <c r="ME46" s="12">
        <f t="shared" si="177"/>
        <v>24700</v>
      </c>
      <c r="MF46" s="199">
        <f t="shared" si="178"/>
        <v>0.0342595102978887</v>
      </c>
      <c r="MG46" s="192"/>
      <c r="MH46" s="192"/>
      <c r="MI46" s="8"/>
      <c r="MJ46" s="8"/>
      <c r="MK46" s="8" t="str">
        <f t="shared" si="179"/>
        <v>2026//4/23</v>
      </c>
      <c r="ML46" s="263">
        <v>221385.53</v>
      </c>
      <c r="MM46" s="12">
        <f t="shared" si="180"/>
        <v>224865.53</v>
      </c>
      <c r="MN46" s="12">
        <f t="shared" si="181"/>
        <v>-3480</v>
      </c>
      <c r="MO46" s="199">
        <f t="shared" si="182"/>
        <v>-0.0154759157617444</v>
      </c>
      <c r="MP46" s="192"/>
      <c r="MQ46" s="201"/>
      <c r="MR46" s="201"/>
      <c r="MT46" s="8" t="str">
        <f t="shared" si="183"/>
        <v>2026//4/23</v>
      </c>
      <c r="MU46" s="262">
        <v>203914.8</v>
      </c>
      <c r="MV46" s="204">
        <f t="shared" si="184"/>
        <v>209714.8</v>
      </c>
      <c r="MW46" s="8">
        <f t="shared" si="185"/>
        <v>-5800</v>
      </c>
      <c r="MX46" s="192">
        <f t="shared" si="186"/>
        <v>-0.0276566079265746</v>
      </c>
      <c r="MY46" s="192"/>
      <c r="MZ46" s="192"/>
      <c r="NA46" s="192"/>
      <c r="NC46" s="8" t="str">
        <f t="shared" si="187"/>
        <v>2026//4/23</v>
      </c>
      <c r="ND46" s="262">
        <v>42291.48</v>
      </c>
      <c r="NE46" s="204">
        <f t="shared" si="188"/>
        <v>42891.48</v>
      </c>
      <c r="NF46" s="8">
        <f t="shared" si="189"/>
        <v>-600</v>
      </c>
      <c r="NG46" s="192">
        <f t="shared" si="190"/>
        <v>-0.0139887921797056</v>
      </c>
      <c r="NH46" s="192"/>
      <c r="NI46" s="192"/>
      <c r="NJ46" s="192"/>
      <c r="NK46" s="192"/>
      <c r="NM46" s="8" t="str">
        <f t="shared" si="191"/>
        <v>2026//4/23</v>
      </c>
      <c r="NN46" s="262">
        <v>2552911.08</v>
      </c>
      <c r="NO46" s="8">
        <f t="shared" si="192"/>
        <v>2555411.08</v>
      </c>
      <c r="NP46" s="210">
        <f t="shared" si="193"/>
        <v>-2500</v>
      </c>
      <c r="NQ46" s="211">
        <f t="shared" si="194"/>
        <v>-0.000978316177606931</v>
      </c>
      <c r="NR46" s="192"/>
      <c r="NU46" s="8" t="str">
        <f t="shared" si="195"/>
        <v>2026//4/23</v>
      </c>
      <c r="NV46" s="262">
        <v>260226.5</v>
      </c>
      <c r="NW46" s="205">
        <f t="shared" si="196"/>
        <v>259726.5</v>
      </c>
      <c r="NX46" s="210">
        <f t="shared" si="197"/>
        <v>500</v>
      </c>
      <c r="NY46" s="211">
        <f t="shared" si="198"/>
        <v>0.00192510198227751</v>
      </c>
      <c r="NZ46" s="201"/>
      <c r="OA46" s="200"/>
      <c r="OC46" s="8" t="str">
        <f t="shared" si="199"/>
        <v>2026//4/23</v>
      </c>
      <c r="OD46" s="262">
        <v>13800.97</v>
      </c>
      <c r="OE46" s="12">
        <f t="shared" si="200"/>
        <v>13867.97</v>
      </c>
      <c r="OF46" s="12">
        <f t="shared" si="201"/>
        <v>-67</v>
      </c>
      <c r="OG46" s="199">
        <f t="shared" si="202"/>
        <v>-0.00483127667567784</v>
      </c>
      <c r="OH46" s="192"/>
      <c r="OI46" s="192"/>
      <c r="OK46" s="8" t="str">
        <f t="shared" si="203"/>
        <v>2026//4/23</v>
      </c>
      <c r="OL46" s="262">
        <v>13925.65</v>
      </c>
      <c r="OM46" s="12">
        <f t="shared" si="204"/>
        <v>13910.65</v>
      </c>
      <c r="ON46" s="12">
        <f t="shared" si="205"/>
        <v>15</v>
      </c>
      <c r="OO46" s="199">
        <f t="shared" si="206"/>
        <v>0.00107831050310374</v>
      </c>
      <c r="OP46" s="192"/>
      <c r="OQ46" s="192"/>
      <c r="OT46" s="234" t="str">
        <f t="shared" si="207"/>
        <v>2026//4/23</v>
      </c>
      <c r="OU46" s="206">
        <v>145632.4066</v>
      </c>
      <c r="OV46" s="8">
        <f t="shared" si="208"/>
        <v>145512.4066</v>
      </c>
      <c r="OW46" s="191">
        <f t="shared" si="209"/>
        <v>120</v>
      </c>
      <c r="OX46" s="192">
        <f t="shared" si="210"/>
        <v>0.000824671949312671</v>
      </c>
    </row>
    <row r="47" s="8" customFormat="1" ht="17" customHeight="1" spans="1:414">
      <c r="A47" s="15"/>
      <c r="B47" s="15"/>
      <c r="C47" s="15" t="s">
        <v>473</v>
      </c>
      <c r="D47" s="262">
        <v>4181628.77</v>
      </c>
      <c r="E47" s="19">
        <f t="shared" si="8"/>
        <v>4244178.77</v>
      </c>
      <c r="F47" s="19">
        <f t="shared" si="9"/>
        <v>-62549.9999999995</v>
      </c>
      <c r="G47" s="172">
        <f t="shared" si="10"/>
        <v>-0.0147378334866888</v>
      </c>
      <c r="H47" s="18"/>
      <c r="I47" s="172"/>
      <c r="J47" s="172"/>
      <c r="K47" s="8" t="str">
        <f t="shared" si="11"/>
        <v>2026//4/22</v>
      </c>
      <c r="L47" s="262">
        <v>3105514.4</v>
      </c>
      <c r="M47" s="19">
        <f t="shared" si="12"/>
        <v>3115774.4</v>
      </c>
      <c r="N47" s="19">
        <f t="shared" si="13"/>
        <v>-10260</v>
      </c>
      <c r="O47" s="172">
        <f t="shared" si="14"/>
        <v>-0.00329292133602484</v>
      </c>
      <c r="P47" s="18"/>
      <c r="Q47" s="172"/>
      <c r="R47" s="19"/>
      <c r="S47" s="8" t="str">
        <f t="shared" si="15"/>
        <v>2026//4/22</v>
      </c>
      <c r="T47" s="262">
        <v>2212176.68</v>
      </c>
      <c r="U47" s="19">
        <f t="shared" si="16"/>
        <v>2248896.68</v>
      </c>
      <c r="V47" s="19">
        <f t="shared" si="17"/>
        <v>-36720</v>
      </c>
      <c r="W47" s="172">
        <f t="shared" si="18"/>
        <v>-0.0163280066739215</v>
      </c>
      <c r="X47" s="18"/>
      <c r="Y47" s="172"/>
      <c r="Z47" s="19"/>
      <c r="AA47" s="8" t="str">
        <f t="shared" si="19"/>
        <v>2026//4/22</v>
      </c>
      <c r="AB47" s="262">
        <v>892896.86</v>
      </c>
      <c r="AC47" s="19">
        <f t="shared" si="20"/>
        <v>915016.86</v>
      </c>
      <c r="AD47" s="19">
        <f t="shared" si="21"/>
        <v>-22120</v>
      </c>
      <c r="AE47" s="172">
        <f t="shared" si="22"/>
        <v>-0.0241744179446049</v>
      </c>
      <c r="AF47" s="18"/>
      <c r="AG47" s="172"/>
      <c r="AH47" s="19"/>
      <c r="AI47" s="8" t="str">
        <f t="shared" si="23"/>
        <v>2026//4/22</v>
      </c>
      <c r="AJ47" s="262">
        <v>672921.76</v>
      </c>
      <c r="AK47" s="19">
        <f t="shared" si="24"/>
        <v>693121.76</v>
      </c>
      <c r="AL47" s="19">
        <f t="shared" si="25"/>
        <v>-20200</v>
      </c>
      <c r="AM47" s="172">
        <f t="shared" si="26"/>
        <v>-0.0291435086383668</v>
      </c>
      <c r="AN47" s="18"/>
      <c r="AO47" s="18"/>
      <c r="AP47" s="19"/>
      <c r="AQ47" s="8" t="str">
        <f t="shared" si="27"/>
        <v>2026//4/22</v>
      </c>
      <c r="AR47" s="263">
        <v>1251045.49</v>
      </c>
      <c r="AS47" s="19">
        <f t="shared" si="28"/>
        <v>1320145.49</v>
      </c>
      <c r="AT47" s="19">
        <f t="shared" si="29"/>
        <v>-69100</v>
      </c>
      <c r="AU47" s="172">
        <f t="shared" si="30"/>
        <v>-0.0523427156502273</v>
      </c>
      <c r="AV47" s="18"/>
      <c r="AW47" s="18"/>
      <c r="AX47" s="17"/>
      <c r="AY47" s="17"/>
      <c r="AZ47" s="8" t="str">
        <f t="shared" si="31"/>
        <v>2026//4/22</v>
      </c>
      <c r="BA47" s="263">
        <v>1926021.66</v>
      </c>
      <c r="BB47" s="129">
        <f t="shared" si="32"/>
        <v>1937091.66</v>
      </c>
      <c r="BC47" s="17">
        <f t="shared" si="33"/>
        <v>-11070</v>
      </c>
      <c r="BD47" s="18">
        <f t="shared" si="34"/>
        <v>-0.0057147528062766</v>
      </c>
      <c r="BE47" s="18"/>
      <c r="BF47" s="18"/>
      <c r="BG47" s="74"/>
      <c r="BH47" s="8" t="str">
        <f t="shared" si="35"/>
        <v>2026//4/22</v>
      </c>
      <c r="BI47" s="263">
        <v>1731026.55</v>
      </c>
      <c r="BJ47" s="195">
        <f t="shared" si="36"/>
        <v>1750126.55</v>
      </c>
      <c r="BK47" s="195">
        <f t="shared" si="37"/>
        <v>-19100</v>
      </c>
      <c r="BL47" s="196">
        <f t="shared" si="38"/>
        <v>-0.0109134965125808</v>
      </c>
      <c r="BM47" s="197"/>
      <c r="BN47" s="192"/>
      <c r="BP47" s="8" t="str">
        <f t="shared" si="39"/>
        <v>2026//4/22</v>
      </c>
      <c r="BQ47" s="263">
        <v>1107362.39</v>
      </c>
      <c r="BR47" s="12">
        <f t="shared" si="40"/>
        <v>1118062.39</v>
      </c>
      <c r="BS47" s="12">
        <f t="shared" si="41"/>
        <v>-10700</v>
      </c>
      <c r="BT47" s="199">
        <f t="shared" si="42"/>
        <v>-0.00957012783517385</v>
      </c>
      <c r="BU47" s="192"/>
      <c r="BV47" s="192"/>
      <c r="BX47" s="8" t="str">
        <f t="shared" si="43"/>
        <v>2026//4/22</v>
      </c>
      <c r="BY47" s="263">
        <v>3069010.7</v>
      </c>
      <c r="BZ47" s="12">
        <f t="shared" si="44"/>
        <v>3080860.7</v>
      </c>
      <c r="CA47" s="12">
        <f t="shared" si="45"/>
        <v>-11850</v>
      </c>
      <c r="CB47" s="199">
        <f t="shared" si="46"/>
        <v>-0.0038463277486061</v>
      </c>
      <c r="CC47" s="192"/>
      <c r="CD47" s="201"/>
      <c r="CF47" s="8" t="str">
        <f t="shared" si="47"/>
        <v>2026//4/22</v>
      </c>
      <c r="CG47" s="262">
        <v>1378953.9</v>
      </c>
      <c r="CH47" s="12">
        <f t="shared" si="48"/>
        <v>1390203.9</v>
      </c>
      <c r="CI47" s="12">
        <f t="shared" si="49"/>
        <v>-11250</v>
      </c>
      <c r="CJ47" s="199">
        <f t="shared" si="50"/>
        <v>-0.00809233810953918</v>
      </c>
      <c r="CK47" s="192"/>
      <c r="CL47" s="201"/>
      <c r="CN47" s="8" t="str">
        <f t="shared" si="51"/>
        <v>2026//4/22</v>
      </c>
      <c r="CO47" s="262">
        <v>657046.48</v>
      </c>
      <c r="CP47" s="12">
        <f t="shared" si="52"/>
        <v>659546.48</v>
      </c>
      <c r="CQ47" s="12">
        <f t="shared" si="53"/>
        <v>-2500</v>
      </c>
      <c r="CR47" s="199">
        <f t="shared" si="54"/>
        <v>-0.00379048342430696</v>
      </c>
      <c r="CS47" s="201"/>
      <c r="CT47" s="201"/>
      <c r="CV47" s="8" t="str">
        <f t="shared" si="55"/>
        <v>2026//4/22</v>
      </c>
      <c r="CW47" s="262">
        <v>583890.4</v>
      </c>
      <c r="CX47" s="12">
        <f t="shared" si="56"/>
        <v>587290.4</v>
      </c>
      <c r="CY47" s="12">
        <f t="shared" si="57"/>
        <v>-3400</v>
      </c>
      <c r="CZ47" s="199">
        <f t="shared" si="58"/>
        <v>-0.00578929946752067</v>
      </c>
      <c r="DA47" s="192"/>
      <c r="DB47" s="192"/>
      <c r="DC47" s="202"/>
      <c r="DD47" s="8" t="str">
        <f t="shared" si="59"/>
        <v>2026//4/22</v>
      </c>
      <c r="DE47" s="263">
        <v>2346517.99</v>
      </c>
      <c r="DF47" s="12">
        <f t="shared" si="60"/>
        <v>2349917.99</v>
      </c>
      <c r="DG47" s="12">
        <f t="shared" si="61"/>
        <v>-3400</v>
      </c>
      <c r="DH47" s="199">
        <f t="shared" si="62"/>
        <v>-0.00144685900293908</v>
      </c>
      <c r="DI47" s="192"/>
      <c r="DJ47" s="192"/>
      <c r="DL47" s="8" t="str">
        <f t="shared" si="63"/>
        <v>2026//4/22</v>
      </c>
      <c r="DM47" s="262">
        <v>1195100.36</v>
      </c>
      <c r="DN47" s="12">
        <f t="shared" si="64"/>
        <v>1232500.36</v>
      </c>
      <c r="DO47" s="12">
        <f t="shared" si="65"/>
        <v>-37400</v>
      </c>
      <c r="DP47" s="199">
        <f t="shared" si="66"/>
        <v>-0.0303448187228116</v>
      </c>
      <c r="DQ47" s="192"/>
      <c r="DR47" s="192"/>
      <c r="DT47" s="8" t="str">
        <f t="shared" si="67"/>
        <v>2026//4/22</v>
      </c>
      <c r="DU47" s="262">
        <v>1465889.48</v>
      </c>
      <c r="DV47" s="12">
        <f t="shared" si="68"/>
        <v>1485689.48</v>
      </c>
      <c r="DW47" s="12">
        <f t="shared" si="69"/>
        <v>-19800</v>
      </c>
      <c r="DX47" s="199">
        <f t="shared" si="70"/>
        <v>-0.0133271455889962</v>
      </c>
      <c r="DY47" s="192"/>
      <c r="DZ47" s="192"/>
      <c r="EB47" s="8" t="str">
        <f t="shared" si="71"/>
        <v>2026//4/22</v>
      </c>
      <c r="EC47" s="262">
        <v>4674566.82</v>
      </c>
      <c r="ED47" s="12">
        <f t="shared" si="72"/>
        <v>4744166.82</v>
      </c>
      <c r="EE47" s="12">
        <f t="shared" si="73"/>
        <v>-69600</v>
      </c>
      <c r="EF47" s="199">
        <f t="shared" si="74"/>
        <v>-0.0146706476902513</v>
      </c>
      <c r="EG47" s="192"/>
      <c r="EH47" s="192"/>
      <c r="EJ47" s="8" t="str">
        <f t="shared" si="75"/>
        <v>2026//4/22</v>
      </c>
      <c r="EK47" s="263">
        <v>1355522.96</v>
      </c>
      <c r="EL47" s="12">
        <f t="shared" si="76"/>
        <v>1369122.96</v>
      </c>
      <c r="EM47" s="12">
        <f t="shared" si="77"/>
        <v>-13600</v>
      </c>
      <c r="EN47" s="199">
        <f t="shared" si="78"/>
        <v>-0.00993336639391396</v>
      </c>
      <c r="EO47" s="192"/>
      <c r="EP47" s="192"/>
      <c r="ER47" s="8" t="str">
        <f t="shared" si="79"/>
        <v>2026//4/22</v>
      </c>
      <c r="ES47" s="262">
        <v>455597.02</v>
      </c>
      <c r="ET47" s="12">
        <f t="shared" si="80"/>
        <v>462947.02</v>
      </c>
      <c r="EU47" s="12">
        <f t="shared" si="81"/>
        <v>-7350</v>
      </c>
      <c r="EV47" s="199">
        <f t="shared" si="82"/>
        <v>-0.0158765467374647</v>
      </c>
      <c r="EW47" s="192"/>
      <c r="EX47" s="192"/>
      <c r="EZ47" s="8" t="str">
        <f t="shared" si="83"/>
        <v>2026//4/22</v>
      </c>
      <c r="FA47" s="262">
        <v>726908</v>
      </c>
      <c r="FB47" s="12">
        <f t="shared" si="84"/>
        <v>723208</v>
      </c>
      <c r="FC47" s="12">
        <f t="shared" si="85"/>
        <v>3700</v>
      </c>
      <c r="FD47" s="199">
        <f t="shared" si="86"/>
        <v>0.00511609384851937</v>
      </c>
      <c r="FE47" s="192"/>
      <c r="FF47" s="192"/>
      <c r="FG47" s="192"/>
      <c r="FH47" s="8" t="str">
        <f t="shared" si="87"/>
        <v>2026//4/22</v>
      </c>
      <c r="FI47" s="263">
        <v>1264095.33</v>
      </c>
      <c r="FJ47" s="12">
        <f t="shared" si="88"/>
        <v>1249195.33</v>
      </c>
      <c r="FK47" s="12">
        <f t="shared" si="89"/>
        <v>14900</v>
      </c>
      <c r="FL47" s="199">
        <f t="shared" si="90"/>
        <v>0.0119276782759026</v>
      </c>
      <c r="FM47" s="201"/>
      <c r="FN47" s="201"/>
      <c r="FP47" s="8" t="str">
        <f t="shared" si="91"/>
        <v>2026//4/22</v>
      </c>
      <c r="FQ47" s="262">
        <v>2104018.73</v>
      </c>
      <c r="FR47" s="12">
        <f t="shared" si="92"/>
        <v>2125468.73</v>
      </c>
      <c r="FS47" s="12">
        <f t="shared" si="93"/>
        <v>-21450</v>
      </c>
      <c r="FT47" s="199">
        <f t="shared" si="94"/>
        <v>-0.0100918915894848</v>
      </c>
      <c r="FU47" s="192"/>
      <c r="FV47" s="192"/>
      <c r="FX47" s="8" t="str">
        <f t="shared" si="95"/>
        <v>2026//4/22</v>
      </c>
      <c r="FY47" s="262">
        <v>8281382.05</v>
      </c>
      <c r="FZ47" s="12">
        <f t="shared" si="96"/>
        <v>8298482.05</v>
      </c>
      <c r="GA47" s="12">
        <f t="shared" si="97"/>
        <v>-17100</v>
      </c>
      <c r="GB47" s="199">
        <f t="shared" si="98"/>
        <v>-0.00206061782106283</v>
      </c>
      <c r="GC47" s="192"/>
      <c r="GD47" s="192"/>
      <c r="GF47" s="8" t="str">
        <f t="shared" si="99"/>
        <v>2026//4/22</v>
      </c>
      <c r="GG47" s="262">
        <v>4711769.49</v>
      </c>
      <c r="GH47" s="12">
        <f t="shared" si="100"/>
        <v>4704769.49</v>
      </c>
      <c r="GI47" s="12">
        <f t="shared" si="101"/>
        <v>7000</v>
      </c>
      <c r="GJ47" s="199">
        <f t="shared" si="102"/>
        <v>0.00148785185222751</v>
      </c>
      <c r="GK47" s="192"/>
      <c r="GL47" s="192"/>
      <c r="GN47" s="8" t="str">
        <f t="shared" si="103"/>
        <v>2026//4/22</v>
      </c>
      <c r="GO47" s="263">
        <v>1847398.12</v>
      </c>
      <c r="GP47" s="12">
        <f t="shared" si="104"/>
        <v>1845178.12</v>
      </c>
      <c r="GQ47" s="12">
        <f t="shared" si="105"/>
        <v>2220</v>
      </c>
      <c r="GR47" s="199">
        <f t="shared" si="106"/>
        <v>0.00120313587936974</v>
      </c>
      <c r="GS47" s="192"/>
      <c r="GT47" s="192"/>
      <c r="GV47" s="8" t="str">
        <f t="shared" si="107"/>
        <v>2026//4/22</v>
      </c>
      <c r="GW47" s="262">
        <v>915949.4</v>
      </c>
      <c r="GX47" s="12">
        <f t="shared" si="108"/>
        <v>920749.4</v>
      </c>
      <c r="GY47" s="12">
        <f t="shared" si="109"/>
        <v>-4800</v>
      </c>
      <c r="GZ47" s="199">
        <f t="shared" si="110"/>
        <v>-0.00521314485787338</v>
      </c>
      <c r="HA47" s="192"/>
      <c r="HB47" s="192"/>
      <c r="HD47" s="8" t="str">
        <f t="shared" si="111"/>
        <v>2026//4/22</v>
      </c>
      <c r="HE47" s="263">
        <v>1249964.67</v>
      </c>
      <c r="HF47" s="12">
        <f t="shared" si="112"/>
        <v>1245564.67</v>
      </c>
      <c r="HG47" s="12">
        <f t="shared" si="113"/>
        <v>4400</v>
      </c>
      <c r="HH47" s="199">
        <f t="shared" si="114"/>
        <v>0.00353253436451437</v>
      </c>
      <c r="HI47" s="201"/>
      <c r="HJ47" s="192"/>
      <c r="HL47" s="8" t="str">
        <f t="shared" si="115"/>
        <v>2026//4/22</v>
      </c>
      <c r="HM47" s="262">
        <v>148554.25</v>
      </c>
      <c r="HN47" s="208">
        <f t="shared" si="116"/>
        <v>149354.25</v>
      </c>
      <c r="HO47" s="208">
        <f t="shared" si="117"/>
        <v>-800</v>
      </c>
      <c r="HP47" s="209">
        <f t="shared" si="118"/>
        <v>-0.00535639260349136</v>
      </c>
      <c r="HQ47" s="192"/>
      <c r="HR47" s="192"/>
      <c r="HT47" s="8" t="str">
        <f t="shared" si="119"/>
        <v>2026//4/22</v>
      </c>
      <c r="HU47" s="263">
        <v>217868.82</v>
      </c>
      <c r="HV47" s="12">
        <f t="shared" si="120"/>
        <v>228668.82</v>
      </c>
      <c r="HW47" s="12">
        <f t="shared" si="121"/>
        <v>-10800</v>
      </c>
      <c r="HX47" s="199">
        <f t="shared" si="122"/>
        <v>-0.0472298759402353</v>
      </c>
      <c r="HY47" s="192"/>
      <c r="HZ47" s="192"/>
      <c r="IB47" s="8" t="str">
        <f t="shared" si="123"/>
        <v>2026//4/22</v>
      </c>
      <c r="IC47" s="262">
        <v>376609.79</v>
      </c>
      <c r="ID47" s="12">
        <f t="shared" si="124"/>
        <v>378859.79</v>
      </c>
      <c r="IE47" s="12">
        <f t="shared" si="125"/>
        <v>-2250</v>
      </c>
      <c r="IF47" s="199">
        <f t="shared" si="126"/>
        <v>-0.00593887253118099</v>
      </c>
      <c r="IG47" s="201"/>
      <c r="IH47" s="192"/>
      <c r="IJ47" s="8" t="str">
        <f t="shared" si="127"/>
        <v>2026//4/22</v>
      </c>
      <c r="IK47" s="263">
        <v>601516.29</v>
      </c>
      <c r="IL47" s="12">
        <f t="shared" si="128"/>
        <v>604636.29</v>
      </c>
      <c r="IM47" s="12">
        <f t="shared" si="129"/>
        <v>-3120</v>
      </c>
      <c r="IN47" s="199">
        <f t="shared" si="130"/>
        <v>-0.00516012692522971</v>
      </c>
      <c r="IO47" s="192"/>
      <c r="IP47" s="192"/>
      <c r="IR47" s="8" t="str">
        <f t="shared" si="131"/>
        <v>2026//4/22</v>
      </c>
      <c r="IS47" s="262">
        <v>142689</v>
      </c>
      <c r="IT47" s="12">
        <f t="shared" si="132"/>
        <v>142689</v>
      </c>
      <c r="IU47" s="12">
        <f t="shared" si="133"/>
        <v>0</v>
      </c>
      <c r="IV47" s="199">
        <f t="shared" si="134"/>
        <v>0</v>
      </c>
      <c r="IW47" s="192"/>
      <c r="IX47" s="192"/>
      <c r="IZ47" s="8" t="str">
        <f t="shared" si="135"/>
        <v>2026//4/22</v>
      </c>
      <c r="JA47" s="262">
        <v>4927329.15</v>
      </c>
      <c r="JB47" s="12">
        <f t="shared" si="136"/>
        <v>4952329.15</v>
      </c>
      <c r="JC47" s="12">
        <f t="shared" si="137"/>
        <v>-25000</v>
      </c>
      <c r="JD47" s="199">
        <f t="shared" si="138"/>
        <v>-0.00504812972699926</v>
      </c>
      <c r="JE47" s="192"/>
      <c r="JF47" s="192"/>
      <c r="JH47" s="8" t="str">
        <f t="shared" si="139"/>
        <v>2026//4/22</v>
      </c>
      <c r="JI47" s="262">
        <v>1339167.99</v>
      </c>
      <c r="JJ47" s="12">
        <f t="shared" si="140"/>
        <v>1335627.99</v>
      </c>
      <c r="JK47" s="12">
        <f t="shared" si="141"/>
        <v>3540</v>
      </c>
      <c r="JL47" s="199">
        <f t="shared" si="142"/>
        <v>0.00265043861502184</v>
      </c>
      <c r="JM47" s="192"/>
      <c r="JN47" s="192"/>
      <c r="JO47" s="192"/>
      <c r="JP47" s="8" t="str">
        <f t="shared" si="143"/>
        <v>2026//4/22</v>
      </c>
      <c r="JQ47" s="263">
        <v>1026390.41</v>
      </c>
      <c r="JR47" s="12">
        <f t="shared" si="144"/>
        <v>1030490.41</v>
      </c>
      <c r="JS47" s="12">
        <f t="shared" si="145"/>
        <v>-4100</v>
      </c>
      <c r="JT47" s="199">
        <f t="shared" si="146"/>
        <v>-0.00397868816654005</v>
      </c>
      <c r="JU47" s="192"/>
      <c r="JV47" s="192"/>
      <c r="JW47" s="201"/>
      <c r="JX47" s="8" t="str">
        <f t="shared" si="147"/>
        <v>2026//4/22</v>
      </c>
      <c r="JY47" s="262">
        <v>1195998.8</v>
      </c>
      <c r="JZ47" s="12">
        <f t="shared" si="148"/>
        <v>1196048.8</v>
      </c>
      <c r="KA47" s="12">
        <f t="shared" si="149"/>
        <v>-50</v>
      </c>
      <c r="KB47" s="199">
        <f t="shared" si="150"/>
        <v>-4.18043143390136e-5</v>
      </c>
      <c r="KC47" s="192"/>
      <c r="KD47" s="192"/>
      <c r="KE47" s="201"/>
      <c r="KF47" s="8" t="str">
        <f t="shared" si="151"/>
        <v>2026//4/22</v>
      </c>
      <c r="KG47" s="263">
        <v>732555.92</v>
      </c>
      <c r="KH47" s="12">
        <f t="shared" si="152"/>
        <v>732555.92</v>
      </c>
      <c r="KI47" s="12">
        <f t="shared" si="153"/>
        <v>0</v>
      </c>
      <c r="KJ47" s="199">
        <f t="shared" si="154"/>
        <v>0</v>
      </c>
      <c r="KK47" s="201"/>
      <c r="KL47" s="201"/>
      <c r="KN47" s="8" t="str">
        <f t="shared" si="155"/>
        <v>2026//4/22</v>
      </c>
      <c r="KO47" s="262">
        <v>8323775.95</v>
      </c>
      <c r="KP47" s="12">
        <f t="shared" si="156"/>
        <v>8322775.95</v>
      </c>
      <c r="KQ47" s="12">
        <f t="shared" si="157"/>
        <v>1000</v>
      </c>
      <c r="KR47" s="199">
        <f t="shared" si="158"/>
        <v>0.000120152219164328</v>
      </c>
      <c r="KS47" s="192"/>
      <c r="KT47" s="192"/>
      <c r="KV47" s="8" t="str">
        <f t="shared" si="159"/>
        <v>2026//4/22</v>
      </c>
      <c r="KW47" s="263">
        <v>994072.97</v>
      </c>
      <c r="KX47" s="12">
        <f t="shared" si="160"/>
        <v>994072.97</v>
      </c>
      <c r="KY47" s="12">
        <f t="shared" si="161"/>
        <v>0</v>
      </c>
      <c r="KZ47" s="199">
        <f t="shared" si="162"/>
        <v>0</v>
      </c>
      <c r="LA47" s="201"/>
      <c r="LB47" s="192"/>
      <c r="LD47" s="8" t="str">
        <f t="shared" si="163"/>
        <v>2026//4/22</v>
      </c>
      <c r="LE47" s="262">
        <v>493357.7</v>
      </c>
      <c r="LF47" s="12">
        <f t="shared" si="164"/>
        <v>493207.7</v>
      </c>
      <c r="LG47" s="12">
        <f t="shared" si="165"/>
        <v>150</v>
      </c>
      <c r="LH47" s="199">
        <f t="shared" si="166"/>
        <v>0.000304131504840658</v>
      </c>
      <c r="LI47" s="192"/>
      <c r="LJ47" s="192"/>
      <c r="LL47" s="8" t="str">
        <f t="shared" si="167"/>
        <v>2026//4/22</v>
      </c>
      <c r="LM47" s="262">
        <v>3622435.02</v>
      </c>
      <c r="LN47" s="12">
        <f t="shared" si="168"/>
        <v>3602995.02</v>
      </c>
      <c r="LO47" s="12">
        <f t="shared" si="169"/>
        <v>19440</v>
      </c>
      <c r="LP47" s="199">
        <f t="shared" si="170"/>
        <v>0.00539551120445345</v>
      </c>
      <c r="LQ47" s="192"/>
      <c r="LR47" s="192"/>
      <c r="LT47" s="8" t="str">
        <f t="shared" si="171"/>
        <v>2026//4/22</v>
      </c>
      <c r="LU47" s="263">
        <v>2525862.9</v>
      </c>
      <c r="LV47" s="12">
        <f t="shared" si="172"/>
        <v>2519462.9</v>
      </c>
      <c r="LW47" s="12">
        <f t="shared" si="173"/>
        <v>6400</v>
      </c>
      <c r="LX47" s="199">
        <f t="shared" si="174"/>
        <v>0.00254022395011254</v>
      </c>
      <c r="LY47" s="192"/>
      <c r="LZ47" s="192"/>
      <c r="MB47" s="8" t="str">
        <f t="shared" si="175"/>
        <v>2026//4/22</v>
      </c>
      <c r="MC47" s="262">
        <v>720967.69</v>
      </c>
      <c r="MD47" s="12">
        <f t="shared" si="176"/>
        <v>716867.69</v>
      </c>
      <c r="ME47" s="12">
        <f t="shared" si="177"/>
        <v>4100</v>
      </c>
      <c r="MF47" s="199">
        <f t="shared" si="178"/>
        <v>0.00571932597492293</v>
      </c>
      <c r="MG47" s="192"/>
      <c r="MH47" s="192"/>
      <c r="MI47" s="8"/>
      <c r="MJ47" s="8"/>
      <c r="MK47" s="8" t="str">
        <f t="shared" si="179"/>
        <v>2026//4/22</v>
      </c>
      <c r="ML47" s="263">
        <v>224865.53</v>
      </c>
      <c r="MM47" s="12">
        <f t="shared" si="180"/>
        <v>219705.53</v>
      </c>
      <c r="MN47" s="12">
        <f t="shared" si="181"/>
        <v>5160</v>
      </c>
      <c r="MO47" s="199">
        <f t="shared" si="182"/>
        <v>0.0234859814407038</v>
      </c>
      <c r="MP47" s="192"/>
      <c r="MQ47" s="201"/>
      <c r="MR47" s="201"/>
      <c r="MT47" s="8" t="str">
        <f t="shared" si="183"/>
        <v>2026//4/22</v>
      </c>
      <c r="MU47" s="262">
        <v>209714.8</v>
      </c>
      <c r="MV47" s="204">
        <f t="shared" si="184"/>
        <v>212714.8</v>
      </c>
      <c r="MW47" s="8">
        <f t="shared" si="185"/>
        <v>-3000</v>
      </c>
      <c r="MX47" s="192">
        <f t="shared" si="186"/>
        <v>-0.0141033910193367</v>
      </c>
      <c r="MY47" s="192"/>
      <c r="MZ47" s="192"/>
      <c r="NA47" s="192"/>
      <c r="NC47" s="8" t="str">
        <f t="shared" si="187"/>
        <v>2026//4/22</v>
      </c>
      <c r="ND47" s="262">
        <v>42891.48</v>
      </c>
      <c r="NE47" s="204">
        <f t="shared" si="188"/>
        <v>42891.48</v>
      </c>
      <c r="NF47" s="8">
        <f t="shared" si="189"/>
        <v>0</v>
      </c>
      <c r="NG47" s="192">
        <f t="shared" si="190"/>
        <v>0</v>
      </c>
      <c r="NH47" s="192"/>
      <c r="NI47" s="192"/>
      <c r="NJ47" s="192"/>
      <c r="NK47" s="192"/>
      <c r="NM47" s="8" t="str">
        <f t="shared" si="191"/>
        <v>2026//4/22</v>
      </c>
      <c r="NN47" s="262">
        <v>2555411.08</v>
      </c>
      <c r="NO47" s="8">
        <f t="shared" si="192"/>
        <v>2549111.08</v>
      </c>
      <c r="NP47" s="210">
        <f t="shared" si="193"/>
        <v>6300</v>
      </c>
      <c r="NQ47" s="211">
        <f t="shared" si="194"/>
        <v>0.00247144977299302</v>
      </c>
      <c r="NR47" s="192"/>
      <c r="NU47" s="8" t="str">
        <f t="shared" si="195"/>
        <v>2026//4/22</v>
      </c>
      <c r="NV47" s="262">
        <v>259726.5</v>
      </c>
      <c r="NW47" s="205">
        <f t="shared" si="196"/>
        <v>255676.5</v>
      </c>
      <c r="NX47" s="210">
        <f t="shared" si="197"/>
        <v>4050</v>
      </c>
      <c r="NY47" s="211">
        <f t="shared" si="198"/>
        <v>0.0158403294788532</v>
      </c>
      <c r="NZ47" s="201"/>
      <c r="OA47" s="200"/>
      <c r="OC47" s="8" t="str">
        <f t="shared" si="199"/>
        <v>2026//4/22</v>
      </c>
      <c r="OD47" s="262">
        <v>13867.97</v>
      </c>
      <c r="OE47" s="12">
        <f t="shared" si="200"/>
        <v>13973.97</v>
      </c>
      <c r="OF47" s="12">
        <f t="shared" si="201"/>
        <v>-106</v>
      </c>
      <c r="OG47" s="199">
        <f t="shared" si="202"/>
        <v>-0.00758553224316354</v>
      </c>
      <c r="OH47" s="192"/>
      <c r="OI47" s="192"/>
      <c r="OK47" s="8" t="str">
        <f t="shared" si="203"/>
        <v>2026//4/22</v>
      </c>
      <c r="OL47" s="262">
        <v>13910.65</v>
      </c>
      <c r="OM47" s="12">
        <f t="shared" si="204"/>
        <v>13227.65</v>
      </c>
      <c r="ON47" s="12">
        <f t="shared" si="205"/>
        <v>683</v>
      </c>
      <c r="OO47" s="199">
        <f t="shared" si="206"/>
        <v>0.0516342661016885</v>
      </c>
      <c r="OP47" s="192"/>
      <c r="OQ47" s="192"/>
      <c r="OT47" s="234" t="str">
        <f t="shared" si="207"/>
        <v>2026//4/22</v>
      </c>
      <c r="OU47" s="206">
        <v>145512.4066</v>
      </c>
      <c r="OV47" s="8">
        <f t="shared" si="208"/>
        <v>145392.4066</v>
      </c>
      <c r="OW47" s="191">
        <f t="shared" si="209"/>
        <v>120</v>
      </c>
      <c r="OX47" s="192">
        <f t="shared" si="210"/>
        <v>0.000825352594445603</v>
      </c>
    </row>
    <row r="48" s="8" customFormat="1" ht="17" customHeight="1" spans="1:414">
      <c r="A48" s="15"/>
      <c r="B48" s="15"/>
      <c r="C48" s="15" t="s">
        <v>474</v>
      </c>
      <c r="D48" s="262">
        <v>4244178.77</v>
      </c>
      <c r="E48" s="19">
        <f t="shared" si="8"/>
        <v>4282068.77</v>
      </c>
      <c r="F48" s="19">
        <f t="shared" si="9"/>
        <v>-37890</v>
      </c>
      <c r="G48" s="172">
        <f t="shared" si="10"/>
        <v>-0.00884852673676233</v>
      </c>
      <c r="H48" s="18"/>
      <c r="I48" s="172"/>
      <c r="J48" s="172"/>
      <c r="K48" s="8" t="str">
        <f t="shared" si="11"/>
        <v>2026//4/21</v>
      </c>
      <c r="L48" s="262">
        <v>3115774.4</v>
      </c>
      <c r="M48" s="19">
        <f t="shared" si="12"/>
        <v>3129364.4</v>
      </c>
      <c r="N48" s="19">
        <f t="shared" si="13"/>
        <v>-13590</v>
      </c>
      <c r="O48" s="172">
        <f t="shared" si="14"/>
        <v>-0.00434273490169441</v>
      </c>
      <c r="P48" s="18"/>
      <c r="Q48" s="172"/>
      <c r="R48" s="19"/>
      <c r="S48" s="8" t="str">
        <f t="shared" si="15"/>
        <v>2026//4/21</v>
      </c>
      <c r="T48" s="262">
        <v>2248896.68</v>
      </c>
      <c r="U48" s="19">
        <f t="shared" si="16"/>
        <v>2282106.68</v>
      </c>
      <c r="V48" s="19">
        <f t="shared" si="17"/>
        <v>-33210</v>
      </c>
      <c r="W48" s="172">
        <f t="shared" si="18"/>
        <v>-0.0145523433637204</v>
      </c>
      <c r="X48" s="18"/>
      <c r="Y48" s="172"/>
      <c r="Z48" s="19"/>
      <c r="AA48" s="8" t="str">
        <f t="shared" si="19"/>
        <v>2026//4/21</v>
      </c>
      <c r="AB48" s="262">
        <v>915016.86</v>
      </c>
      <c r="AC48" s="19">
        <f t="shared" si="20"/>
        <v>939296.86</v>
      </c>
      <c r="AD48" s="19">
        <f t="shared" si="21"/>
        <v>-24280</v>
      </c>
      <c r="AE48" s="172">
        <f t="shared" si="22"/>
        <v>-0.025849122927974</v>
      </c>
      <c r="AF48" s="18"/>
      <c r="AG48" s="172"/>
      <c r="AH48" s="19"/>
      <c r="AI48" s="8" t="str">
        <f t="shared" si="23"/>
        <v>2026//4/21</v>
      </c>
      <c r="AJ48" s="262">
        <v>693121.76</v>
      </c>
      <c r="AK48" s="19">
        <f t="shared" si="24"/>
        <v>716921.76</v>
      </c>
      <c r="AL48" s="19">
        <f t="shared" si="25"/>
        <v>-23800</v>
      </c>
      <c r="AM48" s="172">
        <f t="shared" si="26"/>
        <v>-0.0331974858734934</v>
      </c>
      <c r="AN48" s="18"/>
      <c r="AO48" s="18"/>
      <c r="AP48" s="19"/>
      <c r="AQ48" s="8" t="str">
        <f t="shared" si="27"/>
        <v>2026//4/21</v>
      </c>
      <c r="AR48" s="263">
        <v>1320145.49</v>
      </c>
      <c r="AS48" s="19">
        <f t="shared" si="28"/>
        <v>1368445.49</v>
      </c>
      <c r="AT48" s="19">
        <f t="shared" si="29"/>
        <v>-48300</v>
      </c>
      <c r="AU48" s="172">
        <f t="shared" si="30"/>
        <v>-0.0352955235359795</v>
      </c>
      <c r="AV48" s="18"/>
      <c r="AW48" s="18"/>
      <c r="AX48" s="17"/>
      <c r="AY48" s="17"/>
      <c r="AZ48" s="8" t="str">
        <f t="shared" si="31"/>
        <v>2026//4/21</v>
      </c>
      <c r="BA48" s="263">
        <v>1937091.66</v>
      </c>
      <c r="BB48" s="129">
        <f t="shared" si="32"/>
        <v>1946901.66</v>
      </c>
      <c r="BC48" s="17">
        <f t="shared" si="33"/>
        <v>-9810</v>
      </c>
      <c r="BD48" s="18">
        <f t="shared" si="34"/>
        <v>-0.00503877530208691</v>
      </c>
      <c r="BE48" s="18"/>
      <c r="BF48" s="18"/>
      <c r="BG48" s="74"/>
      <c r="BH48" s="8" t="str">
        <f t="shared" si="35"/>
        <v>2026//4/21</v>
      </c>
      <c r="BI48" s="263">
        <v>1750126.55</v>
      </c>
      <c r="BJ48" s="195">
        <f t="shared" si="36"/>
        <v>1698626.55</v>
      </c>
      <c r="BK48" s="195">
        <f t="shared" si="37"/>
        <v>51500</v>
      </c>
      <c r="BL48" s="196">
        <f t="shared" si="38"/>
        <v>0.030318612410715</v>
      </c>
      <c r="BM48" s="197"/>
      <c r="BN48" s="192"/>
      <c r="BP48" s="8" t="str">
        <f t="shared" si="39"/>
        <v>2026//4/21</v>
      </c>
      <c r="BQ48" s="263">
        <v>1118062.39</v>
      </c>
      <c r="BR48" s="12">
        <f t="shared" si="40"/>
        <v>1111062.39</v>
      </c>
      <c r="BS48" s="12">
        <f t="shared" si="41"/>
        <v>7000</v>
      </c>
      <c r="BT48" s="199">
        <f t="shared" si="42"/>
        <v>0.00630027626081376</v>
      </c>
      <c r="BU48" s="192"/>
      <c r="BV48" s="192"/>
      <c r="BX48" s="8" t="str">
        <f t="shared" si="43"/>
        <v>2026//4/21</v>
      </c>
      <c r="BY48" s="263">
        <v>3080860.7</v>
      </c>
      <c r="BZ48" s="12">
        <f t="shared" si="44"/>
        <v>3086060.7</v>
      </c>
      <c r="CA48" s="12">
        <f t="shared" si="45"/>
        <v>-5200</v>
      </c>
      <c r="CB48" s="199">
        <f t="shared" si="46"/>
        <v>-0.00168499602097911</v>
      </c>
      <c r="CC48" s="192"/>
      <c r="CD48" s="201"/>
      <c r="CF48" s="8" t="str">
        <f t="shared" si="47"/>
        <v>2026//4/21</v>
      </c>
      <c r="CG48" s="262">
        <v>1390203.9</v>
      </c>
      <c r="CH48" s="12">
        <f t="shared" si="48"/>
        <v>1387303.9</v>
      </c>
      <c r="CI48" s="12">
        <f t="shared" si="49"/>
        <v>2900</v>
      </c>
      <c r="CJ48" s="199">
        <f t="shared" si="50"/>
        <v>0.00209038553124517</v>
      </c>
      <c r="CK48" s="192"/>
      <c r="CL48" s="201"/>
      <c r="CN48" s="8" t="str">
        <f t="shared" si="51"/>
        <v>2026//4/21</v>
      </c>
      <c r="CO48" s="262">
        <v>659546.48</v>
      </c>
      <c r="CP48" s="12">
        <f t="shared" si="52"/>
        <v>661446.48</v>
      </c>
      <c r="CQ48" s="12">
        <f t="shared" si="53"/>
        <v>-1900</v>
      </c>
      <c r="CR48" s="199">
        <f t="shared" si="54"/>
        <v>-0.00287249241994606</v>
      </c>
      <c r="CS48" s="201"/>
      <c r="CT48" s="201"/>
      <c r="CV48" s="8" t="str">
        <f t="shared" si="55"/>
        <v>2026//4/21</v>
      </c>
      <c r="CW48" s="262">
        <v>587290.4</v>
      </c>
      <c r="CX48" s="12">
        <f t="shared" si="56"/>
        <v>589790.4</v>
      </c>
      <c r="CY48" s="12">
        <f t="shared" si="57"/>
        <v>-2500</v>
      </c>
      <c r="CZ48" s="199">
        <f t="shared" si="58"/>
        <v>-0.00423879398511742</v>
      </c>
      <c r="DA48" s="192"/>
      <c r="DB48" s="192"/>
      <c r="DC48" s="202"/>
      <c r="DD48" s="8" t="str">
        <f t="shared" si="59"/>
        <v>2026//4/21</v>
      </c>
      <c r="DE48" s="263">
        <v>2349917.99</v>
      </c>
      <c r="DF48" s="12">
        <f t="shared" si="60"/>
        <v>2339717.99</v>
      </c>
      <c r="DG48" s="12">
        <f t="shared" si="61"/>
        <v>10200</v>
      </c>
      <c r="DH48" s="199">
        <f t="shared" si="62"/>
        <v>0.00435949975321598</v>
      </c>
      <c r="DI48" s="192"/>
      <c r="DJ48" s="192"/>
      <c r="DL48" s="8" t="str">
        <f t="shared" si="63"/>
        <v>2026//4/21</v>
      </c>
      <c r="DM48" s="262">
        <v>1232500.36</v>
      </c>
      <c r="DN48" s="12">
        <f t="shared" si="64"/>
        <v>1237100.36</v>
      </c>
      <c r="DO48" s="12">
        <f t="shared" si="65"/>
        <v>-4600</v>
      </c>
      <c r="DP48" s="199">
        <f t="shared" si="66"/>
        <v>-0.00371837253365604</v>
      </c>
      <c r="DQ48" s="192"/>
      <c r="DR48" s="192"/>
      <c r="DT48" s="8" t="str">
        <f t="shared" si="67"/>
        <v>2026//4/21</v>
      </c>
      <c r="DU48" s="262">
        <v>1485689.48</v>
      </c>
      <c r="DV48" s="12">
        <f t="shared" si="68"/>
        <v>1480889.48</v>
      </c>
      <c r="DW48" s="12">
        <f t="shared" si="69"/>
        <v>4800</v>
      </c>
      <c r="DX48" s="199">
        <f t="shared" si="70"/>
        <v>0.00324129522481313</v>
      </c>
      <c r="DY48" s="192"/>
      <c r="DZ48" s="192"/>
      <c r="EB48" s="8" t="str">
        <f t="shared" si="71"/>
        <v>2026//4/21</v>
      </c>
      <c r="EC48" s="262">
        <v>4744166.82</v>
      </c>
      <c r="ED48" s="12">
        <f t="shared" si="72"/>
        <v>4713866.82</v>
      </c>
      <c r="EE48" s="12">
        <f t="shared" si="73"/>
        <v>30300</v>
      </c>
      <c r="EF48" s="199">
        <f t="shared" si="74"/>
        <v>0.00642784388210611</v>
      </c>
      <c r="EG48" s="192"/>
      <c r="EH48" s="192"/>
      <c r="EJ48" s="8" t="str">
        <f t="shared" si="75"/>
        <v>2026//4/21</v>
      </c>
      <c r="EK48" s="263">
        <v>1369122.96</v>
      </c>
      <c r="EL48" s="12">
        <f t="shared" si="76"/>
        <v>1375522.96</v>
      </c>
      <c r="EM48" s="12">
        <f t="shared" si="77"/>
        <v>-6400</v>
      </c>
      <c r="EN48" s="199">
        <f t="shared" si="78"/>
        <v>-0.00465277584316004</v>
      </c>
      <c r="EO48" s="192"/>
      <c r="EP48" s="192"/>
      <c r="ER48" s="8" t="str">
        <f t="shared" si="79"/>
        <v>2026//4/21</v>
      </c>
      <c r="ES48" s="262">
        <v>462947.02</v>
      </c>
      <c r="ET48" s="12">
        <f t="shared" si="80"/>
        <v>465497.02</v>
      </c>
      <c r="EU48" s="12">
        <f t="shared" si="81"/>
        <v>-2550</v>
      </c>
      <c r="EV48" s="199">
        <f t="shared" si="82"/>
        <v>-0.00547801573466571</v>
      </c>
      <c r="EW48" s="192"/>
      <c r="EX48" s="192"/>
      <c r="EZ48" s="8" t="str">
        <f t="shared" si="83"/>
        <v>2026//4/21</v>
      </c>
      <c r="FA48" s="262">
        <v>723208</v>
      </c>
      <c r="FB48" s="12">
        <f t="shared" si="84"/>
        <v>723908</v>
      </c>
      <c r="FC48" s="12">
        <f t="shared" si="85"/>
        <v>-700</v>
      </c>
      <c r="FD48" s="199">
        <f t="shared" si="86"/>
        <v>-0.00096697370384082</v>
      </c>
      <c r="FE48" s="192"/>
      <c r="FF48" s="192"/>
      <c r="FG48" s="192"/>
      <c r="FH48" s="8" t="str">
        <f t="shared" si="87"/>
        <v>2026//4/21</v>
      </c>
      <c r="FI48" s="263">
        <v>1249195.33</v>
      </c>
      <c r="FJ48" s="12">
        <f t="shared" si="88"/>
        <v>1241995.33</v>
      </c>
      <c r="FK48" s="12">
        <f t="shared" si="89"/>
        <v>7200</v>
      </c>
      <c r="FL48" s="199">
        <f t="shared" si="90"/>
        <v>0.00579712324683218</v>
      </c>
      <c r="FM48" s="201"/>
      <c r="FN48" s="201"/>
      <c r="FP48" s="8" t="str">
        <f t="shared" si="91"/>
        <v>2026//4/21</v>
      </c>
      <c r="FQ48" s="262">
        <v>2125468.73</v>
      </c>
      <c r="FR48" s="12">
        <f t="shared" si="92"/>
        <v>2132518.73</v>
      </c>
      <c r="FS48" s="12">
        <f t="shared" si="93"/>
        <v>-7050</v>
      </c>
      <c r="FT48" s="199">
        <f t="shared" si="94"/>
        <v>-0.00330594986145796</v>
      </c>
      <c r="FU48" s="192"/>
      <c r="FV48" s="192"/>
      <c r="FX48" s="8" t="str">
        <f t="shared" si="95"/>
        <v>2026//4/21</v>
      </c>
      <c r="FY48" s="262">
        <v>8298482.05</v>
      </c>
      <c r="FZ48" s="12">
        <f t="shared" si="96"/>
        <v>8299682.05</v>
      </c>
      <c r="GA48" s="12">
        <f t="shared" si="97"/>
        <v>-1200</v>
      </c>
      <c r="GB48" s="199">
        <f t="shared" si="98"/>
        <v>-0.000144583851859723</v>
      </c>
      <c r="GC48" s="192"/>
      <c r="GD48" s="192"/>
      <c r="GF48" s="8" t="str">
        <f t="shared" si="99"/>
        <v>2026//4/21</v>
      </c>
      <c r="GG48" s="262">
        <v>4704769.49</v>
      </c>
      <c r="GH48" s="12">
        <f t="shared" si="100"/>
        <v>4692969.49</v>
      </c>
      <c r="GI48" s="12">
        <f t="shared" si="101"/>
        <v>11800</v>
      </c>
      <c r="GJ48" s="199">
        <f t="shared" si="102"/>
        <v>0.00251439947034473</v>
      </c>
      <c r="GK48" s="192"/>
      <c r="GL48" s="192"/>
      <c r="GN48" s="8" t="str">
        <f t="shared" si="103"/>
        <v>2026//4/21</v>
      </c>
      <c r="GO48" s="263">
        <v>1845178.12</v>
      </c>
      <c r="GP48" s="12">
        <f t="shared" si="104"/>
        <v>1830898.12</v>
      </c>
      <c r="GQ48" s="12">
        <f t="shared" si="105"/>
        <v>14280</v>
      </c>
      <c r="GR48" s="199">
        <f t="shared" si="106"/>
        <v>0.00779945090554793</v>
      </c>
      <c r="GS48" s="192"/>
      <c r="GT48" s="192"/>
      <c r="GV48" s="8" t="str">
        <f t="shared" si="107"/>
        <v>2026//4/21</v>
      </c>
      <c r="GW48" s="262">
        <v>920749.4</v>
      </c>
      <c r="GX48" s="12">
        <f t="shared" si="108"/>
        <v>928549.4</v>
      </c>
      <c r="GY48" s="12">
        <f t="shared" si="109"/>
        <v>-7800</v>
      </c>
      <c r="GZ48" s="199">
        <f t="shared" si="110"/>
        <v>-0.00840019927857365</v>
      </c>
      <c r="HA48" s="192"/>
      <c r="HB48" s="192"/>
      <c r="HD48" s="8" t="str">
        <f t="shared" si="111"/>
        <v>2026//4/21</v>
      </c>
      <c r="HE48" s="263">
        <v>1245564.67</v>
      </c>
      <c r="HF48" s="12">
        <f t="shared" si="112"/>
        <v>1223164.67</v>
      </c>
      <c r="HG48" s="12">
        <f t="shared" si="113"/>
        <v>22400</v>
      </c>
      <c r="HH48" s="199">
        <f t="shared" si="114"/>
        <v>0.0183131515726333</v>
      </c>
      <c r="HI48" s="201"/>
      <c r="HJ48" s="192"/>
      <c r="HL48" s="8" t="str">
        <f t="shared" si="115"/>
        <v>2026//4/21</v>
      </c>
      <c r="HM48" s="262">
        <v>149354.25</v>
      </c>
      <c r="HN48" s="208">
        <f t="shared" si="116"/>
        <v>149754.25</v>
      </c>
      <c r="HO48" s="208">
        <f t="shared" si="117"/>
        <v>-400</v>
      </c>
      <c r="HP48" s="209">
        <f t="shared" si="118"/>
        <v>-0.00267104272499779</v>
      </c>
      <c r="HQ48" s="192"/>
      <c r="HR48" s="192"/>
      <c r="HT48" s="8" t="str">
        <f t="shared" si="119"/>
        <v>2026//4/21</v>
      </c>
      <c r="HU48" s="263">
        <v>228668.82</v>
      </c>
      <c r="HV48" s="12">
        <f t="shared" si="120"/>
        <v>239668.82</v>
      </c>
      <c r="HW48" s="12">
        <f t="shared" si="121"/>
        <v>-11000</v>
      </c>
      <c r="HX48" s="199">
        <f t="shared" si="122"/>
        <v>-0.0458966669089454</v>
      </c>
      <c r="HY48" s="192"/>
      <c r="HZ48" s="192"/>
      <c r="IB48" s="8" t="str">
        <f t="shared" si="123"/>
        <v>2026//4/21</v>
      </c>
      <c r="IC48" s="262">
        <v>378859.79</v>
      </c>
      <c r="ID48" s="12">
        <f t="shared" si="124"/>
        <v>379959.79</v>
      </c>
      <c r="IE48" s="12">
        <f t="shared" si="125"/>
        <v>-1100</v>
      </c>
      <c r="IF48" s="199">
        <f t="shared" si="126"/>
        <v>-0.00289504318338527</v>
      </c>
      <c r="IG48" s="201"/>
      <c r="IH48" s="192"/>
      <c r="IJ48" s="8" t="str">
        <f t="shared" si="127"/>
        <v>2026//4/21</v>
      </c>
      <c r="IK48" s="263">
        <v>604636.29</v>
      </c>
      <c r="IL48" s="12">
        <f t="shared" si="128"/>
        <v>593676.29</v>
      </c>
      <c r="IM48" s="12">
        <f t="shared" si="129"/>
        <v>10960</v>
      </c>
      <c r="IN48" s="199">
        <f t="shared" si="130"/>
        <v>0.0184612392049546</v>
      </c>
      <c r="IO48" s="192"/>
      <c r="IP48" s="192"/>
      <c r="IR48" s="8" t="str">
        <f t="shared" si="131"/>
        <v>2026//4/21</v>
      </c>
      <c r="IS48" s="262">
        <v>142689</v>
      </c>
      <c r="IT48" s="12">
        <f t="shared" si="132"/>
        <v>142589</v>
      </c>
      <c r="IU48" s="12">
        <f t="shared" si="133"/>
        <v>100</v>
      </c>
      <c r="IV48" s="199">
        <f t="shared" si="134"/>
        <v>0.000701316370828044</v>
      </c>
      <c r="IW48" s="192"/>
      <c r="IX48" s="192"/>
      <c r="IZ48" s="8" t="str">
        <f t="shared" si="135"/>
        <v>2026//4/21</v>
      </c>
      <c r="JA48" s="262">
        <v>4952329.15</v>
      </c>
      <c r="JB48" s="12">
        <f t="shared" si="136"/>
        <v>4942629.15</v>
      </c>
      <c r="JC48" s="12">
        <f t="shared" si="137"/>
        <v>9700</v>
      </c>
      <c r="JD48" s="199">
        <f t="shared" si="138"/>
        <v>0.00196251826823787</v>
      </c>
      <c r="JE48" s="192"/>
      <c r="JF48" s="192"/>
      <c r="JH48" s="8" t="str">
        <f t="shared" si="139"/>
        <v>2026//4/21</v>
      </c>
      <c r="JI48" s="262">
        <v>1335627.99</v>
      </c>
      <c r="JJ48" s="12">
        <f t="shared" si="140"/>
        <v>1336767.99</v>
      </c>
      <c r="JK48" s="12">
        <f t="shared" si="141"/>
        <v>-1140</v>
      </c>
      <c r="JL48" s="199">
        <f t="shared" si="142"/>
        <v>-0.000852803185390458</v>
      </c>
      <c r="JM48" s="192"/>
      <c r="JN48" s="192"/>
      <c r="JO48" s="192"/>
      <c r="JP48" s="8" t="str">
        <f t="shared" si="143"/>
        <v>2026//4/21</v>
      </c>
      <c r="JQ48" s="263">
        <v>1030490.41</v>
      </c>
      <c r="JR48" s="12">
        <f t="shared" si="144"/>
        <v>1031290.41</v>
      </c>
      <c r="JS48" s="12">
        <f t="shared" si="145"/>
        <v>-800</v>
      </c>
      <c r="JT48" s="199">
        <f t="shared" si="146"/>
        <v>-0.000775727178535482</v>
      </c>
      <c r="JU48" s="192"/>
      <c r="JV48" s="192"/>
      <c r="JW48" s="201"/>
      <c r="JX48" s="8" t="str">
        <f t="shared" si="147"/>
        <v>2026//4/21</v>
      </c>
      <c r="JY48" s="262">
        <v>1196048.8</v>
      </c>
      <c r="JZ48" s="12">
        <f t="shared" si="148"/>
        <v>1196298.8</v>
      </c>
      <c r="KA48" s="12">
        <f t="shared" si="149"/>
        <v>-250</v>
      </c>
      <c r="KB48" s="199">
        <f t="shared" si="150"/>
        <v>-0.000208977890807882</v>
      </c>
      <c r="KC48" s="192"/>
      <c r="KD48" s="192"/>
      <c r="KE48" s="201"/>
      <c r="KF48" s="8" t="str">
        <f t="shared" si="151"/>
        <v>2026//4/21</v>
      </c>
      <c r="KG48" s="263">
        <v>732555.92</v>
      </c>
      <c r="KH48" s="12">
        <f t="shared" si="152"/>
        <v>732555.92</v>
      </c>
      <c r="KI48" s="12">
        <f t="shared" si="153"/>
        <v>0</v>
      </c>
      <c r="KJ48" s="199">
        <f t="shared" si="154"/>
        <v>0</v>
      </c>
      <c r="KK48" s="201"/>
      <c r="KL48" s="201"/>
      <c r="KN48" s="8" t="str">
        <f t="shared" si="155"/>
        <v>2026//4/21</v>
      </c>
      <c r="KO48" s="262">
        <v>8322775.95</v>
      </c>
      <c r="KP48" s="12">
        <f t="shared" si="156"/>
        <v>8322775.95</v>
      </c>
      <c r="KQ48" s="12">
        <f t="shared" si="157"/>
        <v>0</v>
      </c>
      <c r="KR48" s="199">
        <f t="shared" si="158"/>
        <v>0</v>
      </c>
      <c r="KS48" s="192"/>
      <c r="KT48" s="192"/>
      <c r="KV48" s="8" t="str">
        <f t="shared" si="159"/>
        <v>2026//4/21</v>
      </c>
      <c r="KW48" s="263">
        <v>994072.97</v>
      </c>
      <c r="KX48" s="12">
        <f t="shared" si="160"/>
        <v>994372.97</v>
      </c>
      <c r="KY48" s="12">
        <f t="shared" si="161"/>
        <v>-300</v>
      </c>
      <c r="KZ48" s="199">
        <f t="shared" si="162"/>
        <v>-0.000301697661793844</v>
      </c>
      <c r="LA48" s="201"/>
      <c r="LB48" s="192"/>
      <c r="LD48" s="8" t="str">
        <f t="shared" si="163"/>
        <v>2026//4/21</v>
      </c>
      <c r="LE48" s="262">
        <v>493207.7</v>
      </c>
      <c r="LF48" s="12">
        <f t="shared" si="164"/>
        <v>488807.7</v>
      </c>
      <c r="LG48" s="12">
        <f t="shared" si="165"/>
        <v>4400</v>
      </c>
      <c r="LH48" s="199">
        <f t="shared" si="166"/>
        <v>0.00900149486188536</v>
      </c>
      <c r="LI48" s="192"/>
      <c r="LJ48" s="192"/>
      <c r="LL48" s="8" t="str">
        <f t="shared" si="167"/>
        <v>2026//4/21</v>
      </c>
      <c r="LM48" s="262">
        <v>3602995.02</v>
      </c>
      <c r="LN48" s="12">
        <f t="shared" si="168"/>
        <v>3591835.02</v>
      </c>
      <c r="LO48" s="12">
        <f t="shared" si="169"/>
        <v>11160</v>
      </c>
      <c r="LP48" s="199">
        <f t="shared" si="170"/>
        <v>0.00310704693780729</v>
      </c>
      <c r="LQ48" s="192"/>
      <c r="LR48" s="192"/>
      <c r="LT48" s="8" t="str">
        <f t="shared" si="171"/>
        <v>2026//4/21</v>
      </c>
      <c r="LU48" s="263">
        <v>2519462.9</v>
      </c>
      <c r="LV48" s="12">
        <f t="shared" si="172"/>
        <v>2544062.9</v>
      </c>
      <c r="LW48" s="12">
        <f t="shared" si="173"/>
        <v>-24600</v>
      </c>
      <c r="LX48" s="199">
        <f t="shared" si="174"/>
        <v>-0.0096695722421014</v>
      </c>
      <c r="LY48" s="192"/>
      <c r="LZ48" s="192"/>
      <c r="MB48" s="8" t="str">
        <f t="shared" si="175"/>
        <v>2026//4/21</v>
      </c>
      <c r="MC48" s="262">
        <v>716867.69</v>
      </c>
      <c r="MD48" s="12">
        <f t="shared" si="176"/>
        <v>717517.69</v>
      </c>
      <c r="ME48" s="12">
        <f t="shared" si="177"/>
        <v>-650</v>
      </c>
      <c r="MF48" s="199">
        <f t="shared" si="178"/>
        <v>-0.000905901009910989</v>
      </c>
      <c r="MG48" s="192"/>
      <c r="MH48" s="192"/>
      <c r="MI48" s="8"/>
      <c r="MJ48" s="8"/>
      <c r="MK48" s="8" t="str">
        <f t="shared" si="179"/>
        <v>2026//4/21</v>
      </c>
      <c r="ML48" s="263">
        <v>219705.53</v>
      </c>
      <c r="MM48" s="12">
        <f t="shared" si="180"/>
        <v>220425.53</v>
      </c>
      <c r="MN48" s="12">
        <f t="shared" si="181"/>
        <v>-720</v>
      </c>
      <c r="MO48" s="199">
        <f t="shared" si="182"/>
        <v>-0.00326640929478541</v>
      </c>
      <c r="MP48" s="192"/>
      <c r="MQ48" s="201"/>
      <c r="MR48" s="201"/>
      <c r="MT48" s="8" t="str">
        <f t="shared" si="183"/>
        <v>2026//4/21</v>
      </c>
      <c r="MU48" s="262">
        <v>212714.8</v>
      </c>
      <c r="MV48" s="204">
        <f t="shared" si="184"/>
        <v>218514.8</v>
      </c>
      <c r="MW48" s="8">
        <f t="shared" si="185"/>
        <v>-5800</v>
      </c>
      <c r="MX48" s="192">
        <f t="shared" si="186"/>
        <v>-0.0265428245592518</v>
      </c>
      <c r="MY48" s="192"/>
      <c r="MZ48" s="192"/>
      <c r="NA48" s="192"/>
      <c r="NC48" s="8" t="str">
        <f t="shared" si="187"/>
        <v>2026//4/21</v>
      </c>
      <c r="ND48" s="262">
        <v>42891.48</v>
      </c>
      <c r="NE48" s="204">
        <f t="shared" si="188"/>
        <v>43091.48</v>
      </c>
      <c r="NF48" s="8">
        <f t="shared" si="189"/>
        <v>-200</v>
      </c>
      <c r="NG48" s="192">
        <f t="shared" si="190"/>
        <v>-0.00464128871879081</v>
      </c>
      <c r="NH48" s="192"/>
      <c r="NI48" s="192"/>
      <c r="NJ48" s="192"/>
      <c r="NK48" s="192"/>
      <c r="NM48" s="8" t="str">
        <f t="shared" si="191"/>
        <v>2026//4/21</v>
      </c>
      <c r="NN48" s="262">
        <v>2549111.08</v>
      </c>
      <c r="NO48" s="8">
        <f t="shared" si="192"/>
        <v>2560411.08</v>
      </c>
      <c r="NP48" s="210">
        <f t="shared" si="193"/>
        <v>-11300</v>
      </c>
      <c r="NQ48" s="211">
        <f t="shared" si="194"/>
        <v>-0.00441335381191992</v>
      </c>
      <c r="NR48" s="192"/>
      <c r="NU48" s="8" t="str">
        <f t="shared" si="195"/>
        <v>2026//4/21</v>
      </c>
      <c r="NV48" s="262">
        <v>255676.5</v>
      </c>
      <c r="NW48" s="205">
        <f t="shared" si="196"/>
        <v>252076.5</v>
      </c>
      <c r="NX48" s="210">
        <f t="shared" si="197"/>
        <v>3600</v>
      </c>
      <c r="NY48" s="211">
        <f t="shared" si="198"/>
        <v>0.0142813788671296</v>
      </c>
      <c r="NZ48" s="201"/>
      <c r="OA48" s="200"/>
      <c r="OC48" s="8" t="str">
        <f t="shared" si="199"/>
        <v>2026//4/21</v>
      </c>
      <c r="OD48" s="262">
        <v>13973.97</v>
      </c>
      <c r="OE48" s="12">
        <f t="shared" si="200"/>
        <v>13633.97</v>
      </c>
      <c r="OF48" s="12">
        <f t="shared" si="201"/>
        <v>340</v>
      </c>
      <c r="OG48" s="199">
        <f t="shared" si="202"/>
        <v>0.024937710732824</v>
      </c>
      <c r="OH48" s="192"/>
      <c r="OI48" s="192"/>
      <c r="OK48" s="8" t="str">
        <f t="shared" si="203"/>
        <v>2026//4/21</v>
      </c>
      <c r="OL48" s="262">
        <v>13227.65</v>
      </c>
      <c r="OM48" s="12">
        <f t="shared" si="204"/>
        <v>12950.65</v>
      </c>
      <c r="ON48" s="12">
        <f t="shared" si="205"/>
        <v>277</v>
      </c>
      <c r="OO48" s="199">
        <f t="shared" si="206"/>
        <v>0.0213888878164416</v>
      </c>
      <c r="OP48" s="192"/>
      <c r="OQ48" s="192"/>
      <c r="OT48" s="234" t="str">
        <f t="shared" si="207"/>
        <v>2026//4/21</v>
      </c>
      <c r="OU48" s="206">
        <v>145392.4066</v>
      </c>
      <c r="OV48" s="8">
        <f t="shared" si="208"/>
        <v>145272.4066</v>
      </c>
      <c r="OW48" s="191">
        <f t="shared" si="209"/>
        <v>120</v>
      </c>
      <c r="OX48" s="192">
        <f t="shared" si="210"/>
        <v>0.000826034364051074</v>
      </c>
    </row>
    <row r="49" s="8" customFormat="1" ht="17" customHeight="1" spans="1:414">
      <c r="A49" s="15"/>
      <c r="B49" s="15"/>
      <c r="C49" s="15" t="s">
        <v>475</v>
      </c>
      <c r="D49" s="262">
        <v>4282068.77</v>
      </c>
      <c r="E49" s="19">
        <f t="shared" si="8"/>
        <v>4325898.77</v>
      </c>
      <c r="F49" s="19">
        <f t="shared" si="9"/>
        <v>-43830</v>
      </c>
      <c r="G49" s="172">
        <f t="shared" si="10"/>
        <v>-0.0101319985349542</v>
      </c>
      <c r="H49" s="18"/>
      <c r="I49" s="172"/>
      <c r="J49" s="172"/>
      <c r="K49" s="8" t="str">
        <f t="shared" si="11"/>
        <v>2026//4/20</v>
      </c>
      <c r="L49" s="262">
        <v>3129364.4</v>
      </c>
      <c r="M49" s="19">
        <f t="shared" si="12"/>
        <v>3133414.4</v>
      </c>
      <c r="N49" s="19">
        <f t="shared" si="13"/>
        <v>-4050</v>
      </c>
      <c r="O49" s="172">
        <f t="shared" si="14"/>
        <v>-0.00129251975097836</v>
      </c>
      <c r="P49" s="18"/>
      <c r="Q49" s="172"/>
      <c r="R49" s="19"/>
      <c r="S49" s="8" t="str">
        <f t="shared" si="15"/>
        <v>2026//4/20</v>
      </c>
      <c r="T49" s="262">
        <v>2282106.68</v>
      </c>
      <c r="U49" s="19">
        <f t="shared" si="16"/>
        <v>2288316.68</v>
      </c>
      <c r="V49" s="19">
        <f t="shared" si="17"/>
        <v>-6210</v>
      </c>
      <c r="W49" s="172">
        <f t="shared" si="18"/>
        <v>-0.0027137852266147</v>
      </c>
      <c r="X49" s="18"/>
      <c r="Y49" s="172"/>
      <c r="Z49" s="19"/>
      <c r="AA49" s="8" t="str">
        <f t="shared" si="19"/>
        <v>2026//4/20</v>
      </c>
      <c r="AB49" s="262">
        <v>939296.86</v>
      </c>
      <c r="AC49" s="19">
        <f t="shared" si="20"/>
        <v>976296.86</v>
      </c>
      <c r="AD49" s="19">
        <f t="shared" si="21"/>
        <v>-37000</v>
      </c>
      <c r="AE49" s="172">
        <f t="shared" si="22"/>
        <v>-0.0378983089221449</v>
      </c>
      <c r="AF49" s="18"/>
      <c r="AG49" s="172"/>
      <c r="AH49" s="19"/>
      <c r="AI49" s="8" t="str">
        <f t="shared" si="23"/>
        <v>2026//4/20</v>
      </c>
      <c r="AJ49" s="262">
        <v>716921.76</v>
      </c>
      <c r="AK49" s="19">
        <f t="shared" si="24"/>
        <v>742521.76</v>
      </c>
      <c r="AL49" s="19">
        <f t="shared" si="25"/>
        <v>-25600</v>
      </c>
      <c r="AM49" s="172">
        <f t="shared" si="26"/>
        <v>-0.0344771040784044</v>
      </c>
      <c r="AN49" s="18"/>
      <c r="AO49" s="18"/>
      <c r="AP49" s="19"/>
      <c r="AQ49" s="8" t="str">
        <f t="shared" si="27"/>
        <v>2026//4/20</v>
      </c>
      <c r="AR49" s="263">
        <v>1368445.49</v>
      </c>
      <c r="AS49" s="19">
        <f t="shared" si="28"/>
        <v>1409945.49</v>
      </c>
      <c r="AT49" s="19">
        <f t="shared" si="29"/>
        <v>-41500</v>
      </c>
      <c r="AU49" s="172">
        <f t="shared" si="30"/>
        <v>-0.0294337620101895</v>
      </c>
      <c r="AV49" s="18"/>
      <c r="AW49" s="18"/>
      <c r="AX49" s="17"/>
      <c r="AY49" s="17"/>
      <c r="AZ49" s="8" t="str">
        <f t="shared" si="31"/>
        <v>2026//4/20</v>
      </c>
      <c r="BA49" s="263">
        <v>1946901.66</v>
      </c>
      <c r="BB49" s="129">
        <f t="shared" si="32"/>
        <v>1951581.66</v>
      </c>
      <c r="BC49" s="17">
        <f t="shared" si="33"/>
        <v>-4680</v>
      </c>
      <c r="BD49" s="18">
        <f t="shared" si="34"/>
        <v>-0.00239805491920845</v>
      </c>
      <c r="BE49" s="18"/>
      <c r="BF49" s="18"/>
      <c r="BG49" s="74"/>
      <c r="BH49" s="8" t="str">
        <f t="shared" si="35"/>
        <v>2026//4/20</v>
      </c>
      <c r="BI49" s="263">
        <v>1698626.55</v>
      </c>
      <c r="BJ49" s="195">
        <f t="shared" si="36"/>
        <v>1675226.55</v>
      </c>
      <c r="BK49" s="195">
        <f t="shared" si="37"/>
        <v>23400</v>
      </c>
      <c r="BL49" s="196">
        <f t="shared" si="38"/>
        <v>0.0139682599944467</v>
      </c>
      <c r="BM49" s="197"/>
      <c r="BN49" s="192"/>
      <c r="BP49" s="8" t="str">
        <f t="shared" si="39"/>
        <v>2026//4/20</v>
      </c>
      <c r="BQ49" s="263">
        <v>1111062.39</v>
      </c>
      <c r="BR49" s="12">
        <f t="shared" si="40"/>
        <v>1110562.39</v>
      </c>
      <c r="BS49" s="12">
        <f t="shared" si="41"/>
        <v>500</v>
      </c>
      <c r="BT49" s="199">
        <f t="shared" si="42"/>
        <v>0.000450222341853302</v>
      </c>
      <c r="BU49" s="192"/>
      <c r="BV49" s="192"/>
      <c r="BX49" s="8" t="str">
        <f t="shared" si="43"/>
        <v>2026//4/20</v>
      </c>
      <c r="BY49" s="263">
        <v>3086060.7</v>
      </c>
      <c r="BZ49" s="12">
        <f t="shared" si="44"/>
        <v>3138310.7</v>
      </c>
      <c r="CA49" s="12">
        <f t="shared" si="45"/>
        <v>-52250</v>
      </c>
      <c r="CB49" s="199">
        <f t="shared" si="46"/>
        <v>-0.0166490844899455</v>
      </c>
      <c r="CC49" s="192"/>
      <c r="CD49" s="201"/>
      <c r="CF49" s="8" t="str">
        <f t="shared" si="47"/>
        <v>2026//4/20</v>
      </c>
      <c r="CG49" s="262">
        <v>1387303.9</v>
      </c>
      <c r="CH49" s="12">
        <f t="shared" si="48"/>
        <v>1393453.9</v>
      </c>
      <c r="CI49" s="12">
        <f t="shared" si="49"/>
        <v>-6150</v>
      </c>
      <c r="CJ49" s="199">
        <f t="shared" si="50"/>
        <v>-0.00441349369361986</v>
      </c>
      <c r="CK49" s="192"/>
      <c r="CL49" s="201"/>
      <c r="CN49" s="8" t="str">
        <f t="shared" si="51"/>
        <v>2026//4/20</v>
      </c>
      <c r="CO49" s="262">
        <v>661446.48</v>
      </c>
      <c r="CP49" s="12">
        <f t="shared" si="52"/>
        <v>662146.48</v>
      </c>
      <c r="CQ49" s="12">
        <f t="shared" si="53"/>
        <v>-700</v>
      </c>
      <c r="CR49" s="199">
        <f t="shared" si="54"/>
        <v>-0.00105716789433057</v>
      </c>
      <c r="CS49" s="201"/>
      <c r="CT49" s="201"/>
      <c r="CV49" s="8" t="str">
        <f t="shared" si="55"/>
        <v>2026//4/20</v>
      </c>
      <c r="CW49" s="262">
        <v>589790.4</v>
      </c>
      <c r="CX49" s="12">
        <f t="shared" si="56"/>
        <v>590990.4</v>
      </c>
      <c r="CY49" s="12">
        <f t="shared" si="57"/>
        <v>-1200</v>
      </c>
      <c r="CZ49" s="199">
        <f t="shared" si="58"/>
        <v>-0.00203048983536788</v>
      </c>
      <c r="DA49" s="192"/>
      <c r="DB49" s="192"/>
      <c r="DC49" s="202"/>
      <c r="DD49" s="8" t="str">
        <f t="shared" si="59"/>
        <v>2026//4/20</v>
      </c>
      <c r="DE49" s="263">
        <v>2339717.99</v>
      </c>
      <c r="DF49" s="12">
        <f t="shared" si="60"/>
        <v>2356917.99</v>
      </c>
      <c r="DG49" s="12">
        <f t="shared" si="61"/>
        <v>-17200</v>
      </c>
      <c r="DH49" s="199">
        <f t="shared" si="62"/>
        <v>-0.00729766588102626</v>
      </c>
      <c r="DI49" s="192"/>
      <c r="DJ49" s="192"/>
      <c r="DL49" s="8" t="str">
        <f t="shared" si="63"/>
        <v>2026//4/20</v>
      </c>
      <c r="DM49" s="262">
        <v>1237100.36</v>
      </c>
      <c r="DN49" s="12">
        <f t="shared" si="64"/>
        <v>1247300.36</v>
      </c>
      <c r="DO49" s="12">
        <f t="shared" si="65"/>
        <v>-10200</v>
      </c>
      <c r="DP49" s="199">
        <f t="shared" si="66"/>
        <v>-0.00817766139344336</v>
      </c>
      <c r="DQ49" s="192"/>
      <c r="DR49" s="192"/>
      <c r="DT49" s="8" t="str">
        <f t="shared" si="67"/>
        <v>2026//4/20</v>
      </c>
      <c r="DU49" s="262">
        <v>1480889.48</v>
      </c>
      <c r="DV49" s="12">
        <f t="shared" si="68"/>
        <v>1491989.48</v>
      </c>
      <c r="DW49" s="12">
        <f t="shared" si="69"/>
        <v>-11100</v>
      </c>
      <c r="DX49" s="199">
        <f t="shared" si="70"/>
        <v>-0.00743973074126501</v>
      </c>
      <c r="DY49" s="192"/>
      <c r="DZ49" s="192"/>
      <c r="EB49" s="8" t="str">
        <f t="shared" si="71"/>
        <v>2026//4/20</v>
      </c>
      <c r="EC49" s="262">
        <v>4713866.82</v>
      </c>
      <c r="ED49" s="12">
        <f t="shared" si="72"/>
        <v>4782866.82</v>
      </c>
      <c r="EE49" s="12">
        <f t="shared" si="73"/>
        <v>-69000</v>
      </c>
      <c r="EF49" s="199">
        <f t="shared" si="74"/>
        <v>-0.0144264941084017</v>
      </c>
      <c r="EG49" s="192"/>
      <c r="EH49" s="192"/>
      <c r="EJ49" s="8" t="str">
        <f t="shared" si="75"/>
        <v>2026//4/20</v>
      </c>
      <c r="EK49" s="263">
        <v>1375522.96</v>
      </c>
      <c r="EL49" s="12">
        <f t="shared" si="76"/>
        <v>1382122.96</v>
      </c>
      <c r="EM49" s="12">
        <f t="shared" si="77"/>
        <v>-6600</v>
      </c>
      <c r="EN49" s="199">
        <f t="shared" si="78"/>
        <v>-0.00477526254248754</v>
      </c>
      <c r="EO49" s="192"/>
      <c r="EP49" s="192"/>
      <c r="ER49" s="8" t="str">
        <f t="shared" si="79"/>
        <v>2026//4/20</v>
      </c>
      <c r="ES49" s="262">
        <v>465497.02</v>
      </c>
      <c r="ET49" s="12">
        <f t="shared" si="80"/>
        <v>472247.02</v>
      </c>
      <c r="EU49" s="12">
        <f t="shared" si="81"/>
        <v>-6750</v>
      </c>
      <c r="EV49" s="199">
        <f t="shared" si="82"/>
        <v>-0.0142933670603152</v>
      </c>
      <c r="EW49" s="192"/>
      <c r="EX49" s="192"/>
      <c r="EZ49" s="8" t="str">
        <f t="shared" si="83"/>
        <v>2026//4/20</v>
      </c>
      <c r="FA49" s="262">
        <v>723908</v>
      </c>
      <c r="FB49" s="12">
        <f t="shared" si="84"/>
        <v>734308</v>
      </c>
      <c r="FC49" s="12">
        <f t="shared" si="85"/>
        <v>-10400</v>
      </c>
      <c r="FD49" s="199">
        <f t="shared" si="86"/>
        <v>-0.0141629942748819</v>
      </c>
      <c r="FE49" s="192"/>
      <c r="FF49" s="192"/>
      <c r="FG49" s="192"/>
      <c r="FH49" s="8" t="str">
        <f t="shared" si="87"/>
        <v>2026//4/20</v>
      </c>
      <c r="FI49" s="263">
        <v>1241995.33</v>
      </c>
      <c r="FJ49" s="12">
        <f t="shared" si="88"/>
        <v>1193095.33</v>
      </c>
      <c r="FK49" s="12">
        <f t="shared" si="89"/>
        <v>48900</v>
      </c>
      <c r="FL49" s="199">
        <f t="shared" si="90"/>
        <v>0.0409858280142627</v>
      </c>
      <c r="FM49" s="201"/>
      <c r="FN49" s="201"/>
      <c r="FP49" s="8" t="str">
        <f t="shared" si="91"/>
        <v>2026//4/20</v>
      </c>
      <c r="FQ49" s="262">
        <v>2132518.73</v>
      </c>
      <c r="FR49" s="12">
        <f t="shared" si="92"/>
        <v>2145118.73</v>
      </c>
      <c r="FS49" s="12">
        <f t="shared" si="93"/>
        <v>-12600</v>
      </c>
      <c r="FT49" s="199">
        <f t="shared" si="94"/>
        <v>-0.00587380074761643</v>
      </c>
      <c r="FU49" s="192"/>
      <c r="FV49" s="192"/>
      <c r="FX49" s="8" t="str">
        <f t="shared" si="95"/>
        <v>2026//4/20</v>
      </c>
      <c r="FY49" s="262">
        <v>8299682.05</v>
      </c>
      <c r="FZ49" s="12">
        <f t="shared" si="96"/>
        <v>8330682.05</v>
      </c>
      <c r="GA49" s="12">
        <f t="shared" si="97"/>
        <v>-31000</v>
      </c>
      <c r="GB49" s="199">
        <f t="shared" si="98"/>
        <v>-0.00372118390954556</v>
      </c>
      <c r="GC49" s="192"/>
      <c r="GD49" s="192"/>
      <c r="GF49" s="8" t="str">
        <f t="shared" si="99"/>
        <v>2026//4/20</v>
      </c>
      <c r="GG49" s="262">
        <v>4692969.49</v>
      </c>
      <c r="GH49" s="12">
        <f t="shared" si="100"/>
        <v>4682069.49</v>
      </c>
      <c r="GI49" s="12">
        <f t="shared" si="101"/>
        <v>10900</v>
      </c>
      <c r="GJ49" s="199">
        <f t="shared" si="102"/>
        <v>0.00232803037701177</v>
      </c>
      <c r="GK49" s="192"/>
      <c r="GL49" s="192"/>
      <c r="GN49" s="8" t="str">
        <f t="shared" si="103"/>
        <v>2026//4/20</v>
      </c>
      <c r="GO49" s="263">
        <v>1830898.12</v>
      </c>
      <c r="GP49" s="12">
        <f t="shared" si="104"/>
        <v>1821838.12</v>
      </c>
      <c r="GQ49" s="12">
        <f t="shared" si="105"/>
        <v>9060</v>
      </c>
      <c r="GR49" s="199">
        <f t="shared" si="106"/>
        <v>0.00497299946715354</v>
      </c>
      <c r="GS49" s="192"/>
      <c r="GT49" s="192"/>
      <c r="GV49" s="8" t="str">
        <f t="shared" si="107"/>
        <v>2026//4/20</v>
      </c>
      <c r="GW49" s="262">
        <v>928549.4</v>
      </c>
      <c r="GX49" s="12">
        <f t="shared" si="108"/>
        <v>929549.4</v>
      </c>
      <c r="GY49" s="12">
        <f t="shared" si="109"/>
        <v>-1000</v>
      </c>
      <c r="GZ49" s="199">
        <f t="shared" si="110"/>
        <v>-0.00107579005483732</v>
      </c>
      <c r="HA49" s="192"/>
      <c r="HB49" s="192"/>
      <c r="HD49" s="8" t="str">
        <f t="shared" si="111"/>
        <v>2026//4/20</v>
      </c>
      <c r="HE49" s="263">
        <v>1223164.67</v>
      </c>
      <c r="HF49" s="12">
        <f t="shared" si="112"/>
        <v>1157864.67</v>
      </c>
      <c r="HG49" s="12">
        <f t="shared" si="113"/>
        <v>65300</v>
      </c>
      <c r="HH49" s="199">
        <f t="shared" si="114"/>
        <v>0.0563969189939961</v>
      </c>
      <c r="HI49" s="201"/>
      <c r="HJ49" s="192"/>
      <c r="HL49" s="8" t="str">
        <f t="shared" si="115"/>
        <v>2026//4/20</v>
      </c>
      <c r="HM49" s="262">
        <v>149754.25</v>
      </c>
      <c r="HN49" s="208">
        <f t="shared" si="116"/>
        <v>151754.25</v>
      </c>
      <c r="HO49" s="208">
        <f t="shared" si="117"/>
        <v>-2000</v>
      </c>
      <c r="HP49" s="209">
        <f t="shared" si="118"/>
        <v>-0.0131792025594011</v>
      </c>
      <c r="HQ49" s="192"/>
      <c r="HR49" s="192"/>
      <c r="HT49" s="8" t="str">
        <f t="shared" si="119"/>
        <v>2026//4/20</v>
      </c>
      <c r="HU49" s="263">
        <v>239668.82</v>
      </c>
      <c r="HV49" s="12">
        <f t="shared" si="120"/>
        <v>237168.82</v>
      </c>
      <c r="HW49" s="12">
        <f t="shared" si="121"/>
        <v>2500</v>
      </c>
      <c r="HX49" s="199">
        <f t="shared" si="122"/>
        <v>0.0105410146240977</v>
      </c>
      <c r="HY49" s="192"/>
      <c r="HZ49" s="192"/>
      <c r="IB49" s="8" t="str">
        <f t="shared" si="123"/>
        <v>2026//4/20</v>
      </c>
      <c r="IC49" s="262">
        <v>379959.79</v>
      </c>
      <c r="ID49" s="12">
        <f t="shared" si="124"/>
        <v>378809.79</v>
      </c>
      <c r="IE49" s="12">
        <f t="shared" si="125"/>
        <v>1150</v>
      </c>
      <c r="IF49" s="199">
        <f t="shared" si="126"/>
        <v>0.00303582439091661</v>
      </c>
      <c r="IG49" s="201"/>
      <c r="IH49" s="192"/>
      <c r="IJ49" s="8" t="str">
        <f t="shared" si="127"/>
        <v>2026//4/20</v>
      </c>
      <c r="IK49" s="263">
        <v>593676.29</v>
      </c>
      <c r="IL49" s="12">
        <f t="shared" si="128"/>
        <v>596236.29</v>
      </c>
      <c r="IM49" s="12">
        <f t="shared" si="129"/>
        <v>-2560</v>
      </c>
      <c r="IN49" s="199">
        <f t="shared" si="130"/>
        <v>-0.00429359977400906</v>
      </c>
      <c r="IO49" s="192"/>
      <c r="IP49" s="192"/>
      <c r="IR49" s="8" t="str">
        <f t="shared" si="131"/>
        <v>2026//4/20</v>
      </c>
      <c r="IS49" s="262">
        <v>142589</v>
      </c>
      <c r="IT49" s="12">
        <f t="shared" si="132"/>
        <v>143289</v>
      </c>
      <c r="IU49" s="12">
        <f t="shared" si="133"/>
        <v>-700</v>
      </c>
      <c r="IV49" s="199">
        <f t="shared" si="134"/>
        <v>-0.00488523194383379</v>
      </c>
      <c r="IW49" s="192"/>
      <c r="IX49" s="192"/>
      <c r="IZ49" s="8" t="str">
        <f t="shared" si="135"/>
        <v>2026//4/20</v>
      </c>
      <c r="JA49" s="262">
        <v>4942629.15</v>
      </c>
      <c r="JB49" s="12">
        <f t="shared" si="136"/>
        <v>4921129.15</v>
      </c>
      <c r="JC49" s="12">
        <f t="shared" si="137"/>
        <v>21500</v>
      </c>
      <c r="JD49" s="199">
        <f t="shared" si="138"/>
        <v>0.00436891602407955</v>
      </c>
      <c r="JE49" s="192"/>
      <c r="JF49" s="192"/>
      <c r="JH49" s="8" t="str">
        <f t="shared" si="139"/>
        <v>2026//4/20</v>
      </c>
      <c r="JI49" s="262">
        <v>1336767.99</v>
      </c>
      <c r="JJ49" s="12">
        <f t="shared" si="140"/>
        <v>1350807.99</v>
      </c>
      <c r="JK49" s="12">
        <f t="shared" si="141"/>
        <v>-14040</v>
      </c>
      <c r="JL49" s="199">
        <f t="shared" si="142"/>
        <v>-0.0103937792076578</v>
      </c>
      <c r="JM49" s="192"/>
      <c r="JN49" s="192"/>
      <c r="JO49" s="192"/>
      <c r="JP49" s="8" t="str">
        <f t="shared" si="143"/>
        <v>2026//4/20</v>
      </c>
      <c r="JQ49" s="263">
        <v>1031290.41</v>
      </c>
      <c r="JR49" s="12">
        <f t="shared" si="144"/>
        <v>1034690.41</v>
      </c>
      <c r="JS49" s="12">
        <f t="shared" si="145"/>
        <v>-3400</v>
      </c>
      <c r="JT49" s="199">
        <f t="shared" si="146"/>
        <v>-0.00328600706756333</v>
      </c>
      <c r="JU49" s="192"/>
      <c r="JV49" s="192"/>
      <c r="JW49" s="201"/>
      <c r="JX49" s="8" t="str">
        <f t="shared" si="147"/>
        <v>2026//4/20</v>
      </c>
      <c r="JY49" s="262">
        <v>1196298.8</v>
      </c>
      <c r="JZ49" s="12">
        <f t="shared" si="148"/>
        <v>1196748.8</v>
      </c>
      <c r="KA49" s="12">
        <f t="shared" si="149"/>
        <v>-450</v>
      </c>
      <c r="KB49" s="199">
        <f t="shared" si="150"/>
        <v>-0.000376018760160862</v>
      </c>
      <c r="KC49" s="192"/>
      <c r="KD49" s="192"/>
      <c r="KE49" s="201"/>
      <c r="KF49" s="8" t="str">
        <f t="shared" si="151"/>
        <v>2026//4/20</v>
      </c>
      <c r="KG49" s="263">
        <v>732555.92</v>
      </c>
      <c r="KH49" s="12">
        <f t="shared" si="152"/>
        <v>732555.92</v>
      </c>
      <c r="KI49" s="12">
        <f t="shared" si="153"/>
        <v>0</v>
      </c>
      <c r="KJ49" s="199">
        <f t="shared" si="154"/>
        <v>0</v>
      </c>
      <c r="KK49" s="201"/>
      <c r="KL49" s="201"/>
      <c r="KN49" s="8" t="str">
        <f t="shared" si="155"/>
        <v>2026//4/20</v>
      </c>
      <c r="KO49" s="262">
        <v>8322775.95</v>
      </c>
      <c r="KP49" s="12">
        <f t="shared" si="156"/>
        <v>8322775.95</v>
      </c>
      <c r="KQ49" s="12">
        <f t="shared" si="157"/>
        <v>0</v>
      </c>
      <c r="KR49" s="199">
        <f t="shared" si="158"/>
        <v>0</v>
      </c>
      <c r="KS49" s="192"/>
      <c r="KT49" s="192"/>
      <c r="KV49" s="8" t="str">
        <f t="shared" si="159"/>
        <v>2026//4/20</v>
      </c>
      <c r="KW49" s="263">
        <v>994372.97</v>
      </c>
      <c r="KX49" s="12">
        <f t="shared" si="160"/>
        <v>994372.97</v>
      </c>
      <c r="KY49" s="12">
        <f t="shared" si="161"/>
        <v>0</v>
      </c>
      <c r="KZ49" s="199">
        <f t="shared" si="162"/>
        <v>0</v>
      </c>
      <c r="LA49" s="201"/>
      <c r="LB49" s="192"/>
      <c r="LD49" s="8" t="str">
        <f t="shared" si="163"/>
        <v>2026//4/20</v>
      </c>
      <c r="LE49" s="262">
        <v>488807.7</v>
      </c>
      <c r="LF49" s="12">
        <f t="shared" si="164"/>
        <v>471357.7</v>
      </c>
      <c r="LG49" s="12">
        <f t="shared" si="165"/>
        <v>17450</v>
      </c>
      <c r="LH49" s="199">
        <f t="shared" si="166"/>
        <v>0.0370207169629349</v>
      </c>
      <c r="LI49" s="192"/>
      <c r="LJ49" s="192"/>
      <c r="LL49" s="8" t="str">
        <f t="shared" si="167"/>
        <v>2026//4/20</v>
      </c>
      <c r="LM49" s="262">
        <v>3591835.02</v>
      </c>
      <c r="LN49" s="12">
        <f t="shared" si="168"/>
        <v>3589495.02</v>
      </c>
      <c r="LO49" s="12">
        <f t="shared" si="169"/>
        <v>2340</v>
      </c>
      <c r="LP49" s="199">
        <f t="shared" si="170"/>
        <v>0.000651902283458245</v>
      </c>
      <c r="LQ49" s="192"/>
      <c r="LR49" s="192"/>
      <c r="LT49" s="8" t="str">
        <f t="shared" si="171"/>
        <v>2026//4/20</v>
      </c>
      <c r="LU49" s="263">
        <v>2544062.9</v>
      </c>
      <c r="LV49" s="12">
        <f t="shared" si="172"/>
        <v>2560062.9</v>
      </c>
      <c r="LW49" s="12">
        <f t="shared" si="173"/>
        <v>-16000</v>
      </c>
      <c r="LX49" s="199">
        <f t="shared" si="174"/>
        <v>-0.00624984643931991</v>
      </c>
      <c r="LY49" s="192"/>
      <c r="LZ49" s="192"/>
      <c r="MB49" s="8" t="str">
        <f t="shared" si="175"/>
        <v>2026//4/20</v>
      </c>
      <c r="MC49" s="262">
        <v>717517.69</v>
      </c>
      <c r="MD49" s="12">
        <f t="shared" si="176"/>
        <v>729917.69</v>
      </c>
      <c r="ME49" s="12">
        <f t="shared" si="177"/>
        <v>-12400</v>
      </c>
      <c r="MF49" s="199">
        <f t="shared" si="178"/>
        <v>-0.0169882168494916</v>
      </c>
      <c r="MG49" s="192"/>
      <c r="MH49" s="192"/>
      <c r="MI49" s="8"/>
      <c r="MJ49" s="8"/>
      <c r="MK49" s="8" t="str">
        <f t="shared" si="179"/>
        <v>2026//4/20</v>
      </c>
      <c r="ML49" s="263">
        <v>220425.53</v>
      </c>
      <c r="MM49" s="12">
        <f t="shared" si="180"/>
        <v>220785.53</v>
      </c>
      <c r="MN49" s="12">
        <f t="shared" si="181"/>
        <v>-360</v>
      </c>
      <c r="MO49" s="199">
        <f t="shared" si="182"/>
        <v>-0.00163054163920978</v>
      </c>
      <c r="MP49" s="192"/>
      <c r="MQ49" s="201"/>
      <c r="MR49" s="201"/>
      <c r="MT49" s="8" t="str">
        <f t="shared" si="183"/>
        <v>2026//4/20</v>
      </c>
      <c r="MU49" s="262">
        <v>218514.8</v>
      </c>
      <c r="MV49" s="204">
        <f t="shared" si="184"/>
        <v>224814.8</v>
      </c>
      <c r="MW49" s="8">
        <f t="shared" si="185"/>
        <v>-6300</v>
      </c>
      <c r="MX49" s="192">
        <f t="shared" si="186"/>
        <v>-0.0280230660970719</v>
      </c>
      <c r="MY49" s="192"/>
      <c r="MZ49" s="192"/>
      <c r="NA49" s="192"/>
      <c r="NC49" s="8" t="str">
        <f t="shared" si="187"/>
        <v>2026//4/20</v>
      </c>
      <c r="ND49" s="262">
        <v>43091.48</v>
      </c>
      <c r="NE49" s="204">
        <f t="shared" si="188"/>
        <v>43091.48</v>
      </c>
      <c r="NF49" s="8">
        <f t="shared" si="189"/>
        <v>0</v>
      </c>
      <c r="NG49" s="192">
        <f t="shared" si="190"/>
        <v>0</v>
      </c>
      <c r="NH49" s="192"/>
      <c r="NI49" s="192"/>
      <c r="NJ49" s="192"/>
      <c r="NK49" s="192"/>
      <c r="NM49" s="8" t="str">
        <f t="shared" si="191"/>
        <v>2026//4/20</v>
      </c>
      <c r="NN49" s="262">
        <v>2560411.08</v>
      </c>
      <c r="NO49" s="8">
        <f t="shared" si="192"/>
        <v>2568811.08</v>
      </c>
      <c r="NP49" s="210">
        <f t="shared" si="193"/>
        <v>-8400</v>
      </c>
      <c r="NQ49" s="211">
        <f t="shared" si="194"/>
        <v>-0.00326999523841979</v>
      </c>
      <c r="NR49" s="192"/>
      <c r="NU49" s="8" t="str">
        <f t="shared" si="195"/>
        <v>2026//4/20</v>
      </c>
      <c r="NV49" s="262">
        <v>252076.5</v>
      </c>
      <c r="NW49" s="205">
        <f t="shared" si="196"/>
        <v>250726.5</v>
      </c>
      <c r="NX49" s="210">
        <f t="shared" si="197"/>
        <v>1350</v>
      </c>
      <c r="NY49" s="211">
        <f t="shared" si="198"/>
        <v>0.00538435306997864</v>
      </c>
      <c r="NZ49" s="201"/>
      <c r="OA49" s="200"/>
      <c r="OC49" s="8" t="str">
        <f t="shared" si="199"/>
        <v>2026//4/20</v>
      </c>
      <c r="OD49" s="262">
        <v>13633.97</v>
      </c>
      <c r="OE49" s="12">
        <f t="shared" si="200"/>
        <v>13518.97</v>
      </c>
      <c r="OF49" s="12">
        <f t="shared" si="201"/>
        <v>115</v>
      </c>
      <c r="OG49" s="199">
        <f t="shared" si="202"/>
        <v>0.00850656521909583</v>
      </c>
      <c r="OH49" s="192"/>
      <c r="OI49" s="192"/>
      <c r="OK49" s="8" t="str">
        <f t="shared" si="203"/>
        <v>2026//4/20</v>
      </c>
      <c r="OL49" s="262">
        <v>12950.65</v>
      </c>
      <c r="OM49" s="12">
        <f t="shared" si="204"/>
        <v>12517.65</v>
      </c>
      <c r="ON49" s="12">
        <f t="shared" si="205"/>
        <v>433</v>
      </c>
      <c r="OO49" s="199">
        <f t="shared" si="206"/>
        <v>0.0345911572859123</v>
      </c>
      <c r="OP49" s="192"/>
      <c r="OQ49" s="192"/>
      <c r="OT49" s="234" t="str">
        <f t="shared" si="207"/>
        <v>2026//4/20</v>
      </c>
      <c r="OU49" s="206">
        <v>145272.4066</v>
      </c>
      <c r="OV49" s="8">
        <f t="shared" si="208"/>
        <v>145152.4066</v>
      </c>
      <c r="OW49" s="191">
        <f t="shared" si="209"/>
        <v>120</v>
      </c>
      <c r="OX49" s="192">
        <f t="shared" si="210"/>
        <v>0.000826717260917946</v>
      </c>
    </row>
    <row r="50" s="9" customFormat="1" ht="17" customHeight="1" spans="1:414">
      <c r="A50" s="212"/>
      <c r="B50" s="212"/>
      <c r="C50" s="212" t="s">
        <v>476</v>
      </c>
      <c r="D50" s="264">
        <v>4325898.77</v>
      </c>
      <c r="E50" s="214">
        <f t="shared" si="8"/>
        <v>4368468.77</v>
      </c>
      <c r="F50" s="214">
        <f t="shared" si="9"/>
        <v>-42570</v>
      </c>
      <c r="G50" s="215">
        <f t="shared" si="10"/>
        <v>-0.0097448333137563</v>
      </c>
      <c r="H50" s="216">
        <f>(D50-D55)/D55</f>
        <v>-0.018560663661996</v>
      </c>
      <c r="I50" s="215"/>
      <c r="J50" s="215"/>
      <c r="K50" s="9" t="str">
        <f t="shared" si="11"/>
        <v>2026//4/17</v>
      </c>
      <c r="L50" s="264">
        <v>3133414.4</v>
      </c>
      <c r="M50" s="214">
        <f t="shared" si="12"/>
        <v>3139624.4</v>
      </c>
      <c r="N50" s="214">
        <f t="shared" si="13"/>
        <v>-6210</v>
      </c>
      <c r="O50" s="215">
        <f t="shared" si="14"/>
        <v>-0.00197794360369986</v>
      </c>
      <c r="P50" s="216">
        <f>(L50-L55)/L55</f>
        <v>-0.000516740741345613</v>
      </c>
      <c r="Q50" s="215"/>
      <c r="R50" s="214"/>
      <c r="S50" s="9" t="str">
        <f t="shared" si="15"/>
        <v>2026//4/17</v>
      </c>
      <c r="T50" s="264">
        <v>2288316.68</v>
      </c>
      <c r="U50" s="214">
        <f t="shared" si="16"/>
        <v>2267256.68</v>
      </c>
      <c r="V50" s="214">
        <f t="shared" si="17"/>
        <v>21060</v>
      </c>
      <c r="W50" s="215">
        <f t="shared" si="18"/>
        <v>0.0092887586067229</v>
      </c>
      <c r="X50" s="216">
        <f>(T50-T55)/T55</f>
        <v>0.00402784092790784</v>
      </c>
      <c r="Y50" s="215"/>
      <c r="Z50" s="214"/>
      <c r="AA50" s="9" t="str">
        <f t="shared" si="19"/>
        <v>2026//4/17</v>
      </c>
      <c r="AB50" s="264">
        <v>976296.86</v>
      </c>
      <c r="AC50" s="214">
        <f t="shared" si="20"/>
        <v>989776.86</v>
      </c>
      <c r="AD50" s="214">
        <f t="shared" si="21"/>
        <v>-13480</v>
      </c>
      <c r="AE50" s="215">
        <f t="shared" si="22"/>
        <v>-0.0136192313083577</v>
      </c>
      <c r="AF50" s="216">
        <f>(AB50-AB55)/AB55</f>
        <v>-0.0455568902616438</v>
      </c>
      <c r="AG50" s="215"/>
      <c r="AH50" s="214"/>
      <c r="AI50" s="9" t="str">
        <f t="shared" si="23"/>
        <v>2026//4/17</v>
      </c>
      <c r="AJ50" s="264">
        <v>742521.76</v>
      </c>
      <c r="AK50" s="214">
        <f t="shared" si="24"/>
        <v>752521.76</v>
      </c>
      <c r="AL50" s="214">
        <f t="shared" si="25"/>
        <v>-10000</v>
      </c>
      <c r="AM50" s="215">
        <f t="shared" si="26"/>
        <v>-0.0132886522776431</v>
      </c>
      <c r="AN50" s="216">
        <f>(AJ50-AJ55)/AJ55</f>
        <v>-0.0626166361090749</v>
      </c>
      <c r="AO50" s="216"/>
      <c r="AP50" s="214"/>
      <c r="AQ50" s="9" t="str">
        <f t="shared" si="27"/>
        <v>2026//4/17</v>
      </c>
      <c r="AR50" s="261">
        <v>1409945.49</v>
      </c>
      <c r="AS50" s="214">
        <f t="shared" si="28"/>
        <v>1467845.49</v>
      </c>
      <c r="AT50" s="214">
        <f t="shared" si="29"/>
        <v>-57900</v>
      </c>
      <c r="AU50" s="215">
        <f t="shared" si="30"/>
        <v>-0.0394455686204411</v>
      </c>
      <c r="AV50" s="216">
        <f>(AR50-AR55)/AR55</f>
        <v>-0.0570474885699204</v>
      </c>
      <c r="AW50" s="216"/>
      <c r="AX50" s="217"/>
      <c r="AY50" s="217"/>
      <c r="AZ50" s="9" t="str">
        <f t="shared" si="31"/>
        <v>2026//4/17</v>
      </c>
      <c r="BA50" s="261">
        <v>1951581.66</v>
      </c>
      <c r="BB50" s="218">
        <f t="shared" si="32"/>
        <v>1958781.66</v>
      </c>
      <c r="BC50" s="217">
        <f t="shared" si="33"/>
        <v>-7200</v>
      </c>
      <c r="BD50" s="216">
        <f t="shared" si="34"/>
        <v>-0.00367575424409477</v>
      </c>
      <c r="BE50" s="216">
        <f>(BA50-BA55)/BA55</f>
        <v>-0.00559472867721262</v>
      </c>
      <c r="BF50" s="216"/>
      <c r="BG50" s="219"/>
      <c r="BH50" s="9" t="str">
        <f t="shared" si="35"/>
        <v>2026//4/17</v>
      </c>
      <c r="BI50" s="261">
        <v>1675226.55</v>
      </c>
      <c r="BJ50" s="221">
        <f t="shared" si="36"/>
        <v>1662826.55</v>
      </c>
      <c r="BK50" s="221">
        <f t="shared" si="37"/>
        <v>12400</v>
      </c>
      <c r="BL50" s="222">
        <f t="shared" si="38"/>
        <v>0.00745718186902897</v>
      </c>
      <c r="BM50" s="223">
        <f>(BI50-BI55)/BI55</f>
        <v>0.0640233105825102</v>
      </c>
      <c r="BN50" s="224"/>
      <c r="BP50" s="9" t="str">
        <f t="shared" si="39"/>
        <v>2026//4/17</v>
      </c>
      <c r="BQ50" s="261">
        <v>1110562.39</v>
      </c>
      <c r="BR50" s="13">
        <f t="shared" si="40"/>
        <v>1115562.39</v>
      </c>
      <c r="BS50" s="13">
        <f t="shared" si="41"/>
        <v>-5000</v>
      </c>
      <c r="BT50" s="226">
        <f t="shared" si="42"/>
        <v>-0.00448204425393007</v>
      </c>
      <c r="BU50" s="224">
        <f>(BQ50-BQ55)/BQ55</f>
        <v>-0.00394632145394608</v>
      </c>
      <c r="BV50" s="224"/>
      <c r="BX50" s="9" t="str">
        <f t="shared" si="43"/>
        <v>2026//4/17</v>
      </c>
      <c r="BY50" s="261">
        <v>3138310.7</v>
      </c>
      <c r="BZ50" s="13">
        <f t="shared" si="44"/>
        <v>3201060.7</v>
      </c>
      <c r="CA50" s="13">
        <f t="shared" si="45"/>
        <v>-62750</v>
      </c>
      <c r="CB50" s="226">
        <f t="shared" si="46"/>
        <v>-0.0196028772587786</v>
      </c>
      <c r="CC50" s="224">
        <f>(BY50-BY55)/BY55</f>
        <v>-0.0390996881914686</v>
      </c>
      <c r="CD50" s="228"/>
      <c r="CF50" s="9" t="str">
        <f t="shared" si="47"/>
        <v>2026//4/17</v>
      </c>
      <c r="CG50" s="264">
        <v>1393453.9</v>
      </c>
      <c r="CH50" s="13">
        <f t="shared" si="48"/>
        <v>1392303.9</v>
      </c>
      <c r="CI50" s="13">
        <f t="shared" si="49"/>
        <v>1150</v>
      </c>
      <c r="CJ50" s="226">
        <f t="shared" si="50"/>
        <v>0.000825969100567771</v>
      </c>
      <c r="CK50" s="224">
        <f>(CG50-CG55)/CG55</f>
        <v>-0.0103337781947905</v>
      </c>
      <c r="CL50" s="228"/>
      <c r="CN50" s="9" t="str">
        <f t="shared" si="51"/>
        <v>2026//4/17</v>
      </c>
      <c r="CO50" s="264">
        <v>662146.48</v>
      </c>
      <c r="CP50" s="13">
        <f t="shared" si="52"/>
        <v>664746.48</v>
      </c>
      <c r="CQ50" s="13">
        <f t="shared" si="53"/>
        <v>-2600</v>
      </c>
      <c r="CR50" s="226">
        <f t="shared" si="54"/>
        <v>-0.00391126553990929</v>
      </c>
      <c r="CS50" s="228">
        <f>(CO50-CO55)/CO55</f>
        <v>-0.0074946059821825</v>
      </c>
      <c r="CT50" s="228"/>
      <c r="CV50" s="9" t="str">
        <f t="shared" si="55"/>
        <v>2026//4/17</v>
      </c>
      <c r="CW50" s="264">
        <v>590990.4</v>
      </c>
      <c r="CX50" s="13">
        <f t="shared" si="56"/>
        <v>591240.4</v>
      </c>
      <c r="CY50" s="13">
        <f t="shared" si="57"/>
        <v>-250</v>
      </c>
      <c r="CZ50" s="226">
        <f t="shared" si="58"/>
        <v>-0.000422839846532815</v>
      </c>
      <c r="DA50" s="224">
        <f>(CW50-CW55)/CW55</f>
        <v>-0.0170480892501568</v>
      </c>
      <c r="DB50" s="224"/>
      <c r="DC50" s="229"/>
      <c r="DD50" s="9" t="str">
        <f t="shared" si="59"/>
        <v>2026//4/17</v>
      </c>
      <c r="DE50" s="261">
        <v>2356917.99</v>
      </c>
      <c r="DF50" s="13">
        <f t="shared" si="60"/>
        <v>2340117.99</v>
      </c>
      <c r="DG50" s="13">
        <f t="shared" si="61"/>
        <v>16800</v>
      </c>
      <c r="DH50" s="226">
        <f t="shared" si="62"/>
        <v>0.00717912518590569</v>
      </c>
      <c r="DI50" s="224">
        <f>(DE50-DE55)/DE55</f>
        <v>-0.0176716884450985</v>
      </c>
      <c r="DJ50" s="224"/>
      <c r="DL50" s="9" t="str">
        <f t="shared" si="63"/>
        <v>2026//4/17</v>
      </c>
      <c r="DM50" s="264">
        <v>1247300.36</v>
      </c>
      <c r="DN50" s="13">
        <f t="shared" si="64"/>
        <v>1256500.36</v>
      </c>
      <c r="DO50" s="13">
        <f t="shared" si="65"/>
        <v>-9200</v>
      </c>
      <c r="DP50" s="226">
        <f t="shared" si="66"/>
        <v>-0.00732192388707314</v>
      </c>
      <c r="DQ50" s="224">
        <f>(DM50-DM55)/DM55</f>
        <v>-0.0519875209276374</v>
      </c>
      <c r="DR50" s="224"/>
      <c r="DT50" s="9" t="str">
        <f t="shared" si="67"/>
        <v>2026//4/17</v>
      </c>
      <c r="DU50" s="264">
        <v>1491989.48</v>
      </c>
      <c r="DV50" s="13">
        <f t="shared" si="68"/>
        <v>1508789.48</v>
      </c>
      <c r="DW50" s="13">
        <f t="shared" si="69"/>
        <v>-16800</v>
      </c>
      <c r="DX50" s="226">
        <f t="shared" si="70"/>
        <v>-0.0111347542004336</v>
      </c>
      <c r="DY50" s="224">
        <f>(DU50-DU55)/DU55</f>
        <v>-0.0645185771743883</v>
      </c>
      <c r="DZ50" s="224"/>
      <c r="EB50" s="9" t="str">
        <f t="shared" si="71"/>
        <v>2026//4/17</v>
      </c>
      <c r="EC50" s="264">
        <v>4782866.82</v>
      </c>
      <c r="ED50" s="13">
        <f t="shared" si="72"/>
        <v>4803866.82</v>
      </c>
      <c r="EE50" s="13">
        <f t="shared" si="73"/>
        <v>-21000</v>
      </c>
      <c r="EF50" s="226">
        <f t="shared" si="74"/>
        <v>-0.00437147839165117</v>
      </c>
      <c r="EG50" s="224">
        <f>(EC50-EC55)/EC55</f>
        <v>-0.0562925432671531</v>
      </c>
      <c r="EH50" s="224"/>
      <c r="EJ50" s="9" t="str">
        <f t="shared" si="75"/>
        <v>2026//4/17</v>
      </c>
      <c r="EK50" s="261">
        <v>1382122.96</v>
      </c>
      <c r="EL50" s="13">
        <f t="shared" si="76"/>
        <v>1408922.96</v>
      </c>
      <c r="EM50" s="13">
        <f t="shared" si="77"/>
        <v>-26800</v>
      </c>
      <c r="EN50" s="226">
        <f t="shared" si="78"/>
        <v>-0.0190216220197022</v>
      </c>
      <c r="EO50" s="224">
        <f>(EK50-EK55)/EK55</f>
        <v>-0.0739687113423032</v>
      </c>
      <c r="EP50" s="224"/>
      <c r="ER50" s="9" t="str">
        <f t="shared" si="79"/>
        <v>2026//4/17</v>
      </c>
      <c r="ES50" s="264">
        <v>472247.02</v>
      </c>
      <c r="ET50" s="13">
        <f t="shared" si="80"/>
        <v>480947.02</v>
      </c>
      <c r="EU50" s="13">
        <f t="shared" si="81"/>
        <v>-8700</v>
      </c>
      <c r="EV50" s="226">
        <f t="shared" si="82"/>
        <v>-0.0180893105440179</v>
      </c>
      <c r="EW50" s="224">
        <f>(ES50-ES55)/ES55</f>
        <v>-0.0727473331770133</v>
      </c>
      <c r="EX50" s="224"/>
      <c r="EZ50" s="9" t="str">
        <f t="shared" si="83"/>
        <v>2026//4/17</v>
      </c>
      <c r="FA50" s="264">
        <v>734308</v>
      </c>
      <c r="FB50" s="13">
        <f t="shared" si="84"/>
        <v>741808</v>
      </c>
      <c r="FC50" s="13">
        <f t="shared" si="85"/>
        <v>-7500</v>
      </c>
      <c r="FD50" s="226">
        <f t="shared" si="86"/>
        <v>-0.0101104328882945</v>
      </c>
      <c r="FE50" s="224">
        <f>(FA50-FA55)/FA55</f>
        <v>-0.00176724559819904</v>
      </c>
      <c r="FF50" s="224"/>
      <c r="FG50" s="224"/>
      <c r="FH50" s="9" t="str">
        <f t="shared" si="87"/>
        <v>2026//4/17</v>
      </c>
      <c r="FI50" s="261">
        <v>1193095.33</v>
      </c>
      <c r="FJ50" s="13">
        <f t="shared" si="88"/>
        <v>1172595.33</v>
      </c>
      <c r="FK50" s="13">
        <f t="shared" si="89"/>
        <v>20500</v>
      </c>
      <c r="FL50" s="226">
        <f t="shared" si="90"/>
        <v>0.0174825871087172</v>
      </c>
      <c r="FM50" s="228">
        <f>(FI50-FI55)/FI55</f>
        <v>0.117868031897038</v>
      </c>
      <c r="FN50" s="228"/>
      <c r="FP50" s="9" t="str">
        <f t="shared" si="91"/>
        <v>2026//4/17</v>
      </c>
      <c r="FQ50" s="264">
        <v>2145118.73</v>
      </c>
      <c r="FR50" s="13">
        <f t="shared" si="92"/>
        <v>2161918.73</v>
      </c>
      <c r="FS50" s="13">
        <f t="shared" si="93"/>
        <v>-16800</v>
      </c>
      <c r="FT50" s="226">
        <f t="shared" si="94"/>
        <v>-0.00777087490240671</v>
      </c>
      <c r="FU50" s="224">
        <f>(FQ50-FQ55)/FQ55</f>
        <v>-0.0326709152324672</v>
      </c>
      <c r="FV50" s="224"/>
      <c r="FX50" s="9" t="str">
        <f t="shared" si="95"/>
        <v>2026//4/17</v>
      </c>
      <c r="FY50" s="264">
        <v>8330682.05</v>
      </c>
      <c r="FZ50" s="13">
        <f t="shared" si="96"/>
        <v>8251882.05</v>
      </c>
      <c r="GA50" s="13">
        <f t="shared" si="97"/>
        <v>78800</v>
      </c>
      <c r="GB50" s="226">
        <f t="shared" si="98"/>
        <v>0.00954933668738031</v>
      </c>
      <c r="GC50" s="224">
        <f>(FY50-FY55)/FY55</f>
        <v>-0.00100730511459592</v>
      </c>
      <c r="GD50" s="224"/>
      <c r="GF50" s="9" t="str">
        <f t="shared" si="99"/>
        <v>2026//4/17</v>
      </c>
      <c r="GG50" s="264">
        <v>4682069.49</v>
      </c>
      <c r="GH50" s="13">
        <f t="shared" si="100"/>
        <v>4597469.49</v>
      </c>
      <c r="GI50" s="13">
        <f t="shared" si="101"/>
        <v>84600</v>
      </c>
      <c r="GJ50" s="226">
        <f t="shared" si="102"/>
        <v>0.0184014271729294</v>
      </c>
      <c r="GK50" s="224">
        <f>(GG50-GG55)/GG55</f>
        <v>0.0159485497960887</v>
      </c>
      <c r="GL50" s="224"/>
      <c r="GN50" s="9" t="str">
        <f t="shared" si="103"/>
        <v>2026//4/17</v>
      </c>
      <c r="GO50" s="261">
        <v>1821838.12</v>
      </c>
      <c r="GP50" s="13">
        <f t="shared" si="104"/>
        <v>1791718.12</v>
      </c>
      <c r="GQ50" s="13">
        <f t="shared" si="105"/>
        <v>30120</v>
      </c>
      <c r="GR50" s="226">
        <f t="shared" si="106"/>
        <v>0.0168106800192432</v>
      </c>
      <c r="GS50" s="224">
        <f>(GO50-GO55)/GO55</f>
        <v>0.0324028769946668</v>
      </c>
      <c r="GT50" s="224"/>
      <c r="GV50" s="9" t="str">
        <f t="shared" si="107"/>
        <v>2026//4/17</v>
      </c>
      <c r="GW50" s="264">
        <v>929549.4</v>
      </c>
      <c r="GX50" s="13">
        <f t="shared" si="108"/>
        <v>937949.4</v>
      </c>
      <c r="GY50" s="13">
        <f t="shared" si="109"/>
        <v>-8400</v>
      </c>
      <c r="GZ50" s="226">
        <f t="shared" si="110"/>
        <v>-0.00895570699229617</v>
      </c>
      <c r="HA50" s="224">
        <f>(GW50-GW55)/GW55</f>
        <v>-0.0374838441525307</v>
      </c>
      <c r="HB50" s="224"/>
      <c r="HD50" s="9" t="str">
        <f t="shared" si="111"/>
        <v>2026//4/17</v>
      </c>
      <c r="HE50" s="261">
        <v>1157864.67</v>
      </c>
      <c r="HF50" s="13">
        <f t="shared" si="112"/>
        <v>1149864.67</v>
      </c>
      <c r="HG50" s="13">
        <f t="shared" si="113"/>
        <v>8000</v>
      </c>
      <c r="HH50" s="226">
        <f t="shared" si="114"/>
        <v>0.00695734046685685</v>
      </c>
      <c r="HI50" s="228">
        <f>(HE50-HE55)/HE55</f>
        <v>0.0706449337822566</v>
      </c>
      <c r="HJ50" s="224"/>
      <c r="HL50" s="9" t="str">
        <f t="shared" si="115"/>
        <v>2026//4/17</v>
      </c>
      <c r="HM50" s="264">
        <v>151754.25</v>
      </c>
      <c r="HN50" s="13">
        <f t="shared" si="116"/>
        <v>152154.25</v>
      </c>
      <c r="HO50" s="13">
        <f t="shared" si="117"/>
        <v>-400</v>
      </c>
      <c r="HP50" s="226">
        <f t="shared" si="118"/>
        <v>-0.00262891112144419</v>
      </c>
      <c r="HQ50" s="224">
        <f>(HM50-HM55)/HM55</f>
        <v>-0.0171627400152522</v>
      </c>
      <c r="HR50" s="224"/>
      <c r="HT50" s="9" t="str">
        <f t="shared" si="119"/>
        <v>2026//4/17</v>
      </c>
      <c r="HU50" s="261">
        <v>237168.82</v>
      </c>
      <c r="HV50" s="13">
        <f t="shared" si="120"/>
        <v>240768.82</v>
      </c>
      <c r="HW50" s="13">
        <f t="shared" si="121"/>
        <v>-3600</v>
      </c>
      <c r="HX50" s="226">
        <f t="shared" si="122"/>
        <v>-0.0149521021866536</v>
      </c>
      <c r="HY50" s="224">
        <f>(HU50-HU55)/HU55</f>
        <v>-0.0880536159621134</v>
      </c>
      <c r="HZ50" s="224"/>
      <c r="IB50" s="9" t="str">
        <f t="shared" si="123"/>
        <v>2026//4/17</v>
      </c>
      <c r="IC50" s="264">
        <v>378809.79</v>
      </c>
      <c r="ID50" s="13">
        <f t="shared" si="124"/>
        <v>375534.79</v>
      </c>
      <c r="IE50" s="13">
        <f t="shared" si="125"/>
        <v>3275</v>
      </c>
      <c r="IF50" s="226">
        <f t="shared" si="126"/>
        <v>0.00872089640483109</v>
      </c>
      <c r="IG50" s="228">
        <f>(IC50-IC55)/IC55</f>
        <v>-0.05050634300765</v>
      </c>
      <c r="IH50" s="224"/>
      <c r="IJ50" s="9" t="str">
        <f t="shared" si="127"/>
        <v>2026//4/17</v>
      </c>
      <c r="IK50" s="261">
        <v>596236.29</v>
      </c>
      <c r="IL50" s="13">
        <f t="shared" si="128"/>
        <v>597596.29</v>
      </c>
      <c r="IM50" s="13">
        <f t="shared" si="129"/>
        <v>-1360</v>
      </c>
      <c r="IN50" s="226">
        <f t="shared" si="130"/>
        <v>-0.00227578387409333</v>
      </c>
      <c r="IO50" s="224">
        <f>(IK50-IK55)/IK55</f>
        <v>0.033703406795491</v>
      </c>
      <c r="IP50" s="224"/>
      <c r="IR50" s="9" t="str">
        <f t="shared" si="131"/>
        <v>2026//4/17</v>
      </c>
      <c r="IS50" s="264">
        <v>143289</v>
      </c>
      <c r="IT50" s="13">
        <f t="shared" si="132"/>
        <v>143589</v>
      </c>
      <c r="IU50" s="13">
        <f t="shared" si="133"/>
        <v>-300</v>
      </c>
      <c r="IV50" s="226">
        <f t="shared" si="134"/>
        <v>-0.00208929653385705</v>
      </c>
      <c r="IW50" s="224">
        <f>(IS50-IS55)/IS55</f>
        <v>0.0170346868811618</v>
      </c>
      <c r="IX50" s="224"/>
      <c r="IZ50" s="9" t="str">
        <f t="shared" si="135"/>
        <v>2026//4/17</v>
      </c>
      <c r="JA50" s="264">
        <v>4921129.15</v>
      </c>
      <c r="JB50" s="13">
        <f t="shared" si="136"/>
        <v>4921529.15</v>
      </c>
      <c r="JC50" s="13">
        <f t="shared" si="137"/>
        <v>-400</v>
      </c>
      <c r="JD50" s="226">
        <f t="shared" si="138"/>
        <v>-8.12755523351924e-5</v>
      </c>
      <c r="JE50" s="224">
        <f>(JA50-JA55)/JA55</f>
        <v>0.0140951612764129</v>
      </c>
      <c r="JF50" s="224"/>
      <c r="JH50" s="9" t="str">
        <f t="shared" si="139"/>
        <v>2026//4/17</v>
      </c>
      <c r="JI50" s="264">
        <v>1350807.99</v>
      </c>
      <c r="JJ50" s="13">
        <f t="shared" si="140"/>
        <v>1351887.99</v>
      </c>
      <c r="JK50" s="13">
        <f t="shared" si="141"/>
        <v>-1080</v>
      </c>
      <c r="JL50" s="226">
        <f t="shared" si="142"/>
        <v>-0.000798882753592626</v>
      </c>
      <c r="JM50" s="224">
        <f>(JI50-JI55)/JI55</f>
        <v>-0.0264643310006308</v>
      </c>
      <c r="JN50" s="224"/>
      <c r="JO50" s="224"/>
      <c r="JP50" s="9" t="str">
        <f t="shared" si="143"/>
        <v>2026//4/17</v>
      </c>
      <c r="JQ50" s="261">
        <v>1034690.41</v>
      </c>
      <c r="JR50" s="13">
        <f t="shared" si="144"/>
        <v>1039090.41</v>
      </c>
      <c r="JS50" s="13">
        <f t="shared" si="145"/>
        <v>-4400</v>
      </c>
      <c r="JT50" s="226">
        <f t="shared" si="146"/>
        <v>-0.0042344727250442</v>
      </c>
      <c r="JU50" s="224">
        <f>(JQ50-JQ55)/JQ55</f>
        <v>-0.00966701063039045</v>
      </c>
      <c r="JV50" s="224"/>
      <c r="JW50" s="228"/>
      <c r="JX50" s="9" t="str">
        <f t="shared" si="147"/>
        <v>2026//4/17</v>
      </c>
      <c r="JY50" s="264">
        <v>1196748.8</v>
      </c>
      <c r="JZ50" s="13">
        <f t="shared" si="148"/>
        <v>1196848.8</v>
      </c>
      <c r="KA50" s="13">
        <f t="shared" si="149"/>
        <v>-100</v>
      </c>
      <c r="KB50" s="226">
        <f t="shared" si="150"/>
        <v>-8.35527428360207e-5</v>
      </c>
      <c r="KC50" s="224">
        <f>(JY50-JY55)/JY55</f>
        <v>-0.00523669530280068</v>
      </c>
      <c r="KD50" s="224"/>
      <c r="KE50" s="228"/>
      <c r="KF50" s="9" t="str">
        <f t="shared" si="151"/>
        <v>2026//4/17</v>
      </c>
      <c r="KG50" s="261">
        <v>732555.92</v>
      </c>
      <c r="KH50" s="13">
        <f t="shared" si="152"/>
        <v>732555.92</v>
      </c>
      <c r="KI50" s="13">
        <f t="shared" si="153"/>
        <v>0</v>
      </c>
      <c r="KJ50" s="226">
        <f t="shared" si="154"/>
        <v>0</v>
      </c>
      <c r="KK50" s="228">
        <f>(KG50-KG55)/KG55</f>
        <v>0</v>
      </c>
      <c r="KL50" s="228"/>
      <c r="KN50" s="9" t="str">
        <f t="shared" si="155"/>
        <v>2026//4/17</v>
      </c>
      <c r="KO50" s="264">
        <v>8322775.95</v>
      </c>
      <c r="KP50" s="13">
        <f t="shared" si="156"/>
        <v>8322775.95</v>
      </c>
      <c r="KQ50" s="13">
        <f t="shared" si="157"/>
        <v>0</v>
      </c>
      <c r="KR50" s="226">
        <f t="shared" si="158"/>
        <v>0</v>
      </c>
      <c r="KS50" s="224">
        <f>(KO50-KO55)/KO55</f>
        <v>0.000240362198431746</v>
      </c>
      <c r="KT50" s="224"/>
      <c r="KV50" s="9" t="str">
        <f t="shared" si="159"/>
        <v>2026//4/17</v>
      </c>
      <c r="KW50" s="261">
        <v>994372.97</v>
      </c>
      <c r="KX50" s="13">
        <f t="shared" si="160"/>
        <v>1000772.97</v>
      </c>
      <c r="KY50" s="13">
        <f t="shared" si="161"/>
        <v>-6400</v>
      </c>
      <c r="KZ50" s="226">
        <f t="shared" si="162"/>
        <v>-0.00639505681293531</v>
      </c>
      <c r="LA50" s="228">
        <f>(KW50-KW55)/KW55</f>
        <v>0.0320714757571248</v>
      </c>
      <c r="LB50" s="224"/>
      <c r="LD50" s="9" t="str">
        <f t="shared" si="163"/>
        <v>2026//4/17</v>
      </c>
      <c r="LE50" s="264">
        <v>471357.7</v>
      </c>
      <c r="LF50" s="13">
        <f t="shared" si="164"/>
        <v>467357.7</v>
      </c>
      <c r="LG50" s="13">
        <f t="shared" si="165"/>
        <v>4000</v>
      </c>
      <c r="LH50" s="226">
        <f t="shared" si="166"/>
        <v>0.00855875488945619</v>
      </c>
      <c r="LI50" s="224">
        <f>(LE50-LE55)/LE55</f>
        <v>0.0302727145357335</v>
      </c>
      <c r="LJ50" s="224"/>
      <c r="LL50" s="9" t="str">
        <f t="shared" si="167"/>
        <v>2026//4/17</v>
      </c>
      <c r="LM50" s="264">
        <v>3589495.02</v>
      </c>
      <c r="LN50" s="13">
        <f t="shared" si="168"/>
        <v>3535135.02</v>
      </c>
      <c r="LO50" s="13">
        <f t="shared" si="169"/>
        <v>54360</v>
      </c>
      <c r="LP50" s="226">
        <f t="shared" si="170"/>
        <v>0.0153770647209961</v>
      </c>
      <c r="LQ50" s="224">
        <f>(LM50-LM55)/LM55</f>
        <v>0.0237696278472023</v>
      </c>
      <c r="LR50" s="224"/>
      <c r="LT50" s="9" t="str">
        <f t="shared" si="171"/>
        <v>2026//4/17</v>
      </c>
      <c r="LU50" s="261">
        <v>2560062.9</v>
      </c>
      <c r="LV50" s="13">
        <f t="shared" si="172"/>
        <v>2576262.9</v>
      </c>
      <c r="LW50" s="13">
        <f t="shared" si="173"/>
        <v>-16200</v>
      </c>
      <c r="LX50" s="226">
        <f t="shared" si="174"/>
        <v>-0.00628817812033081</v>
      </c>
      <c r="LY50" s="224">
        <f>(LU50-LU55)/LU55</f>
        <v>-0.0171231371245776</v>
      </c>
      <c r="LZ50" s="224"/>
      <c r="MB50" s="9" t="str">
        <f t="shared" si="175"/>
        <v>2026//4/17</v>
      </c>
      <c r="MC50" s="264">
        <v>729917.69</v>
      </c>
      <c r="MD50" s="13">
        <f t="shared" si="176"/>
        <v>742017.69</v>
      </c>
      <c r="ME50" s="13">
        <f t="shared" si="177"/>
        <v>-12100</v>
      </c>
      <c r="MF50" s="226">
        <f t="shared" si="178"/>
        <v>-0.0163068888559786</v>
      </c>
      <c r="MG50" s="224">
        <f>(MC50-MC55)/MC55</f>
        <v>-0.0278363180281488</v>
      </c>
      <c r="MH50" s="224"/>
      <c r="MI50" s="9"/>
      <c r="MJ50" s="9"/>
      <c r="MK50" s="9" t="str">
        <f t="shared" si="179"/>
        <v>2026//4/17</v>
      </c>
      <c r="ML50" s="261">
        <v>220785.53</v>
      </c>
      <c r="MM50" s="13">
        <f t="shared" si="180"/>
        <v>220305.53</v>
      </c>
      <c r="MN50" s="13">
        <f t="shared" si="181"/>
        <v>480</v>
      </c>
      <c r="MO50" s="226">
        <f t="shared" si="182"/>
        <v>0.00217879233444571</v>
      </c>
      <c r="MP50" s="224">
        <f>(ML50-ML55)/ML55</f>
        <v>0.0245005313784755</v>
      </c>
      <c r="MQ50" s="228"/>
      <c r="MR50" s="228"/>
      <c r="MT50" s="9" t="str">
        <f t="shared" si="183"/>
        <v>2026//4/17</v>
      </c>
      <c r="MU50" s="264">
        <v>224814.8</v>
      </c>
      <c r="MV50" s="231">
        <f t="shared" si="184"/>
        <v>228414.8</v>
      </c>
      <c r="MW50" s="9">
        <f t="shared" si="185"/>
        <v>-3600</v>
      </c>
      <c r="MX50" s="224">
        <f t="shared" si="186"/>
        <v>-0.0157608000882605</v>
      </c>
      <c r="MY50" s="224">
        <f>(MU50-MU55)/MU55</f>
        <v>-0.123579614119731</v>
      </c>
      <c r="MZ50" s="224"/>
      <c r="NA50" s="224"/>
      <c r="NC50" s="9" t="str">
        <f t="shared" si="187"/>
        <v>2026//4/17</v>
      </c>
      <c r="ND50" s="264">
        <v>43091.48</v>
      </c>
      <c r="NE50" s="231">
        <f t="shared" si="188"/>
        <v>43091.48</v>
      </c>
      <c r="NF50" s="9">
        <f t="shared" si="189"/>
        <v>0</v>
      </c>
      <c r="NG50" s="224">
        <f t="shared" si="190"/>
        <v>0</v>
      </c>
      <c r="NH50" s="224">
        <f>(ND50-ND55)/ND55</f>
        <v>-0.0226801186986692</v>
      </c>
      <c r="NI50" s="224"/>
      <c r="NJ50" s="224"/>
      <c r="NK50" s="224"/>
      <c r="NM50" s="9" t="str">
        <f t="shared" si="191"/>
        <v>2026//4/17</v>
      </c>
      <c r="NN50" s="264">
        <v>2568811.08</v>
      </c>
      <c r="NO50" s="9">
        <f t="shared" si="192"/>
        <v>2572111.08</v>
      </c>
      <c r="NP50" s="9">
        <f t="shared" si="193"/>
        <v>-3300</v>
      </c>
      <c r="NQ50" s="224">
        <f t="shared" si="194"/>
        <v>-0.00128299280138399</v>
      </c>
      <c r="NR50" s="224">
        <f>(NN50-NN55)/NN55</f>
        <v>-0.0176296625734593</v>
      </c>
      <c r="NU50" s="9" t="str">
        <f t="shared" si="195"/>
        <v>2026//4/17</v>
      </c>
      <c r="NV50" s="264">
        <v>250726.5</v>
      </c>
      <c r="NW50" s="232">
        <f t="shared" si="196"/>
        <v>250276.5</v>
      </c>
      <c r="NX50" s="9">
        <f t="shared" si="197"/>
        <v>450</v>
      </c>
      <c r="NY50" s="224">
        <f t="shared" si="198"/>
        <v>0.00179801139939227</v>
      </c>
      <c r="NZ50" s="228">
        <f>(NV50-NV55)/NV55</f>
        <v>0.00480910845140697</v>
      </c>
      <c r="OA50" s="227"/>
      <c r="OC50" s="9" t="str">
        <f t="shared" si="199"/>
        <v>2026//4/17</v>
      </c>
      <c r="OD50" s="264">
        <v>13518.97</v>
      </c>
      <c r="OE50" s="13">
        <f t="shared" si="200"/>
        <v>13193.97</v>
      </c>
      <c r="OF50" s="13">
        <f t="shared" si="201"/>
        <v>325</v>
      </c>
      <c r="OG50" s="226">
        <f t="shared" si="202"/>
        <v>0.0246324646789405</v>
      </c>
      <c r="OH50" s="224">
        <f>(OD50-OD55)/OD55</f>
        <v>0.0701339431661755</v>
      </c>
      <c r="OI50" s="224"/>
      <c r="OK50" s="9" t="str">
        <f t="shared" si="203"/>
        <v>2026//4/17</v>
      </c>
      <c r="OL50" s="264">
        <v>12517.65</v>
      </c>
      <c r="OM50" s="13">
        <f t="shared" si="204"/>
        <v>12275.65</v>
      </c>
      <c r="ON50" s="13">
        <f t="shared" si="205"/>
        <v>242</v>
      </c>
      <c r="OO50" s="226">
        <f t="shared" si="206"/>
        <v>0.0197138237079096</v>
      </c>
      <c r="OP50" s="224">
        <f>(OL50-OL55)/OL55</f>
        <v>0.0685466488542125</v>
      </c>
      <c r="OQ50" s="224"/>
      <c r="OT50" s="234" t="str">
        <f t="shared" si="207"/>
        <v>2026//4/17</v>
      </c>
      <c r="OU50" s="206">
        <v>145152.4066</v>
      </c>
      <c r="OV50" s="8">
        <f t="shared" si="208"/>
        <v>145032.4066</v>
      </c>
      <c r="OW50" s="191">
        <f t="shared" si="209"/>
        <v>120</v>
      </c>
      <c r="OX50" s="192">
        <f t="shared" si="210"/>
        <v>0.000827401287844313</v>
      </c>
    </row>
    <row r="51" s="8" customFormat="1" ht="17" customHeight="1" spans="1:414">
      <c r="A51" s="15"/>
      <c r="B51" s="15"/>
      <c r="C51" s="15" t="s">
        <v>477</v>
      </c>
      <c r="D51" s="262">
        <v>4368468.77</v>
      </c>
      <c r="E51" s="19">
        <f t="shared" si="8"/>
        <v>4392048.77</v>
      </c>
      <c r="F51" s="19">
        <f t="shared" si="9"/>
        <v>-23580</v>
      </c>
      <c r="G51" s="172">
        <f t="shared" si="10"/>
        <v>-0.00536879284243467</v>
      </c>
      <c r="H51" s="18"/>
      <c r="I51" s="172"/>
      <c r="J51" s="172"/>
      <c r="K51" s="8" t="str">
        <f t="shared" si="11"/>
        <v>2026//4/16</v>
      </c>
      <c r="L51" s="262">
        <v>3139624.4</v>
      </c>
      <c r="M51" s="19">
        <f t="shared" si="12"/>
        <v>3138094.4</v>
      </c>
      <c r="N51" s="19">
        <f t="shared" si="13"/>
        <v>1530</v>
      </c>
      <c r="O51" s="172">
        <f t="shared" si="14"/>
        <v>0.000487557034613108</v>
      </c>
      <c r="P51" s="18"/>
      <c r="Q51" s="172"/>
      <c r="R51" s="19"/>
      <c r="S51" s="8" t="str">
        <f t="shared" si="15"/>
        <v>2026//4/16</v>
      </c>
      <c r="T51" s="262">
        <v>2267256.68</v>
      </c>
      <c r="U51" s="19">
        <f t="shared" si="16"/>
        <v>2246826.68</v>
      </c>
      <c r="V51" s="19">
        <f t="shared" si="17"/>
        <v>20430</v>
      </c>
      <c r="W51" s="172">
        <f t="shared" si="18"/>
        <v>0.00909282419594555</v>
      </c>
      <c r="X51" s="18"/>
      <c r="Y51" s="172"/>
      <c r="Z51" s="19"/>
      <c r="AA51" s="8" t="str">
        <f t="shared" si="19"/>
        <v>2026//4/16</v>
      </c>
      <c r="AB51" s="262">
        <v>989776.86</v>
      </c>
      <c r="AC51" s="19">
        <f t="shared" si="20"/>
        <v>985776.86</v>
      </c>
      <c r="AD51" s="19">
        <f t="shared" si="21"/>
        <v>4000</v>
      </c>
      <c r="AE51" s="172">
        <f t="shared" si="22"/>
        <v>0.00405771342613987</v>
      </c>
      <c r="AF51" s="18"/>
      <c r="AG51" s="172"/>
      <c r="AH51" s="19"/>
      <c r="AI51" s="8" t="str">
        <f t="shared" si="23"/>
        <v>2026//4/16</v>
      </c>
      <c r="AJ51" s="262">
        <v>752521.76</v>
      </c>
      <c r="AK51" s="19">
        <f t="shared" si="24"/>
        <v>751121.76</v>
      </c>
      <c r="AL51" s="19">
        <f t="shared" si="25"/>
        <v>1400</v>
      </c>
      <c r="AM51" s="172">
        <f t="shared" si="26"/>
        <v>0.00186387890027311</v>
      </c>
      <c r="AN51" s="18"/>
      <c r="AO51" s="18"/>
      <c r="AP51" s="19"/>
      <c r="AQ51" s="8" t="str">
        <f t="shared" si="27"/>
        <v>2026//4/16</v>
      </c>
      <c r="AR51" s="263">
        <v>1467845.49</v>
      </c>
      <c r="AS51" s="19">
        <f t="shared" si="28"/>
        <v>1491445.49</v>
      </c>
      <c r="AT51" s="19">
        <f t="shared" si="29"/>
        <v>-23600</v>
      </c>
      <c r="AU51" s="172">
        <f t="shared" si="30"/>
        <v>-0.0158235752886953</v>
      </c>
      <c r="AV51" s="18"/>
      <c r="AW51" s="18"/>
      <c r="AX51" s="17"/>
      <c r="AY51" s="17"/>
      <c r="AZ51" s="8" t="str">
        <f t="shared" si="31"/>
        <v>2026//4/16</v>
      </c>
      <c r="BA51" s="263">
        <v>1958781.66</v>
      </c>
      <c r="BB51" s="129">
        <f t="shared" si="32"/>
        <v>1957971.66</v>
      </c>
      <c r="BC51" s="17">
        <f t="shared" si="33"/>
        <v>810</v>
      </c>
      <c r="BD51" s="18">
        <f t="shared" si="34"/>
        <v>0.000413693423938526</v>
      </c>
      <c r="BE51" s="18"/>
      <c r="BF51" s="18"/>
      <c r="BG51" s="74"/>
      <c r="BH51" s="8" t="str">
        <f t="shared" si="35"/>
        <v>2026//4/16</v>
      </c>
      <c r="BI51" s="263">
        <v>1662826.55</v>
      </c>
      <c r="BJ51" s="195">
        <f t="shared" si="36"/>
        <v>1614926.55</v>
      </c>
      <c r="BK51" s="195">
        <f t="shared" si="37"/>
        <v>47900</v>
      </c>
      <c r="BL51" s="196">
        <f t="shared" si="38"/>
        <v>0.0296607916935913</v>
      </c>
      <c r="BM51" s="197"/>
      <c r="BN51" s="192"/>
      <c r="BP51" s="8" t="str">
        <f t="shared" si="39"/>
        <v>2026//4/16</v>
      </c>
      <c r="BQ51" s="263">
        <v>1115562.39</v>
      </c>
      <c r="BR51" s="12">
        <f t="shared" si="40"/>
        <v>1111462.39</v>
      </c>
      <c r="BS51" s="12">
        <f t="shared" si="41"/>
        <v>4100</v>
      </c>
      <c r="BT51" s="199">
        <f t="shared" si="42"/>
        <v>0.0036888337715143</v>
      </c>
      <c r="BU51" s="192"/>
      <c r="BV51" s="192"/>
      <c r="BX51" s="8" t="str">
        <f t="shared" si="43"/>
        <v>2026//4/16</v>
      </c>
      <c r="BY51" s="263">
        <v>3201060.7</v>
      </c>
      <c r="BZ51" s="12">
        <f t="shared" si="44"/>
        <v>3219410.7</v>
      </c>
      <c r="CA51" s="12">
        <f t="shared" si="45"/>
        <v>-18350</v>
      </c>
      <c r="CB51" s="199">
        <f t="shared" si="46"/>
        <v>-0.00569980089834453</v>
      </c>
      <c r="CC51" s="192"/>
      <c r="CD51" s="201"/>
      <c r="CF51" s="8" t="str">
        <f t="shared" si="47"/>
        <v>2026//4/16</v>
      </c>
      <c r="CG51" s="262">
        <v>1392303.9</v>
      </c>
      <c r="CH51" s="12">
        <f t="shared" si="48"/>
        <v>1394853.9</v>
      </c>
      <c r="CI51" s="12">
        <f t="shared" si="49"/>
        <v>-2550</v>
      </c>
      <c r="CJ51" s="199">
        <f t="shared" si="50"/>
        <v>-0.00182814845339716</v>
      </c>
      <c r="CK51" s="192" t="s">
        <v>478</v>
      </c>
      <c r="CL51" s="201"/>
      <c r="CN51" s="8" t="str">
        <f t="shared" si="51"/>
        <v>2026//4/16</v>
      </c>
      <c r="CO51" s="262">
        <v>664746.48</v>
      </c>
      <c r="CP51" s="12">
        <f t="shared" si="52"/>
        <v>663946.48</v>
      </c>
      <c r="CQ51" s="12">
        <f t="shared" si="53"/>
        <v>800</v>
      </c>
      <c r="CR51" s="199">
        <f t="shared" si="54"/>
        <v>0.00120491639627339</v>
      </c>
      <c r="CS51" s="201"/>
      <c r="CT51" s="201"/>
      <c r="CV51" s="8" t="str">
        <f t="shared" si="55"/>
        <v>2026//4/16</v>
      </c>
      <c r="CW51" s="262">
        <v>591240.4</v>
      </c>
      <c r="CX51" s="12">
        <f t="shared" si="56"/>
        <v>591440.4</v>
      </c>
      <c r="CY51" s="12">
        <f t="shared" si="57"/>
        <v>-200</v>
      </c>
      <c r="CZ51" s="199">
        <f t="shared" si="58"/>
        <v>-0.000338157488057968</v>
      </c>
      <c r="DA51" s="192"/>
      <c r="DB51" s="192"/>
      <c r="DC51" s="202"/>
      <c r="DD51" s="8" t="str">
        <f t="shared" si="59"/>
        <v>2026//4/16</v>
      </c>
      <c r="DE51" s="263">
        <v>2340117.99</v>
      </c>
      <c r="DF51" s="12">
        <f t="shared" si="60"/>
        <v>2343917.99</v>
      </c>
      <c r="DG51" s="12">
        <f t="shared" si="61"/>
        <v>-3800</v>
      </c>
      <c r="DH51" s="199">
        <f t="shared" si="62"/>
        <v>-0.00162121713140655</v>
      </c>
      <c r="DI51" s="192"/>
      <c r="DJ51" s="192"/>
      <c r="DL51" s="8" t="str">
        <f t="shared" si="63"/>
        <v>2026//4/16</v>
      </c>
      <c r="DM51" s="262">
        <v>1256500.36</v>
      </c>
      <c r="DN51" s="12">
        <f t="shared" si="64"/>
        <v>1257900.36</v>
      </c>
      <c r="DO51" s="12">
        <f t="shared" si="65"/>
        <v>-1400</v>
      </c>
      <c r="DP51" s="199">
        <f t="shared" si="66"/>
        <v>-0.00111296573601426</v>
      </c>
      <c r="DQ51" s="192"/>
      <c r="DR51" s="192"/>
      <c r="DT51" s="8" t="str">
        <f t="shared" si="67"/>
        <v>2026//4/16</v>
      </c>
      <c r="DU51" s="262">
        <v>1508789.48</v>
      </c>
      <c r="DV51" s="12">
        <f t="shared" si="68"/>
        <v>1515689.48</v>
      </c>
      <c r="DW51" s="12">
        <f t="shared" si="69"/>
        <v>-6900</v>
      </c>
      <c r="DX51" s="199">
        <f t="shared" si="70"/>
        <v>-0.00455238364523055</v>
      </c>
      <c r="DY51" s="192"/>
      <c r="DZ51" s="192"/>
      <c r="EB51" s="8" t="str">
        <f t="shared" si="71"/>
        <v>2026//4/16</v>
      </c>
      <c r="EC51" s="262">
        <v>4803866.82</v>
      </c>
      <c r="ED51" s="12">
        <f t="shared" si="72"/>
        <v>4801766.82</v>
      </c>
      <c r="EE51" s="12">
        <f t="shared" si="73"/>
        <v>2100</v>
      </c>
      <c r="EF51" s="199">
        <f t="shared" si="74"/>
        <v>0.000437339020973118</v>
      </c>
      <c r="EG51" s="192"/>
      <c r="EH51" s="192"/>
      <c r="EJ51" s="8" t="str">
        <f t="shared" si="75"/>
        <v>2026//4/16</v>
      </c>
      <c r="EK51" s="263">
        <v>1408922.96</v>
      </c>
      <c r="EL51" s="12">
        <f t="shared" si="76"/>
        <v>1430722.96</v>
      </c>
      <c r="EM51" s="12">
        <f t="shared" si="77"/>
        <v>-21800</v>
      </c>
      <c r="EN51" s="199">
        <f t="shared" si="78"/>
        <v>-0.0152370519027667</v>
      </c>
      <c r="EO51" s="192"/>
      <c r="EP51" s="192"/>
      <c r="ER51" s="8" t="str">
        <f t="shared" si="79"/>
        <v>2026//4/16</v>
      </c>
      <c r="ES51" s="262">
        <v>480947.02</v>
      </c>
      <c r="ET51" s="12">
        <f t="shared" si="80"/>
        <v>490547.02</v>
      </c>
      <c r="EU51" s="12">
        <f t="shared" si="81"/>
        <v>-9600</v>
      </c>
      <c r="EV51" s="199">
        <f t="shared" si="82"/>
        <v>-0.0195699894375059</v>
      </c>
      <c r="EW51" s="192"/>
      <c r="EX51" s="192"/>
      <c r="EZ51" s="8" t="str">
        <f t="shared" si="83"/>
        <v>2026//4/16</v>
      </c>
      <c r="FA51" s="262">
        <v>741808</v>
      </c>
      <c r="FB51" s="12">
        <f t="shared" si="84"/>
        <v>744708</v>
      </c>
      <c r="FC51" s="12">
        <f t="shared" si="85"/>
        <v>-2900</v>
      </c>
      <c r="FD51" s="199">
        <f t="shared" si="86"/>
        <v>-0.0038941437449309</v>
      </c>
      <c r="FE51" s="192"/>
      <c r="FF51" s="192"/>
      <c r="FG51" s="192"/>
      <c r="FH51" s="8" t="str">
        <f t="shared" si="87"/>
        <v>2026//4/16</v>
      </c>
      <c r="FI51" s="263">
        <v>1172595.33</v>
      </c>
      <c r="FJ51" s="12">
        <f t="shared" si="88"/>
        <v>1130995.33</v>
      </c>
      <c r="FK51" s="12">
        <f t="shared" si="89"/>
        <v>41600</v>
      </c>
      <c r="FL51" s="199">
        <f t="shared" si="90"/>
        <v>0.0367817610705784</v>
      </c>
      <c r="FM51" s="201"/>
      <c r="FN51" s="201"/>
      <c r="FP51" s="8" t="str">
        <f t="shared" si="91"/>
        <v>2026//4/16</v>
      </c>
      <c r="FQ51" s="262">
        <v>2161918.73</v>
      </c>
      <c r="FR51" s="12">
        <f t="shared" si="92"/>
        <v>2182018.73</v>
      </c>
      <c r="FS51" s="12">
        <f t="shared" si="93"/>
        <v>-20100</v>
      </c>
      <c r="FT51" s="199">
        <f t="shared" si="94"/>
        <v>-0.00921165328402108</v>
      </c>
      <c r="FU51" s="192"/>
      <c r="FV51" s="192"/>
      <c r="FX51" s="8" t="str">
        <f t="shared" si="95"/>
        <v>2026//4/16</v>
      </c>
      <c r="FY51" s="262">
        <v>8251882.05</v>
      </c>
      <c r="FZ51" s="12">
        <f t="shared" si="96"/>
        <v>8320682.05</v>
      </c>
      <c r="GA51" s="12">
        <f t="shared" si="97"/>
        <v>-68800</v>
      </c>
      <c r="GB51" s="199">
        <f t="shared" si="98"/>
        <v>-0.00826855293671509</v>
      </c>
      <c r="GC51" s="192"/>
      <c r="GD51" s="192"/>
      <c r="GF51" s="8" t="str">
        <f t="shared" si="99"/>
        <v>2026//4/16</v>
      </c>
      <c r="GG51" s="262">
        <v>4597469.49</v>
      </c>
      <c r="GH51" s="12">
        <f t="shared" si="100"/>
        <v>4597469.49</v>
      </c>
      <c r="GI51" s="12">
        <f t="shared" si="101"/>
        <v>0</v>
      </c>
      <c r="GJ51" s="199">
        <f t="shared" si="102"/>
        <v>0</v>
      </c>
      <c r="GK51" s="192"/>
      <c r="GL51" s="192"/>
      <c r="GN51" s="8" t="str">
        <f t="shared" si="103"/>
        <v>2026//4/16</v>
      </c>
      <c r="GO51" s="263">
        <v>1791718.12</v>
      </c>
      <c r="GP51" s="12">
        <f t="shared" si="104"/>
        <v>1775038.12</v>
      </c>
      <c r="GQ51" s="12">
        <f t="shared" si="105"/>
        <v>16680</v>
      </c>
      <c r="GR51" s="199">
        <f t="shared" si="106"/>
        <v>0.00939698128849199</v>
      </c>
      <c r="GS51" s="192"/>
      <c r="GT51" s="192"/>
      <c r="GV51" s="8" t="str">
        <f t="shared" si="107"/>
        <v>2026//4/16</v>
      </c>
      <c r="GW51" s="262">
        <v>937949.4</v>
      </c>
      <c r="GX51" s="12">
        <f t="shared" si="108"/>
        <v>944149.4</v>
      </c>
      <c r="GY51" s="12">
        <f t="shared" si="109"/>
        <v>-6200</v>
      </c>
      <c r="GZ51" s="199">
        <f t="shared" si="110"/>
        <v>-0.00656675733734513</v>
      </c>
      <c r="HA51" s="192"/>
      <c r="HB51" s="192"/>
      <c r="HD51" s="8" t="str">
        <f t="shared" si="111"/>
        <v>2026//4/16</v>
      </c>
      <c r="HE51" s="263">
        <v>1149864.67</v>
      </c>
      <c r="HF51" s="12">
        <f t="shared" si="112"/>
        <v>1122064.67</v>
      </c>
      <c r="HG51" s="12">
        <f t="shared" si="113"/>
        <v>27800</v>
      </c>
      <c r="HH51" s="199">
        <f t="shared" si="114"/>
        <v>0.0247757555720919</v>
      </c>
      <c r="HI51" s="201"/>
      <c r="HJ51" s="192"/>
      <c r="HL51" s="8" t="str">
        <f t="shared" si="115"/>
        <v>2026//4/16</v>
      </c>
      <c r="HM51" s="262">
        <v>152154.25</v>
      </c>
      <c r="HN51" s="12">
        <f t="shared" si="116"/>
        <v>152304.25</v>
      </c>
      <c r="HO51" s="12">
        <f t="shared" si="117"/>
        <v>-150</v>
      </c>
      <c r="HP51" s="199">
        <f t="shared" si="118"/>
        <v>-0.000984870743922117</v>
      </c>
      <c r="HQ51" s="192"/>
      <c r="HR51" s="192"/>
      <c r="HT51" s="8" t="str">
        <f t="shared" si="119"/>
        <v>2026//4/16</v>
      </c>
      <c r="HU51" s="263">
        <v>240768.82</v>
      </c>
      <c r="HV51" s="12">
        <f t="shared" si="120"/>
        <v>221768.82</v>
      </c>
      <c r="HW51" s="12">
        <f t="shared" si="121"/>
        <v>19000</v>
      </c>
      <c r="HX51" s="199">
        <f t="shared" si="122"/>
        <v>0.0856748031576305</v>
      </c>
      <c r="HY51" s="192"/>
      <c r="HZ51" s="192"/>
      <c r="IB51" s="8" t="str">
        <f t="shared" si="123"/>
        <v>2026//4/16</v>
      </c>
      <c r="IC51" s="262">
        <v>375534.79</v>
      </c>
      <c r="ID51" s="12">
        <f t="shared" si="124"/>
        <v>375809.79</v>
      </c>
      <c r="IE51" s="12">
        <f t="shared" si="125"/>
        <v>-275</v>
      </c>
      <c r="IF51" s="199">
        <f t="shared" si="126"/>
        <v>-0.000731753156297498</v>
      </c>
      <c r="IG51" s="201"/>
      <c r="IH51" s="192"/>
      <c r="IJ51" s="8" t="str">
        <f t="shared" si="127"/>
        <v>2026//4/16</v>
      </c>
      <c r="IK51" s="263">
        <v>597596.29</v>
      </c>
      <c r="IL51" s="12">
        <f t="shared" si="128"/>
        <v>594316.29</v>
      </c>
      <c r="IM51" s="12">
        <f t="shared" si="129"/>
        <v>3280</v>
      </c>
      <c r="IN51" s="199">
        <f t="shared" si="130"/>
        <v>0.00551894682207011</v>
      </c>
      <c r="IO51" s="192"/>
      <c r="IP51" s="192"/>
      <c r="IR51" s="8" t="str">
        <f t="shared" si="131"/>
        <v>2026//4/16</v>
      </c>
      <c r="IS51" s="262">
        <v>143589</v>
      </c>
      <c r="IT51" s="12">
        <f t="shared" si="132"/>
        <v>138889</v>
      </c>
      <c r="IU51" s="12">
        <f t="shared" si="133"/>
        <v>4700</v>
      </c>
      <c r="IV51" s="199">
        <f t="shared" si="134"/>
        <v>0.0338399729280217</v>
      </c>
      <c r="IW51" s="192"/>
      <c r="IX51" s="192"/>
      <c r="IZ51" s="8" t="str">
        <f t="shared" si="135"/>
        <v>2026//4/16</v>
      </c>
      <c r="JA51" s="262">
        <v>4921529.15</v>
      </c>
      <c r="JB51" s="12">
        <f t="shared" si="136"/>
        <v>4909429.15</v>
      </c>
      <c r="JC51" s="12">
        <f t="shared" si="137"/>
        <v>12100</v>
      </c>
      <c r="JD51" s="199">
        <f t="shared" si="138"/>
        <v>0.00246464499849234</v>
      </c>
      <c r="JE51" s="192"/>
      <c r="JF51" s="192"/>
      <c r="JH51" s="8" t="str">
        <f t="shared" si="139"/>
        <v>2026//4/16</v>
      </c>
      <c r="JI51" s="262">
        <v>1351887.99</v>
      </c>
      <c r="JJ51" s="12">
        <f t="shared" si="140"/>
        <v>1364967.99</v>
      </c>
      <c r="JK51" s="12">
        <f t="shared" si="141"/>
        <v>-13080</v>
      </c>
      <c r="JL51" s="199">
        <f t="shared" si="142"/>
        <v>-0.00958264230064472</v>
      </c>
      <c r="JM51" s="192"/>
      <c r="JN51" s="192"/>
      <c r="JO51" s="192"/>
      <c r="JP51" s="8" t="str">
        <f t="shared" si="143"/>
        <v>2026//4/16</v>
      </c>
      <c r="JQ51" s="263">
        <v>1039090.41</v>
      </c>
      <c r="JR51" s="12">
        <f t="shared" si="144"/>
        <v>1043590.41</v>
      </c>
      <c r="JS51" s="12">
        <f t="shared" si="145"/>
        <v>-4500</v>
      </c>
      <c r="JT51" s="199">
        <f t="shared" si="146"/>
        <v>-0.00431203655848083</v>
      </c>
      <c r="JU51" s="192"/>
      <c r="JV51" s="192"/>
      <c r="JW51" s="201"/>
      <c r="JX51" s="8" t="str">
        <f t="shared" si="147"/>
        <v>2026//4/16</v>
      </c>
      <c r="JY51" s="262">
        <v>1196848.8</v>
      </c>
      <c r="JZ51" s="12">
        <f t="shared" si="148"/>
        <v>1197148.8</v>
      </c>
      <c r="KA51" s="12">
        <f t="shared" si="149"/>
        <v>-300</v>
      </c>
      <c r="KB51" s="199">
        <f t="shared" si="150"/>
        <v>-0.00025059541470534</v>
      </c>
      <c r="KC51" s="192"/>
      <c r="KD51" s="192"/>
      <c r="KE51" s="201"/>
      <c r="KF51" s="8" t="str">
        <f t="shared" si="151"/>
        <v>2026//4/16</v>
      </c>
      <c r="KG51" s="263">
        <v>732555.92</v>
      </c>
      <c r="KH51" s="12">
        <f t="shared" si="152"/>
        <v>732555.92</v>
      </c>
      <c r="KI51" s="12">
        <f t="shared" si="153"/>
        <v>0</v>
      </c>
      <c r="KJ51" s="199">
        <f t="shared" si="154"/>
        <v>0</v>
      </c>
      <c r="KK51" s="201"/>
      <c r="KL51" s="201"/>
      <c r="KN51" s="8" t="str">
        <f t="shared" si="155"/>
        <v>2026//4/16</v>
      </c>
      <c r="KO51" s="262">
        <v>8322775.95</v>
      </c>
      <c r="KP51" s="12">
        <f t="shared" si="156"/>
        <v>8322675.95</v>
      </c>
      <c r="KQ51" s="12">
        <f t="shared" si="157"/>
        <v>100</v>
      </c>
      <c r="KR51" s="199">
        <f t="shared" si="158"/>
        <v>1.20153662837251e-5</v>
      </c>
      <c r="KS51" s="192"/>
      <c r="KT51" s="192"/>
      <c r="KV51" s="8" t="str">
        <f t="shared" si="159"/>
        <v>2026//4/16</v>
      </c>
      <c r="KW51" s="263">
        <v>1000772.97</v>
      </c>
      <c r="KX51" s="12">
        <f t="shared" si="160"/>
        <v>1000772.97</v>
      </c>
      <c r="KY51" s="12">
        <f t="shared" si="161"/>
        <v>0</v>
      </c>
      <c r="KZ51" s="199">
        <f t="shared" si="162"/>
        <v>0</v>
      </c>
      <c r="LA51" s="201"/>
      <c r="LB51" s="192"/>
      <c r="LD51" s="8" t="str">
        <f t="shared" si="163"/>
        <v>2026//4/16</v>
      </c>
      <c r="LE51" s="262">
        <v>467357.7</v>
      </c>
      <c r="LF51" s="12">
        <f t="shared" si="164"/>
        <v>463857.7</v>
      </c>
      <c r="LG51" s="12">
        <f t="shared" si="165"/>
        <v>3500</v>
      </c>
      <c r="LH51" s="199">
        <f t="shared" si="166"/>
        <v>0.00754541748471568</v>
      </c>
      <c r="LI51" s="192"/>
      <c r="LJ51" s="192"/>
      <c r="LL51" s="8" t="str">
        <f t="shared" si="167"/>
        <v>2026//4/16</v>
      </c>
      <c r="LM51" s="262">
        <v>3535135.02</v>
      </c>
      <c r="LN51" s="12">
        <f t="shared" si="168"/>
        <v>3536935.02</v>
      </c>
      <c r="LO51" s="12">
        <f t="shared" si="169"/>
        <v>-1800</v>
      </c>
      <c r="LP51" s="199">
        <f t="shared" si="170"/>
        <v>-0.000508915201953583</v>
      </c>
      <c r="LQ51" s="192"/>
      <c r="LR51" s="192"/>
      <c r="LT51" s="8" t="str">
        <f t="shared" si="171"/>
        <v>2026//4/16</v>
      </c>
      <c r="LU51" s="263">
        <v>2576262.9</v>
      </c>
      <c r="LV51" s="12">
        <f t="shared" si="172"/>
        <v>2579862.9</v>
      </c>
      <c r="LW51" s="12">
        <f t="shared" si="173"/>
        <v>-3600</v>
      </c>
      <c r="LX51" s="199">
        <f t="shared" si="174"/>
        <v>-0.00139542298933792</v>
      </c>
      <c r="LY51" s="192"/>
      <c r="LZ51" s="192"/>
      <c r="MB51" s="8" t="str">
        <f t="shared" si="175"/>
        <v>2026//4/16</v>
      </c>
      <c r="MC51" s="262">
        <v>742017.69</v>
      </c>
      <c r="MD51" s="12">
        <f t="shared" si="176"/>
        <v>748817.69</v>
      </c>
      <c r="ME51" s="12">
        <f t="shared" si="177"/>
        <v>-6800</v>
      </c>
      <c r="MF51" s="199">
        <f t="shared" si="178"/>
        <v>-0.00908098204784665</v>
      </c>
      <c r="MG51" s="192"/>
      <c r="MH51" s="192"/>
      <c r="MI51" s="8"/>
      <c r="MJ51" s="8"/>
      <c r="MK51" s="8" t="str">
        <f t="shared" si="179"/>
        <v>2026//4/16</v>
      </c>
      <c r="ML51" s="263">
        <v>220305.53</v>
      </c>
      <c r="MM51" s="12">
        <f t="shared" si="180"/>
        <v>220905.53</v>
      </c>
      <c r="MN51" s="12">
        <f t="shared" si="181"/>
        <v>-600</v>
      </c>
      <c r="MO51" s="199">
        <f t="shared" si="182"/>
        <v>-0.00271609316434948</v>
      </c>
      <c r="MP51" s="192"/>
      <c r="MQ51" s="201"/>
      <c r="MR51" s="201"/>
      <c r="MT51" s="8" t="str">
        <f t="shared" si="183"/>
        <v>2026//4/16</v>
      </c>
      <c r="MU51" s="262">
        <v>228414.8</v>
      </c>
      <c r="MV51" s="204">
        <f t="shared" si="184"/>
        <v>239814.8</v>
      </c>
      <c r="MW51" s="8">
        <f t="shared" si="185"/>
        <v>-11400</v>
      </c>
      <c r="MX51" s="192">
        <f t="shared" si="186"/>
        <v>-0.0475366824733086</v>
      </c>
      <c r="MY51" s="192"/>
      <c r="MZ51" s="192"/>
      <c r="NA51" s="192"/>
      <c r="NC51" s="8" t="str">
        <f t="shared" si="187"/>
        <v>2026//4/16</v>
      </c>
      <c r="ND51" s="262">
        <v>43091.48</v>
      </c>
      <c r="NE51" s="204">
        <f t="shared" si="188"/>
        <v>43691.48</v>
      </c>
      <c r="NF51" s="8">
        <f t="shared" si="189"/>
        <v>-600</v>
      </c>
      <c r="NG51" s="192">
        <f t="shared" si="190"/>
        <v>-0.0137326545129623</v>
      </c>
      <c r="NH51" s="192"/>
      <c r="NI51" s="192"/>
      <c r="NJ51" s="192"/>
      <c r="NK51" s="192"/>
      <c r="NM51" s="8" t="str">
        <f t="shared" si="191"/>
        <v>2026//4/16</v>
      </c>
      <c r="NN51" s="262">
        <v>2572111.08</v>
      </c>
      <c r="NO51" s="8">
        <f t="shared" si="192"/>
        <v>2576911.08</v>
      </c>
      <c r="NP51" s="210">
        <f t="shared" si="193"/>
        <v>-4800</v>
      </c>
      <c r="NQ51" s="211">
        <f t="shared" si="194"/>
        <v>-0.00186269523898357</v>
      </c>
      <c r="NR51" s="192"/>
      <c r="NU51" s="8" t="str">
        <f t="shared" si="195"/>
        <v>2026//4/16</v>
      </c>
      <c r="NV51" s="262">
        <v>250276.5</v>
      </c>
      <c r="NW51" s="205">
        <f t="shared" si="196"/>
        <v>249926.5</v>
      </c>
      <c r="NX51" s="210">
        <f t="shared" si="197"/>
        <v>350</v>
      </c>
      <c r="NY51" s="211">
        <f t="shared" si="198"/>
        <v>0.00140041172104599</v>
      </c>
      <c r="NZ51" s="201"/>
      <c r="OA51" s="200"/>
      <c r="OC51" s="8" t="str">
        <f t="shared" si="199"/>
        <v>2026//4/16</v>
      </c>
      <c r="OD51" s="262">
        <v>13193.97</v>
      </c>
      <c r="OE51" s="12">
        <f t="shared" si="200"/>
        <v>13172.97</v>
      </c>
      <c r="OF51" s="12">
        <f t="shared" si="201"/>
        <v>21</v>
      </c>
      <c r="OG51" s="199">
        <f t="shared" si="202"/>
        <v>0.00159417352351064</v>
      </c>
      <c r="OH51" s="192"/>
      <c r="OI51" s="192"/>
      <c r="OK51" s="8" t="str">
        <f t="shared" si="203"/>
        <v>2026//4/16</v>
      </c>
      <c r="OL51" s="262">
        <v>12275.65</v>
      </c>
      <c r="OM51" s="12">
        <f t="shared" si="204"/>
        <v>12086.65</v>
      </c>
      <c r="ON51" s="12">
        <f t="shared" si="205"/>
        <v>189</v>
      </c>
      <c r="OO51" s="199">
        <f t="shared" si="206"/>
        <v>0.0156370871995135</v>
      </c>
      <c r="OP51" s="192"/>
      <c r="OQ51" s="192"/>
      <c r="OT51" s="234" t="str">
        <f t="shared" si="207"/>
        <v>2026//4/16</v>
      </c>
      <c r="OU51" s="206">
        <v>145032.4066</v>
      </c>
      <c r="OV51" s="8">
        <f t="shared" si="208"/>
        <v>144912.4066</v>
      </c>
      <c r="OW51" s="191">
        <f t="shared" si="209"/>
        <v>120</v>
      </c>
      <c r="OX51" s="192">
        <f t="shared" si="210"/>
        <v>0.000828086447637534</v>
      </c>
    </row>
    <row r="52" s="8" customFormat="1" ht="17" customHeight="1" spans="1:414">
      <c r="A52" s="15"/>
      <c r="B52" s="15"/>
      <c r="C52" s="15" t="s">
        <v>479</v>
      </c>
      <c r="D52" s="262">
        <v>4392048.77</v>
      </c>
      <c r="E52" s="19">
        <f t="shared" si="8"/>
        <v>4380618.77</v>
      </c>
      <c r="F52" s="19">
        <f t="shared" si="9"/>
        <v>11430</v>
      </c>
      <c r="G52" s="172">
        <f t="shared" si="10"/>
        <v>0.00260922043211717</v>
      </c>
      <c r="H52" s="18"/>
      <c r="I52" s="172"/>
      <c r="J52" s="172"/>
      <c r="K52" s="8" t="str">
        <f t="shared" si="11"/>
        <v>2026//4/15</v>
      </c>
      <c r="L52" s="262">
        <v>3138094.4</v>
      </c>
      <c r="M52" s="19">
        <f t="shared" si="12"/>
        <v>3131974.4</v>
      </c>
      <c r="N52" s="19">
        <f t="shared" si="13"/>
        <v>6120</v>
      </c>
      <c r="O52" s="172">
        <f t="shared" si="14"/>
        <v>0.00195403896021628</v>
      </c>
      <c r="P52" s="18"/>
      <c r="Q52" s="172"/>
      <c r="R52" s="19"/>
      <c r="S52" s="8" t="str">
        <f t="shared" si="15"/>
        <v>2026//4/15</v>
      </c>
      <c r="T52" s="262">
        <v>2246826.68</v>
      </c>
      <c r="U52" s="19">
        <f t="shared" si="16"/>
        <v>2256006.68</v>
      </c>
      <c r="V52" s="19">
        <f t="shared" si="17"/>
        <v>-9180</v>
      </c>
      <c r="W52" s="172">
        <f t="shared" si="18"/>
        <v>-0.00406913688748475</v>
      </c>
      <c r="X52" s="18"/>
      <c r="Y52" s="172"/>
      <c r="Z52" s="19"/>
      <c r="AA52" s="8" t="str">
        <f t="shared" si="19"/>
        <v>2026//4/15</v>
      </c>
      <c r="AB52" s="262">
        <v>985776.86</v>
      </c>
      <c r="AC52" s="19">
        <f t="shared" si="20"/>
        <v>979256.86</v>
      </c>
      <c r="AD52" s="19">
        <f t="shared" si="21"/>
        <v>6520</v>
      </c>
      <c r="AE52" s="172">
        <f t="shared" si="22"/>
        <v>0.00665811011015026</v>
      </c>
      <c r="AF52" s="18"/>
      <c r="AG52" s="172"/>
      <c r="AH52" s="19"/>
      <c r="AI52" s="8" t="str">
        <f t="shared" si="23"/>
        <v>2026//4/15</v>
      </c>
      <c r="AJ52" s="262">
        <v>751121.76</v>
      </c>
      <c r="AK52" s="19">
        <f t="shared" si="24"/>
        <v>744121.76</v>
      </c>
      <c r="AL52" s="19">
        <f t="shared" si="25"/>
        <v>7000</v>
      </c>
      <c r="AM52" s="172">
        <f t="shared" si="26"/>
        <v>0.00940706262910521</v>
      </c>
      <c r="AN52" s="18"/>
      <c r="AO52" s="18"/>
      <c r="AP52" s="19"/>
      <c r="AQ52" s="8" t="str">
        <f t="shared" si="27"/>
        <v>2026//4/15</v>
      </c>
      <c r="AR52" s="263">
        <v>1491445.49</v>
      </c>
      <c r="AS52" s="19">
        <f t="shared" si="28"/>
        <v>1511445.49</v>
      </c>
      <c r="AT52" s="19">
        <f t="shared" si="29"/>
        <v>-20000</v>
      </c>
      <c r="AU52" s="172">
        <f t="shared" si="30"/>
        <v>-0.0132323660577399</v>
      </c>
      <c r="AV52" s="18"/>
      <c r="AW52" s="18"/>
      <c r="AX52" s="17"/>
      <c r="AY52" s="17"/>
      <c r="AZ52" s="8" t="str">
        <f t="shared" si="31"/>
        <v>2026//4/15</v>
      </c>
      <c r="BA52" s="263">
        <v>1957971.66</v>
      </c>
      <c r="BB52" s="129">
        <f t="shared" si="32"/>
        <v>1958511.66</v>
      </c>
      <c r="BC52" s="17">
        <f t="shared" si="33"/>
        <v>-540</v>
      </c>
      <c r="BD52" s="18">
        <f t="shared" si="34"/>
        <v>-0.000275719573709354</v>
      </c>
      <c r="BE52" s="18"/>
      <c r="BF52" s="18"/>
      <c r="BG52" s="74"/>
      <c r="BH52" s="8" t="str">
        <f t="shared" si="35"/>
        <v>2026//4/15</v>
      </c>
      <c r="BI52" s="263">
        <v>1614926.55</v>
      </c>
      <c r="BJ52" s="195">
        <f t="shared" si="36"/>
        <v>1582126.55</v>
      </c>
      <c r="BK52" s="195">
        <f t="shared" si="37"/>
        <v>32800</v>
      </c>
      <c r="BL52" s="196">
        <f t="shared" si="38"/>
        <v>0.0207315906556274</v>
      </c>
      <c r="BM52" s="197"/>
      <c r="BN52" s="192"/>
      <c r="BP52" s="8" t="str">
        <f t="shared" si="39"/>
        <v>2026//4/15</v>
      </c>
      <c r="BQ52" s="263">
        <v>1111462.39</v>
      </c>
      <c r="BR52" s="12">
        <f t="shared" si="40"/>
        <v>1106662.39</v>
      </c>
      <c r="BS52" s="12">
        <f t="shared" si="41"/>
        <v>4800</v>
      </c>
      <c r="BT52" s="199">
        <f t="shared" si="42"/>
        <v>0.00433736615915898</v>
      </c>
      <c r="BU52" s="192"/>
      <c r="BV52" s="192"/>
      <c r="BX52" s="8" t="str">
        <f t="shared" si="43"/>
        <v>2026//4/15</v>
      </c>
      <c r="BY52" s="263">
        <v>3219410.7</v>
      </c>
      <c r="BZ52" s="12">
        <f t="shared" si="44"/>
        <v>3216060.7</v>
      </c>
      <c r="CA52" s="12">
        <f t="shared" si="45"/>
        <v>3350</v>
      </c>
      <c r="CB52" s="199">
        <f t="shared" si="46"/>
        <v>0.00104164700622721</v>
      </c>
      <c r="CC52" s="192"/>
      <c r="CD52" s="201"/>
      <c r="CF52" s="8" t="str">
        <f t="shared" si="47"/>
        <v>2026//4/15</v>
      </c>
      <c r="CG52" s="262">
        <v>1394853.9</v>
      </c>
      <c r="CH52" s="12">
        <f t="shared" si="48"/>
        <v>1389653.9</v>
      </c>
      <c r="CI52" s="12">
        <f t="shared" si="49"/>
        <v>5200</v>
      </c>
      <c r="CJ52" s="199">
        <f t="shared" si="50"/>
        <v>0.0037419389101128</v>
      </c>
      <c r="CK52" s="192"/>
      <c r="CL52" s="201"/>
      <c r="CN52" s="8" t="str">
        <f t="shared" si="51"/>
        <v>2026//4/15</v>
      </c>
      <c r="CO52" s="262">
        <v>663946.48</v>
      </c>
      <c r="CP52" s="12">
        <f t="shared" si="52"/>
        <v>663746.48</v>
      </c>
      <c r="CQ52" s="12">
        <f t="shared" si="53"/>
        <v>200</v>
      </c>
      <c r="CR52" s="199">
        <f t="shared" si="54"/>
        <v>0.000301319865379926</v>
      </c>
      <c r="CS52" s="201"/>
      <c r="CT52" s="201"/>
      <c r="CV52" s="8" t="str">
        <f t="shared" si="55"/>
        <v>2026//4/15</v>
      </c>
      <c r="CW52" s="262">
        <v>591440.4</v>
      </c>
      <c r="CX52" s="12">
        <f t="shared" si="56"/>
        <v>590690.4</v>
      </c>
      <c r="CY52" s="12">
        <f t="shared" si="57"/>
        <v>750</v>
      </c>
      <c r="CZ52" s="199">
        <f t="shared" si="58"/>
        <v>0.00126970067568391</v>
      </c>
      <c r="DA52" s="192"/>
      <c r="DB52" s="192"/>
      <c r="DC52" s="202"/>
      <c r="DD52" s="8" t="str">
        <f t="shared" si="59"/>
        <v>2026//4/15</v>
      </c>
      <c r="DE52" s="263">
        <v>2343917.99</v>
      </c>
      <c r="DF52" s="12">
        <f t="shared" si="60"/>
        <v>2363717.99</v>
      </c>
      <c r="DG52" s="12">
        <f t="shared" si="61"/>
        <v>-19800</v>
      </c>
      <c r="DH52" s="199">
        <f t="shared" si="62"/>
        <v>-0.00837663379631848</v>
      </c>
      <c r="DI52" s="192"/>
      <c r="DJ52" s="192"/>
      <c r="DL52" s="8" t="str">
        <f t="shared" si="63"/>
        <v>2026//4/15</v>
      </c>
      <c r="DM52" s="262">
        <v>1257900.36</v>
      </c>
      <c r="DN52" s="12">
        <f t="shared" si="64"/>
        <v>1273700.36</v>
      </c>
      <c r="DO52" s="12">
        <f t="shared" si="65"/>
        <v>-15800</v>
      </c>
      <c r="DP52" s="199">
        <f t="shared" si="66"/>
        <v>-0.0124048013930058</v>
      </c>
      <c r="DQ52" s="192"/>
      <c r="DR52" s="192"/>
      <c r="DT52" s="8" t="str">
        <f t="shared" si="67"/>
        <v>2026//4/15</v>
      </c>
      <c r="DU52" s="262">
        <v>1515689.48</v>
      </c>
      <c r="DV52" s="12">
        <f t="shared" si="68"/>
        <v>1537889.48</v>
      </c>
      <c r="DW52" s="12">
        <f t="shared" si="69"/>
        <v>-22200</v>
      </c>
      <c r="DX52" s="199">
        <f t="shared" si="70"/>
        <v>-0.0144353676182244</v>
      </c>
      <c r="DY52" s="192"/>
      <c r="DZ52" s="192"/>
      <c r="EB52" s="8" t="str">
        <f t="shared" si="71"/>
        <v>2026//4/15</v>
      </c>
      <c r="EC52" s="262">
        <v>4801766.82</v>
      </c>
      <c r="ED52" s="12">
        <f t="shared" si="72"/>
        <v>4886066.82</v>
      </c>
      <c r="EE52" s="12">
        <f t="shared" si="73"/>
        <v>-84300</v>
      </c>
      <c r="EF52" s="199">
        <f t="shared" si="74"/>
        <v>-0.0172531410448456</v>
      </c>
      <c r="EG52" s="192"/>
      <c r="EH52" s="192"/>
      <c r="EJ52" s="8" t="str">
        <f t="shared" si="75"/>
        <v>2026//4/15</v>
      </c>
      <c r="EK52" s="263">
        <v>1430722.96</v>
      </c>
      <c r="EL52" s="12">
        <f t="shared" si="76"/>
        <v>1457322.96</v>
      </c>
      <c r="EM52" s="12">
        <f t="shared" si="77"/>
        <v>-26600</v>
      </c>
      <c r="EN52" s="199">
        <f t="shared" si="78"/>
        <v>-0.0182526459337469</v>
      </c>
      <c r="EO52" s="192"/>
      <c r="EP52" s="192"/>
      <c r="ER52" s="8" t="str">
        <f t="shared" si="79"/>
        <v>2026//4/15</v>
      </c>
      <c r="ES52" s="262">
        <v>490547.02</v>
      </c>
      <c r="ET52" s="12">
        <f t="shared" si="80"/>
        <v>496097.02</v>
      </c>
      <c r="EU52" s="12">
        <f t="shared" si="81"/>
        <v>-5550</v>
      </c>
      <c r="EV52" s="199">
        <f t="shared" si="82"/>
        <v>-0.0111873278335758</v>
      </c>
      <c r="EW52" s="192"/>
      <c r="EX52" s="192"/>
      <c r="EZ52" s="8" t="str">
        <f t="shared" si="83"/>
        <v>2026//4/15</v>
      </c>
      <c r="FA52" s="262">
        <v>744708</v>
      </c>
      <c r="FB52" s="12">
        <f t="shared" si="84"/>
        <v>735808</v>
      </c>
      <c r="FC52" s="12">
        <f t="shared" si="85"/>
        <v>8900</v>
      </c>
      <c r="FD52" s="199">
        <f t="shared" si="86"/>
        <v>0.0120955466643472</v>
      </c>
      <c r="FE52" s="192"/>
      <c r="FF52" s="192"/>
      <c r="FG52" s="192"/>
      <c r="FH52" s="8" t="str">
        <f t="shared" si="87"/>
        <v>2026//4/15</v>
      </c>
      <c r="FI52" s="263">
        <v>1130995.33</v>
      </c>
      <c r="FJ52" s="12">
        <f t="shared" si="88"/>
        <v>1107895.33</v>
      </c>
      <c r="FK52" s="12">
        <f t="shared" si="89"/>
        <v>23100</v>
      </c>
      <c r="FL52" s="199">
        <f t="shared" si="90"/>
        <v>0.0208503451314304</v>
      </c>
      <c r="FM52" s="201"/>
      <c r="FN52" s="201"/>
      <c r="FP52" s="8" t="str">
        <f t="shared" si="91"/>
        <v>2026//4/15</v>
      </c>
      <c r="FQ52" s="262">
        <v>2182018.73</v>
      </c>
      <c r="FR52" s="12">
        <f t="shared" si="92"/>
        <v>2187718.73</v>
      </c>
      <c r="FS52" s="12">
        <f t="shared" si="93"/>
        <v>-5700</v>
      </c>
      <c r="FT52" s="199">
        <f t="shared" si="94"/>
        <v>-0.00260545376415916</v>
      </c>
      <c r="FU52" s="192"/>
      <c r="FV52" s="192"/>
      <c r="FX52" s="8" t="str">
        <f t="shared" si="95"/>
        <v>2026//4/15</v>
      </c>
      <c r="FY52" s="262">
        <v>8320682.05</v>
      </c>
      <c r="FZ52" s="12">
        <f t="shared" si="96"/>
        <v>8326782.05</v>
      </c>
      <c r="GA52" s="12">
        <f t="shared" si="97"/>
        <v>-6100</v>
      </c>
      <c r="GB52" s="199">
        <f t="shared" si="98"/>
        <v>-0.000732575917487837</v>
      </c>
      <c r="GC52" s="192"/>
      <c r="GD52" s="192"/>
      <c r="GF52" s="8" t="str">
        <f t="shared" si="99"/>
        <v>2026//4/15</v>
      </c>
      <c r="GG52" s="262">
        <v>4597469.49</v>
      </c>
      <c r="GH52" s="12">
        <f t="shared" si="100"/>
        <v>4603769.49</v>
      </c>
      <c r="GI52" s="12">
        <f t="shared" si="101"/>
        <v>-6300</v>
      </c>
      <c r="GJ52" s="199">
        <f t="shared" si="102"/>
        <v>-0.00136844384013675</v>
      </c>
      <c r="GK52" s="192"/>
      <c r="GL52" s="192"/>
      <c r="GN52" s="8" t="str">
        <f t="shared" si="103"/>
        <v>2026//4/15</v>
      </c>
      <c r="GO52" s="263">
        <v>1775038.12</v>
      </c>
      <c r="GP52" s="12">
        <f t="shared" si="104"/>
        <v>1745218.12</v>
      </c>
      <c r="GQ52" s="12">
        <f t="shared" si="105"/>
        <v>29820</v>
      </c>
      <c r="GR52" s="199">
        <f t="shared" si="106"/>
        <v>0.0170866894276802</v>
      </c>
      <c r="GS52" s="192"/>
      <c r="GT52" s="192"/>
      <c r="GV52" s="8" t="str">
        <f t="shared" si="107"/>
        <v>2026//4/15</v>
      </c>
      <c r="GW52" s="262">
        <v>944149.4</v>
      </c>
      <c r="GX52" s="12">
        <f t="shared" si="108"/>
        <v>954749.4</v>
      </c>
      <c r="GY52" s="12">
        <f t="shared" si="109"/>
        <v>-10600</v>
      </c>
      <c r="GZ52" s="199">
        <f t="shared" si="110"/>
        <v>-0.0111023897998784</v>
      </c>
      <c r="HA52" s="192"/>
      <c r="HB52" s="192"/>
      <c r="HD52" s="8" t="str">
        <f t="shared" si="111"/>
        <v>2026//4/15</v>
      </c>
      <c r="HE52" s="263">
        <v>1122064.67</v>
      </c>
      <c r="HF52" s="12">
        <f t="shared" si="112"/>
        <v>1104564.67</v>
      </c>
      <c r="HG52" s="12">
        <f t="shared" si="113"/>
        <v>17500</v>
      </c>
      <c r="HH52" s="199">
        <f t="shared" si="114"/>
        <v>0.0158433457771196</v>
      </c>
      <c r="HI52" s="201"/>
      <c r="HJ52" s="192"/>
      <c r="HL52" s="8" t="str">
        <f t="shared" si="115"/>
        <v>2026//4/15</v>
      </c>
      <c r="HM52" s="262">
        <v>152304.25</v>
      </c>
      <c r="HN52" s="12">
        <f t="shared" si="116"/>
        <v>152554.25</v>
      </c>
      <c r="HO52" s="12">
        <f t="shared" si="117"/>
        <v>-250</v>
      </c>
      <c r="HP52" s="199">
        <f t="shared" si="118"/>
        <v>-0.00163876129311376</v>
      </c>
      <c r="HQ52" s="192"/>
      <c r="HR52" s="192"/>
      <c r="HT52" s="8" t="str">
        <f t="shared" si="119"/>
        <v>2026//4/15</v>
      </c>
      <c r="HU52" s="263">
        <v>221768.82</v>
      </c>
      <c r="HV52" s="12">
        <f t="shared" si="120"/>
        <v>222168.82</v>
      </c>
      <c r="HW52" s="12">
        <f t="shared" si="121"/>
        <v>-400</v>
      </c>
      <c r="HX52" s="199">
        <f t="shared" si="122"/>
        <v>-0.001800432661973</v>
      </c>
      <c r="HY52" s="192"/>
      <c r="HZ52" s="192"/>
      <c r="IB52" s="8" t="str">
        <f t="shared" si="123"/>
        <v>2026//4/15</v>
      </c>
      <c r="IC52" s="262">
        <v>375809.79</v>
      </c>
      <c r="ID52" s="12">
        <f t="shared" si="124"/>
        <v>376984.79</v>
      </c>
      <c r="IE52" s="12">
        <f t="shared" si="125"/>
        <v>-1175</v>
      </c>
      <c r="IF52" s="199">
        <f t="shared" si="126"/>
        <v>-0.00311683662356776</v>
      </c>
      <c r="IG52" s="201"/>
      <c r="IH52" s="192"/>
      <c r="IJ52" s="8" t="str">
        <f t="shared" si="127"/>
        <v>2026//4/15</v>
      </c>
      <c r="IK52" s="263">
        <v>594316.29</v>
      </c>
      <c r="IL52" s="12">
        <f t="shared" si="128"/>
        <v>576796.29</v>
      </c>
      <c r="IM52" s="12">
        <f t="shared" si="129"/>
        <v>17520</v>
      </c>
      <c r="IN52" s="199">
        <f t="shared" si="130"/>
        <v>0.0303746752601339</v>
      </c>
      <c r="IO52" s="192"/>
      <c r="IP52" s="192"/>
      <c r="IR52" s="8" t="str">
        <f t="shared" si="131"/>
        <v>2026//4/15</v>
      </c>
      <c r="IS52" s="262">
        <v>138889</v>
      </c>
      <c r="IT52" s="12">
        <f t="shared" si="132"/>
        <v>139489</v>
      </c>
      <c r="IU52" s="12">
        <f t="shared" si="133"/>
        <v>-600</v>
      </c>
      <c r="IV52" s="199">
        <f t="shared" si="134"/>
        <v>-0.00430141444845113</v>
      </c>
      <c r="IW52" s="192"/>
      <c r="IX52" s="192"/>
      <c r="IZ52" s="8" t="str">
        <f t="shared" si="135"/>
        <v>2026//4/15</v>
      </c>
      <c r="JA52" s="262">
        <v>4909429.15</v>
      </c>
      <c r="JB52" s="12">
        <f t="shared" si="136"/>
        <v>4900729.15</v>
      </c>
      <c r="JC52" s="12">
        <f t="shared" si="137"/>
        <v>8700</v>
      </c>
      <c r="JD52" s="199">
        <f t="shared" si="138"/>
        <v>0.00177524603660253</v>
      </c>
      <c r="JE52" s="192"/>
      <c r="JF52" s="192"/>
      <c r="JH52" s="8" t="str">
        <f t="shared" si="139"/>
        <v>2026//4/15</v>
      </c>
      <c r="JI52" s="262">
        <v>1364967.99</v>
      </c>
      <c r="JJ52" s="12">
        <f t="shared" si="140"/>
        <v>1367307.99</v>
      </c>
      <c r="JK52" s="12">
        <f t="shared" si="141"/>
        <v>-2340</v>
      </c>
      <c r="JL52" s="199">
        <f t="shared" si="142"/>
        <v>-0.00171139203245642</v>
      </c>
      <c r="JM52" s="192"/>
      <c r="JN52" s="192"/>
      <c r="JO52" s="192"/>
      <c r="JP52" s="8" t="str">
        <f t="shared" si="143"/>
        <v>2026//4/15</v>
      </c>
      <c r="JQ52" s="263">
        <v>1043590.41</v>
      </c>
      <c r="JR52" s="12">
        <f t="shared" si="144"/>
        <v>1037890.41</v>
      </c>
      <c r="JS52" s="12">
        <f t="shared" si="145"/>
        <v>5700</v>
      </c>
      <c r="JT52" s="199">
        <f t="shared" si="146"/>
        <v>0.00549190930475984</v>
      </c>
      <c r="JU52" s="192"/>
      <c r="JV52" s="192"/>
      <c r="JW52" s="201"/>
      <c r="JX52" s="8" t="str">
        <f t="shared" si="147"/>
        <v>2026//4/15</v>
      </c>
      <c r="JY52" s="262">
        <v>1197148.8</v>
      </c>
      <c r="JZ52" s="12">
        <f t="shared" si="148"/>
        <v>1197348.8</v>
      </c>
      <c r="KA52" s="12">
        <f t="shared" si="149"/>
        <v>-200</v>
      </c>
      <c r="KB52" s="199">
        <f t="shared" si="150"/>
        <v>-0.000167035704215848</v>
      </c>
      <c r="KC52" s="192"/>
      <c r="KD52" s="192"/>
      <c r="KE52" s="201"/>
      <c r="KF52" s="8" t="str">
        <f t="shared" si="151"/>
        <v>2026//4/15</v>
      </c>
      <c r="KG52" s="263">
        <v>732555.92</v>
      </c>
      <c r="KH52" s="12">
        <f t="shared" si="152"/>
        <v>732555.92</v>
      </c>
      <c r="KI52" s="12">
        <f t="shared" si="153"/>
        <v>0</v>
      </c>
      <c r="KJ52" s="199">
        <f t="shared" si="154"/>
        <v>0</v>
      </c>
      <c r="KK52" s="201"/>
      <c r="KL52" s="201"/>
      <c r="KN52" s="8" t="str">
        <f t="shared" si="155"/>
        <v>2026//4/15</v>
      </c>
      <c r="KO52" s="262">
        <v>8322675.95</v>
      </c>
      <c r="KP52" s="12">
        <f t="shared" si="156"/>
        <v>8322675.95</v>
      </c>
      <c r="KQ52" s="12">
        <f t="shared" si="157"/>
        <v>0</v>
      </c>
      <c r="KR52" s="199">
        <f t="shared" si="158"/>
        <v>0</v>
      </c>
      <c r="KS52" s="192"/>
      <c r="KT52" s="192"/>
      <c r="KV52" s="8" t="str">
        <f t="shared" si="159"/>
        <v>2026//4/15</v>
      </c>
      <c r="KW52" s="263">
        <v>1000772.97</v>
      </c>
      <c r="KX52" s="12">
        <f t="shared" si="160"/>
        <v>966672.97</v>
      </c>
      <c r="KY52" s="12">
        <f t="shared" si="161"/>
        <v>34100</v>
      </c>
      <c r="KZ52" s="199">
        <f t="shared" si="162"/>
        <v>0.0352756320475165</v>
      </c>
      <c r="LA52" s="201"/>
      <c r="LB52" s="192"/>
      <c r="LD52" s="8" t="str">
        <f t="shared" si="163"/>
        <v>2026//4/15</v>
      </c>
      <c r="LE52" s="262">
        <v>463857.7</v>
      </c>
      <c r="LF52" s="12">
        <f t="shared" si="164"/>
        <v>461907.7</v>
      </c>
      <c r="LG52" s="12">
        <f t="shared" si="165"/>
        <v>1950</v>
      </c>
      <c r="LH52" s="199">
        <f t="shared" si="166"/>
        <v>0.0042216226315344</v>
      </c>
      <c r="LI52" s="192"/>
      <c r="LJ52" s="192"/>
      <c r="LL52" s="8" t="str">
        <f t="shared" si="167"/>
        <v>2026//4/15</v>
      </c>
      <c r="LM52" s="262">
        <v>3536935.02</v>
      </c>
      <c r="LN52" s="12">
        <f t="shared" si="168"/>
        <v>3528835.02</v>
      </c>
      <c r="LO52" s="12">
        <f t="shared" si="169"/>
        <v>8100</v>
      </c>
      <c r="LP52" s="199">
        <f t="shared" si="170"/>
        <v>0.00229537508953876</v>
      </c>
      <c r="LQ52" s="192"/>
      <c r="LR52" s="192"/>
      <c r="LT52" s="8" t="str">
        <f t="shared" si="171"/>
        <v>2026//4/15</v>
      </c>
      <c r="LU52" s="263">
        <v>2579862.9</v>
      </c>
      <c r="LV52" s="12">
        <f t="shared" si="172"/>
        <v>2619862.9</v>
      </c>
      <c r="LW52" s="12">
        <f t="shared" si="173"/>
        <v>-40000</v>
      </c>
      <c r="LX52" s="199">
        <f t="shared" si="174"/>
        <v>-0.0152679745188193</v>
      </c>
      <c r="LY52" s="192"/>
      <c r="LZ52" s="192"/>
      <c r="MB52" s="8" t="str">
        <f t="shared" si="175"/>
        <v>2026//4/15</v>
      </c>
      <c r="MC52" s="262">
        <v>748817.69</v>
      </c>
      <c r="MD52" s="12">
        <f t="shared" si="176"/>
        <v>762467.69</v>
      </c>
      <c r="ME52" s="12">
        <f t="shared" si="177"/>
        <v>-13650</v>
      </c>
      <c r="MF52" s="199">
        <f t="shared" si="178"/>
        <v>-0.0179023979363637</v>
      </c>
      <c r="MG52" s="192"/>
      <c r="MH52" s="192"/>
      <c r="MI52" s="8"/>
      <c r="MJ52" s="8"/>
      <c r="MK52" s="8" t="str">
        <f t="shared" si="179"/>
        <v>2026//4/15</v>
      </c>
      <c r="ML52" s="263">
        <v>220905.53</v>
      </c>
      <c r="MM52" s="12">
        <f t="shared" si="180"/>
        <v>219585.53</v>
      </c>
      <c r="MN52" s="12">
        <f t="shared" si="181"/>
        <v>1320</v>
      </c>
      <c r="MO52" s="199">
        <f t="shared" si="182"/>
        <v>0.00601132506317698</v>
      </c>
      <c r="MP52" s="192"/>
      <c r="MQ52" s="201"/>
      <c r="MR52" s="201"/>
      <c r="MT52" s="8" t="str">
        <f t="shared" si="183"/>
        <v>2026//4/15</v>
      </c>
      <c r="MU52" s="262">
        <v>239814.8</v>
      </c>
      <c r="MV52" s="204">
        <f t="shared" si="184"/>
        <v>246314.8</v>
      </c>
      <c r="MW52" s="8">
        <f t="shared" si="185"/>
        <v>-6500</v>
      </c>
      <c r="MX52" s="192">
        <f t="shared" si="186"/>
        <v>-0.0263889948959624</v>
      </c>
      <c r="MY52" s="192"/>
      <c r="MZ52" s="192"/>
      <c r="NA52" s="192"/>
      <c r="NC52" s="8" t="str">
        <f t="shared" si="187"/>
        <v>2026//4/15</v>
      </c>
      <c r="ND52" s="262">
        <v>43691.48</v>
      </c>
      <c r="NE52" s="204">
        <f t="shared" si="188"/>
        <v>43491.48</v>
      </c>
      <c r="NF52" s="8">
        <f t="shared" si="189"/>
        <v>200</v>
      </c>
      <c r="NG52" s="192">
        <f t="shared" si="190"/>
        <v>0.00459860184109623</v>
      </c>
      <c r="NH52" s="192"/>
      <c r="NI52" s="192"/>
      <c r="NJ52" s="192"/>
      <c r="NK52" s="192"/>
      <c r="NM52" s="8" t="str">
        <f t="shared" si="191"/>
        <v>2026//4/15</v>
      </c>
      <c r="NN52" s="262">
        <v>2576911.08</v>
      </c>
      <c r="NO52" s="8">
        <f t="shared" si="192"/>
        <v>2598111.08</v>
      </c>
      <c r="NP52" s="210">
        <f t="shared" si="193"/>
        <v>-21200</v>
      </c>
      <c r="NQ52" s="211">
        <f t="shared" si="194"/>
        <v>-0.00815977429263725</v>
      </c>
      <c r="NR52" s="192"/>
      <c r="NU52" s="8" t="str">
        <f t="shared" si="195"/>
        <v>2026//4/15</v>
      </c>
      <c r="NV52" s="262">
        <v>249926.5</v>
      </c>
      <c r="NW52" s="205">
        <f t="shared" si="196"/>
        <v>252076.5</v>
      </c>
      <c r="NX52" s="210">
        <f t="shared" si="197"/>
        <v>-2150</v>
      </c>
      <c r="NY52" s="211">
        <f t="shared" si="198"/>
        <v>-0.00852915682342464</v>
      </c>
      <c r="NZ52" s="201"/>
      <c r="OA52" s="200"/>
      <c r="OC52" s="8" t="str">
        <f t="shared" si="199"/>
        <v>2026//4/15</v>
      </c>
      <c r="OD52" s="262">
        <v>13172.97</v>
      </c>
      <c r="OE52" s="12">
        <f t="shared" si="200"/>
        <v>12958.97</v>
      </c>
      <c r="OF52" s="12">
        <f t="shared" si="201"/>
        <v>214</v>
      </c>
      <c r="OG52" s="199">
        <f t="shared" si="202"/>
        <v>0.0165136581070872</v>
      </c>
      <c r="OH52" s="192"/>
      <c r="OI52" s="192"/>
      <c r="OK52" s="8" t="str">
        <f t="shared" si="203"/>
        <v>2026//4/15</v>
      </c>
      <c r="OL52" s="262">
        <v>12086.65</v>
      </c>
      <c r="OM52" s="12">
        <f t="shared" si="204"/>
        <v>12035.65</v>
      </c>
      <c r="ON52" s="12">
        <f t="shared" si="205"/>
        <v>51</v>
      </c>
      <c r="OO52" s="199">
        <f t="shared" si="206"/>
        <v>0.0042374113570933</v>
      </c>
      <c r="OP52" s="192"/>
      <c r="OQ52" s="192"/>
      <c r="OT52" s="234" t="str">
        <f t="shared" si="207"/>
        <v>2026//4/15</v>
      </c>
      <c r="OU52" s="206">
        <v>144912.4066</v>
      </c>
      <c r="OV52" s="8">
        <f t="shared" si="208"/>
        <v>144792.4066</v>
      </c>
      <c r="OW52" s="191">
        <f t="shared" si="209"/>
        <v>120</v>
      </c>
      <c r="OX52" s="192">
        <f t="shared" si="210"/>
        <v>0.000828772743114279</v>
      </c>
    </row>
    <row r="53" s="8" customFormat="1" ht="17" customHeight="1" spans="1:414">
      <c r="A53" s="15"/>
      <c r="B53" s="15"/>
      <c r="C53" s="15" t="s">
        <v>480</v>
      </c>
      <c r="D53" s="262">
        <v>4380618.77</v>
      </c>
      <c r="E53" s="19">
        <f t="shared" si="8"/>
        <v>4385838.77</v>
      </c>
      <c r="F53" s="19">
        <f t="shared" si="9"/>
        <v>-5220</v>
      </c>
      <c r="G53" s="172">
        <f t="shared" si="10"/>
        <v>-0.00119019423050976</v>
      </c>
      <c r="H53" s="18"/>
      <c r="I53" s="172"/>
      <c r="J53" s="172"/>
      <c r="K53" s="8" t="str">
        <f t="shared" si="11"/>
        <v>2026//4/14</v>
      </c>
      <c r="L53" s="262">
        <v>3131974.4</v>
      </c>
      <c r="M53" s="19">
        <f t="shared" si="12"/>
        <v>3128554.4</v>
      </c>
      <c r="N53" s="19">
        <f t="shared" si="13"/>
        <v>3420</v>
      </c>
      <c r="O53" s="172">
        <f t="shared" si="14"/>
        <v>0.00109315663489821</v>
      </c>
      <c r="P53" s="18"/>
      <c r="Q53" s="172"/>
      <c r="R53" s="19"/>
      <c r="S53" s="8" t="str">
        <f t="shared" si="15"/>
        <v>2026//4/14</v>
      </c>
      <c r="T53" s="262">
        <v>2256006.68</v>
      </c>
      <c r="U53" s="19">
        <f t="shared" si="16"/>
        <v>2270316.68</v>
      </c>
      <c r="V53" s="19">
        <f t="shared" si="17"/>
        <v>-14310</v>
      </c>
      <c r="W53" s="172">
        <f t="shared" si="18"/>
        <v>-0.00630308543564063</v>
      </c>
      <c r="X53" s="18"/>
      <c r="Y53" s="172"/>
      <c r="Z53" s="19"/>
      <c r="AA53" s="8" t="str">
        <f t="shared" si="19"/>
        <v>2026//4/14</v>
      </c>
      <c r="AB53" s="262">
        <v>979256.86</v>
      </c>
      <c r="AC53" s="19">
        <f t="shared" si="20"/>
        <v>996616.86</v>
      </c>
      <c r="AD53" s="19">
        <f t="shared" si="21"/>
        <v>-17360</v>
      </c>
      <c r="AE53" s="172">
        <f t="shared" si="22"/>
        <v>-0.0174189306811446</v>
      </c>
      <c r="AF53" s="18"/>
      <c r="AG53" s="172"/>
      <c r="AH53" s="19"/>
      <c r="AI53" s="8" t="str">
        <f t="shared" si="23"/>
        <v>2026//4/14</v>
      </c>
      <c r="AJ53" s="262">
        <v>744121.76</v>
      </c>
      <c r="AK53" s="19">
        <f t="shared" si="24"/>
        <v>763521.76</v>
      </c>
      <c r="AL53" s="19">
        <f t="shared" si="25"/>
        <v>-19400</v>
      </c>
      <c r="AM53" s="172">
        <f t="shared" si="26"/>
        <v>-0.0254085751269224</v>
      </c>
      <c r="AN53" s="18"/>
      <c r="AO53" s="18"/>
      <c r="AP53" s="19"/>
      <c r="AQ53" s="8" t="str">
        <f t="shared" si="27"/>
        <v>2026//4/14</v>
      </c>
      <c r="AR53" s="263">
        <v>1511445.49</v>
      </c>
      <c r="AS53" s="19">
        <f t="shared" si="28"/>
        <v>1490845.49</v>
      </c>
      <c r="AT53" s="19">
        <f t="shared" si="29"/>
        <v>20600</v>
      </c>
      <c r="AU53" s="172">
        <f t="shared" si="30"/>
        <v>0.0138176626204235</v>
      </c>
      <c r="AV53" s="18"/>
      <c r="AW53" s="18"/>
      <c r="AX53" s="17"/>
      <c r="AY53" s="17"/>
      <c r="AZ53" s="8" t="str">
        <f t="shared" si="31"/>
        <v>2026//4/14</v>
      </c>
      <c r="BA53" s="263">
        <v>1958511.66</v>
      </c>
      <c r="BB53" s="129">
        <f t="shared" si="32"/>
        <v>1960221.66</v>
      </c>
      <c r="BC53" s="17">
        <f t="shared" si="33"/>
        <v>-1710</v>
      </c>
      <c r="BD53" s="18">
        <f t="shared" si="34"/>
        <v>-0.000872350323891432</v>
      </c>
      <c r="BE53" s="18"/>
      <c r="BF53" s="18"/>
      <c r="BG53" s="74"/>
      <c r="BH53" s="8" t="str">
        <f t="shared" si="35"/>
        <v>2026//4/14</v>
      </c>
      <c r="BI53" s="263">
        <v>1582126.55</v>
      </c>
      <c r="BJ53" s="195">
        <f t="shared" si="36"/>
        <v>1570326.55</v>
      </c>
      <c r="BK53" s="195">
        <f t="shared" si="37"/>
        <v>11800</v>
      </c>
      <c r="BL53" s="196">
        <f t="shared" si="38"/>
        <v>0.00751436062773058</v>
      </c>
      <c r="BM53" s="197"/>
      <c r="BN53" s="192"/>
      <c r="BP53" s="8" t="str">
        <f t="shared" si="39"/>
        <v>2026//4/14</v>
      </c>
      <c r="BQ53" s="263">
        <v>1106662.39</v>
      </c>
      <c r="BR53" s="12">
        <f t="shared" si="40"/>
        <v>1109162.39</v>
      </c>
      <c r="BS53" s="12">
        <f t="shared" si="41"/>
        <v>-2500</v>
      </c>
      <c r="BT53" s="199">
        <f t="shared" si="42"/>
        <v>-0.00225395309337887</v>
      </c>
      <c r="BU53" s="192"/>
      <c r="BV53" s="192"/>
      <c r="BX53" s="8" t="str">
        <f t="shared" si="43"/>
        <v>2026//4/14</v>
      </c>
      <c r="BY53" s="263">
        <v>3216060.7</v>
      </c>
      <c r="BZ53" s="12">
        <f t="shared" si="44"/>
        <v>3223660.7</v>
      </c>
      <c r="CA53" s="12">
        <f t="shared" si="45"/>
        <v>-7600</v>
      </c>
      <c r="CB53" s="199">
        <f t="shared" si="46"/>
        <v>-0.00235756821429749</v>
      </c>
      <c r="CC53" s="192"/>
      <c r="CD53" s="201"/>
      <c r="CF53" s="8" t="str">
        <f t="shared" si="47"/>
        <v>2026//4/14</v>
      </c>
      <c r="CG53" s="262">
        <v>1389653.9</v>
      </c>
      <c r="CH53" s="12">
        <f t="shared" si="48"/>
        <v>1401853.9</v>
      </c>
      <c r="CI53" s="12">
        <f t="shared" si="49"/>
        <v>-12200</v>
      </c>
      <c r="CJ53" s="199">
        <f t="shared" si="50"/>
        <v>-0.00870276139332351</v>
      </c>
      <c r="CK53" s="192"/>
      <c r="CL53" s="201"/>
      <c r="CN53" s="8" t="str">
        <f t="shared" si="51"/>
        <v>2026//4/14</v>
      </c>
      <c r="CO53" s="262">
        <v>663746.48</v>
      </c>
      <c r="CP53" s="12">
        <f t="shared" si="52"/>
        <v>666846.48</v>
      </c>
      <c r="CQ53" s="12">
        <f t="shared" si="53"/>
        <v>-3100</v>
      </c>
      <c r="CR53" s="199">
        <f t="shared" si="54"/>
        <v>-0.00464874614019107</v>
      </c>
      <c r="CS53" s="201"/>
      <c r="CT53" s="201"/>
      <c r="CV53" s="8" t="str">
        <f t="shared" si="55"/>
        <v>2026//4/14</v>
      </c>
      <c r="CW53" s="262">
        <v>590690.4</v>
      </c>
      <c r="CX53" s="12">
        <f t="shared" si="56"/>
        <v>593640.4</v>
      </c>
      <c r="CY53" s="12">
        <f t="shared" si="57"/>
        <v>-2950</v>
      </c>
      <c r="CZ53" s="199">
        <f t="shared" si="58"/>
        <v>-0.00496933834018035</v>
      </c>
      <c r="DA53" s="192"/>
      <c r="DB53" s="192"/>
      <c r="DC53" s="202"/>
      <c r="DD53" s="8" t="str">
        <f t="shared" si="59"/>
        <v>2026//4/14</v>
      </c>
      <c r="DE53" s="263">
        <v>2363717.99</v>
      </c>
      <c r="DF53" s="12">
        <f t="shared" si="60"/>
        <v>2416117.99</v>
      </c>
      <c r="DG53" s="12">
        <f t="shared" si="61"/>
        <v>-52400</v>
      </c>
      <c r="DH53" s="199">
        <f t="shared" si="62"/>
        <v>-0.0216876825622245</v>
      </c>
      <c r="DI53" s="192"/>
      <c r="DJ53" s="192"/>
      <c r="DL53" s="8" t="str">
        <f t="shared" si="63"/>
        <v>2026//4/14</v>
      </c>
      <c r="DM53" s="262">
        <v>1273700.36</v>
      </c>
      <c r="DN53" s="12">
        <f t="shared" si="64"/>
        <v>1300500.36</v>
      </c>
      <c r="DO53" s="12">
        <f t="shared" si="65"/>
        <v>-26800</v>
      </c>
      <c r="DP53" s="199">
        <f t="shared" si="66"/>
        <v>-0.0206074529652572</v>
      </c>
      <c r="DQ53" s="192"/>
      <c r="DR53" s="192"/>
      <c r="DT53" s="8" t="str">
        <f t="shared" si="67"/>
        <v>2026//4/14</v>
      </c>
      <c r="DU53" s="262">
        <v>1537889.48</v>
      </c>
      <c r="DV53" s="12">
        <f t="shared" si="68"/>
        <v>1565489.48</v>
      </c>
      <c r="DW53" s="12">
        <f t="shared" si="69"/>
        <v>-27600</v>
      </c>
      <c r="DX53" s="199">
        <f t="shared" si="70"/>
        <v>-0.0176302685853884</v>
      </c>
      <c r="DY53" s="192"/>
      <c r="DZ53" s="192"/>
      <c r="EB53" s="8" t="str">
        <f t="shared" si="71"/>
        <v>2026//4/14</v>
      </c>
      <c r="EC53" s="262">
        <v>4886066.82</v>
      </c>
      <c r="ED53" s="12">
        <f t="shared" si="72"/>
        <v>4957166.82</v>
      </c>
      <c r="EE53" s="12">
        <f t="shared" si="73"/>
        <v>-71100</v>
      </c>
      <c r="EF53" s="199">
        <f t="shared" si="74"/>
        <v>-0.014342870147751</v>
      </c>
      <c r="EG53" s="192"/>
      <c r="EH53" s="192"/>
      <c r="EJ53" s="8" t="str">
        <f t="shared" si="75"/>
        <v>2026//4/14</v>
      </c>
      <c r="EK53" s="263">
        <v>1457322.96</v>
      </c>
      <c r="EL53" s="12">
        <f t="shared" si="76"/>
        <v>1478122.96</v>
      </c>
      <c r="EM53" s="12">
        <f t="shared" si="77"/>
        <v>-20800</v>
      </c>
      <c r="EN53" s="199">
        <f t="shared" si="78"/>
        <v>-0.0140719010277738</v>
      </c>
      <c r="EO53" s="192"/>
      <c r="EP53" s="192"/>
      <c r="ER53" s="8" t="str">
        <f t="shared" si="79"/>
        <v>2026//4/14</v>
      </c>
      <c r="ES53" s="262">
        <v>496097.02</v>
      </c>
      <c r="ET53" s="12">
        <f t="shared" si="80"/>
        <v>502247.02</v>
      </c>
      <c r="EU53" s="12">
        <f t="shared" si="81"/>
        <v>-6150</v>
      </c>
      <c r="EV53" s="199">
        <f t="shared" si="82"/>
        <v>-0.0122449706122696</v>
      </c>
      <c r="EW53" s="192"/>
      <c r="EX53" s="192"/>
      <c r="EZ53" s="8" t="str">
        <f t="shared" si="83"/>
        <v>2026//4/14</v>
      </c>
      <c r="FA53" s="262">
        <v>735808</v>
      </c>
      <c r="FB53" s="12">
        <f t="shared" si="84"/>
        <v>730508</v>
      </c>
      <c r="FC53" s="12">
        <f t="shared" si="85"/>
        <v>5300</v>
      </c>
      <c r="FD53" s="199">
        <f t="shared" si="86"/>
        <v>0.00725522513100473</v>
      </c>
      <c r="FE53" s="192"/>
      <c r="FF53" s="192"/>
      <c r="FG53" s="192"/>
      <c r="FH53" s="8" t="str">
        <f t="shared" si="87"/>
        <v>2026//4/14</v>
      </c>
      <c r="FI53" s="263">
        <v>1107895.33</v>
      </c>
      <c r="FJ53" s="12">
        <f t="shared" si="88"/>
        <v>1073595.33</v>
      </c>
      <c r="FK53" s="12">
        <f t="shared" si="89"/>
        <v>34300</v>
      </c>
      <c r="FL53" s="199">
        <f t="shared" si="90"/>
        <v>0.031948723174867</v>
      </c>
      <c r="FM53" s="201"/>
      <c r="FN53" s="201"/>
      <c r="FP53" s="8" t="str">
        <f t="shared" si="91"/>
        <v>2026//4/14</v>
      </c>
      <c r="FQ53" s="262">
        <v>2187718.73</v>
      </c>
      <c r="FR53" s="12">
        <f t="shared" si="92"/>
        <v>2215018.73</v>
      </c>
      <c r="FS53" s="12">
        <f t="shared" si="93"/>
        <v>-27300</v>
      </c>
      <c r="FT53" s="199">
        <f t="shared" si="94"/>
        <v>-0.0123249522138352</v>
      </c>
      <c r="FU53" s="192"/>
      <c r="FV53" s="192"/>
      <c r="FX53" s="8" t="str">
        <f t="shared" si="95"/>
        <v>2026//4/14</v>
      </c>
      <c r="FY53" s="262">
        <v>8326782.05</v>
      </c>
      <c r="FZ53" s="12">
        <f t="shared" si="96"/>
        <v>8359982.05</v>
      </c>
      <c r="GA53" s="12">
        <f t="shared" si="97"/>
        <v>-33200</v>
      </c>
      <c r="GB53" s="199">
        <f t="shared" si="98"/>
        <v>-0.00397130039292369</v>
      </c>
      <c r="GC53" s="192"/>
      <c r="GD53" s="192"/>
      <c r="GF53" s="8" t="str">
        <f t="shared" si="99"/>
        <v>2026//4/14</v>
      </c>
      <c r="GG53" s="262">
        <v>4603769.49</v>
      </c>
      <c r="GH53" s="12">
        <f t="shared" si="100"/>
        <v>4602369.49</v>
      </c>
      <c r="GI53" s="12">
        <f t="shared" si="101"/>
        <v>1400</v>
      </c>
      <c r="GJ53" s="199">
        <f t="shared" si="102"/>
        <v>0.000304191135249334</v>
      </c>
      <c r="GK53" s="192"/>
      <c r="GL53" s="192"/>
      <c r="GN53" s="8" t="str">
        <f t="shared" si="103"/>
        <v>2026//4/14</v>
      </c>
      <c r="GO53" s="263">
        <v>1745218.12</v>
      </c>
      <c r="GP53" s="12">
        <f t="shared" si="104"/>
        <v>1752358.12</v>
      </c>
      <c r="GQ53" s="12">
        <f t="shared" si="105"/>
        <v>-7140</v>
      </c>
      <c r="GR53" s="199">
        <f t="shared" si="106"/>
        <v>-0.00407450960994206</v>
      </c>
      <c r="GS53" s="192"/>
      <c r="GT53" s="192"/>
      <c r="GV53" s="8" t="str">
        <f t="shared" si="107"/>
        <v>2026//4/14</v>
      </c>
      <c r="GW53" s="262">
        <v>954749.4</v>
      </c>
      <c r="GX53" s="12">
        <f t="shared" si="108"/>
        <v>960949.4</v>
      </c>
      <c r="GY53" s="12">
        <f t="shared" si="109"/>
        <v>-6200</v>
      </c>
      <c r="GZ53" s="199">
        <f t="shared" si="110"/>
        <v>-0.0064519526210225</v>
      </c>
      <c r="HA53" s="192"/>
      <c r="HB53" s="192"/>
      <c r="HD53" s="8" t="str">
        <f t="shared" si="111"/>
        <v>2026//4/14</v>
      </c>
      <c r="HE53" s="263">
        <v>1104564.67</v>
      </c>
      <c r="HF53" s="12">
        <f t="shared" si="112"/>
        <v>1097264.67</v>
      </c>
      <c r="HG53" s="12">
        <f t="shared" si="113"/>
        <v>7300</v>
      </c>
      <c r="HH53" s="199">
        <f t="shared" si="114"/>
        <v>0.00665290717872107</v>
      </c>
      <c r="HI53" s="201"/>
      <c r="HJ53" s="192"/>
      <c r="HL53" s="8" t="str">
        <f t="shared" si="115"/>
        <v>2026//4/14</v>
      </c>
      <c r="HM53" s="262">
        <v>152554.25</v>
      </c>
      <c r="HN53" s="12">
        <f t="shared" si="116"/>
        <v>153004.25</v>
      </c>
      <c r="HO53" s="12">
        <f t="shared" si="117"/>
        <v>-450</v>
      </c>
      <c r="HP53" s="199">
        <f t="shared" si="118"/>
        <v>-0.00294109477351119</v>
      </c>
      <c r="HQ53" s="192"/>
      <c r="HR53" s="192"/>
      <c r="HT53" s="8" t="str">
        <f t="shared" si="119"/>
        <v>2026//4/14</v>
      </c>
      <c r="HU53" s="263">
        <v>222168.82</v>
      </c>
      <c r="HV53" s="12">
        <f t="shared" si="120"/>
        <v>246568.82</v>
      </c>
      <c r="HW53" s="12">
        <f t="shared" si="121"/>
        <v>-24400</v>
      </c>
      <c r="HX53" s="199">
        <f t="shared" si="122"/>
        <v>-0.0989581732191443</v>
      </c>
      <c r="HY53" s="192"/>
      <c r="HZ53" s="192"/>
      <c r="IB53" s="8" t="str">
        <f t="shared" si="123"/>
        <v>2026//4/14</v>
      </c>
      <c r="IC53" s="262">
        <v>376984.79</v>
      </c>
      <c r="ID53" s="12">
        <f t="shared" si="124"/>
        <v>377459.79</v>
      </c>
      <c r="IE53" s="12">
        <f t="shared" si="125"/>
        <v>-475</v>
      </c>
      <c r="IF53" s="199">
        <f t="shared" si="126"/>
        <v>-0.00125841218742796</v>
      </c>
      <c r="IG53" s="201"/>
      <c r="IH53" s="192"/>
      <c r="IJ53" s="8" t="str">
        <f t="shared" si="127"/>
        <v>2026//4/14</v>
      </c>
      <c r="IK53" s="263">
        <v>576796.29</v>
      </c>
      <c r="IL53" s="12">
        <f t="shared" si="128"/>
        <v>567916.29</v>
      </c>
      <c r="IM53" s="12">
        <f t="shared" si="129"/>
        <v>8880</v>
      </c>
      <c r="IN53" s="199">
        <f t="shared" si="130"/>
        <v>0.0156361072157307</v>
      </c>
      <c r="IO53" s="192"/>
      <c r="IP53" s="192"/>
      <c r="IR53" s="8" t="str">
        <f t="shared" si="131"/>
        <v>2026//4/14</v>
      </c>
      <c r="IS53" s="262">
        <v>139489</v>
      </c>
      <c r="IT53" s="12">
        <f t="shared" si="132"/>
        <v>140589</v>
      </c>
      <c r="IU53" s="12">
        <f t="shared" si="133"/>
        <v>-1100</v>
      </c>
      <c r="IV53" s="199">
        <f t="shared" si="134"/>
        <v>-0.00782422522387954</v>
      </c>
      <c r="IW53" s="192"/>
      <c r="IX53" s="192"/>
      <c r="IZ53" s="8" t="str">
        <f t="shared" si="135"/>
        <v>2026//4/14</v>
      </c>
      <c r="JA53" s="262">
        <v>4900729.15</v>
      </c>
      <c r="JB53" s="12">
        <f t="shared" si="136"/>
        <v>4875329.15</v>
      </c>
      <c r="JC53" s="12">
        <f t="shared" si="137"/>
        <v>25400</v>
      </c>
      <c r="JD53" s="199">
        <f t="shared" si="138"/>
        <v>0.00520990464818155</v>
      </c>
      <c r="JE53" s="192"/>
      <c r="JF53" s="192"/>
      <c r="JH53" s="8" t="str">
        <f t="shared" si="139"/>
        <v>2026//4/14</v>
      </c>
      <c r="JI53" s="262">
        <v>1367307.99</v>
      </c>
      <c r="JJ53" s="12">
        <f t="shared" si="140"/>
        <v>1373067.99</v>
      </c>
      <c r="JK53" s="12">
        <f t="shared" si="141"/>
        <v>-5760</v>
      </c>
      <c r="JL53" s="199">
        <f t="shared" si="142"/>
        <v>-0.00419498527527395</v>
      </c>
      <c r="JM53" s="192"/>
      <c r="JN53" s="192"/>
      <c r="JO53" s="192"/>
      <c r="JP53" s="8" t="str">
        <f t="shared" si="143"/>
        <v>2026//4/14</v>
      </c>
      <c r="JQ53" s="263">
        <v>1037890.41</v>
      </c>
      <c r="JR53" s="12">
        <f t="shared" si="144"/>
        <v>1039290.41</v>
      </c>
      <c r="JS53" s="12">
        <f t="shared" si="145"/>
        <v>-1400</v>
      </c>
      <c r="JT53" s="199">
        <f t="shared" si="146"/>
        <v>-0.00134707295143809</v>
      </c>
      <c r="JU53" s="192"/>
      <c r="JV53" s="192"/>
      <c r="JW53" s="201"/>
      <c r="JX53" s="8" t="str">
        <f t="shared" si="147"/>
        <v>2026//4/14</v>
      </c>
      <c r="JY53" s="262">
        <v>1197348.8</v>
      </c>
      <c r="JZ53" s="12">
        <f t="shared" si="148"/>
        <v>1203048.8</v>
      </c>
      <c r="KA53" s="12">
        <f t="shared" si="149"/>
        <v>-5700</v>
      </c>
      <c r="KB53" s="199">
        <f t="shared" si="150"/>
        <v>-0.00473796241681967</v>
      </c>
      <c r="KC53" s="192"/>
      <c r="KD53" s="192"/>
      <c r="KE53" s="201"/>
      <c r="KF53" s="8" t="str">
        <f t="shared" si="151"/>
        <v>2026//4/14</v>
      </c>
      <c r="KG53" s="263">
        <v>732555.92</v>
      </c>
      <c r="KH53" s="12">
        <f t="shared" si="152"/>
        <v>732555.92</v>
      </c>
      <c r="KI53" s="12">
        <f t="shared" si="153"/>
        <v>0</v>
      </c>
      <c r="KJ53" s="199">
        <f t="shared" si="154"/>
        <v>0</v>
      </c>
      <c r="KK53" s="201"/>
      <c r="KL53" s="201"/>
      <c r="KN53" s="8" t="str">
        <f t="shared" si="155"/>
        <v>2026//4/14</v>
      </c>
      <c r="KO53" s="262">
        <v>8322675.95</v>
      </c>
      <c r="KP53" s="12">
        <f t="shared" si="156"/>
        <v>8322775.95</v>
      </c>
      <c r="KQ53" s="12">
        <f t="shared" si="157"/>
        <v>-100</v>
      </c>
      <c r="KR53" s="199">
        <f t="shared" si="158"/>
        <v>-1.20152219164328e-5</v>
      </c>
      <c r="KS53" s="192"/>
      <c r="KT53" s="192"/>
      <c r="KV53" s="8" t="str">
        <f t="shared" si="159"/>
        <v>2026//4/14</v>
      </c>
      <c r="KW53" s="263">
        <v>966672.97</v>
      </c>
      <c r="KX53" s="12">
        <f t="shared" si="160"/>
        <v>962772.97</v>
      </c>
      <c r="KY53" s="12">
        <f t="shared" si="161"/>
        <v>3900</v>
      </c>
      <c r="KZ53" s="199">
        <f t="shared" si="162"/>
        <v>0.00405079922424494</v>
      </c>
      <c r="LA53" s="201"/>
      <c r="LB53" s="192"/>
      <c r="LD53" s="8" t="str">
        <f t="shared" si="163"/>
        <v>2026//4/14</v>
      </c>
      <c r="LE53" s="262">
        <v>461907.7</v>
      </c>
      <c r="LF53" s="12">
        <f t="shared" si="164"/>
        <v>459657.7</v>
      </c>
      <c r="LG53" s="12">
        <f t="shared" si="165"/>
        <v>2250</v>
      </c>
      <c r="LH53" s="199">
        <f t="shared" si="166"/>
        <v>0.0048949468267365</v>
      </c>
      <c r="LI53" s="192"/>
      <c r="LJ53" s="192"/>
      <c r="LL53" s="8" t="str">
        <f t="shared" si="167"/>
        <v>2026//4/14</v>
      </c>
      <c r="LM53" s="262">
        <v>3528835.02</v>
      </c>
      <c r="LN53" s="12">
        <f t="shared" si="168"/>
        <v>3518935.02</v>
      </c>
      <c r="LO53" s="12">
        <f t="shared" si="169"/>
        <v>9900</v>
      </c>
      <c r="LP53" s="199">
        <f t="shared" si="170"/>
        <v>0.00281335118259728</v>
      </c>
      <c r="LQ53" s="192"/>
      <c r="LR53" s="192"/>
      <c r="LT53" s="8" t="str">
        <f t="shared" si="171"/>
        <v>2026//4/14</v>
      </c>
      <c r="LU53" s="263">
        <v>2619862.9</v>
      </c>
      <c r="LV53" s="12">
        <f t="shared" si="172"/>
        <v>2616862.9</v>
      </c>
      <c r="LW53" s="12">
        <f t="shared" si="173"/>
        <v>3000</v>
      </c>
      <c r="LX53" s="199">
        <f t="shared" si="174"/>
        <v>0.00114641084177547</v>
      </c>
      <c r="LY53" s="192"/>
      <c r="LZ53" s="192"/>
      <c r="MB53" s="8" t="str">
        <f t="shared" si="175"/>
        <v>2026//4/14</v>
      </c>
      <c r="MC53" s="262">
        <v>762467.69</v>
      </c>
      <c r="MD53" s="12">
        <f t="shared" si="176"/>
        <v>753367.69</v>
      </c>
      <c r="ME53" s="12">
        <f t="shared" si="177"/>
        <v>9100</v>
      </c>
      <c r="MF53" s="199">
        <f t="shared" si="178"/>
        <v>0.0120790951361347</v>
      </c>
      <c r="MG53" s="192"/>
      <c r="MH53" s="192"/>
      <c r="MI53" s="8"/>
      <c r="MJ53" s="8"/>
      <c r="MK53" s="8" t="str">
        <f t="shared" si="179"/>
        <v>2026//4/14</v>
      </c>
      <c r="ML53" s="263">
        <v>219585.53</v>
      </c>
      <c r="MM53" s="12">
        <f t="shared" si="180"/>
        <v>218385.53</v>
      </c>
      <c r="MN53" s="12">
        <f t="shared" si="181"/>
        <v>1200</v>
      </c>
      <c r="MO53" s="199">
        <f t="shared" si="182"/>
        <v>0.00549486955477316</v>
      </c>
      <c r="MP53" s="192"/>
      <c r="MQ53" s="201"/>
      <c r="MR53" s="201"/>
      <c r="MT53" s="8" t="str">
        <f t="shared" si="183"/>
        <v>2026//4/14</v>
      </c>
      <c r="MU53" s="262">
        <v>246314.8</v>
      </c>
      <c r="MV53" s="204">
        <f t="shared" si="184"/>
        <v>249414.8</v>
      </c>
      <c r="MW53" s="8">
        <f t="shared" si="185"/>
        <v>-3100</v>
      </c>
      <c r="MX53" s="192">
        <f t="shared" si="186"/>
        <v>-0.0124290940232897</v>
      </c>
      <c r="MY53" s="192"/>
      <c r="MZ53" s="192"/>
      <c r="NA53" s="192"/>
      <c r="NC53" s="8" t="str">
        <f t="shared" si="187"/>
        <v>2026//4/14</v>
      </c>
      <c r="ND53" s="262">
        <v>43491.48</v>
      </c>
      <c r="NE53" s="204">
        <f t="shared" si="188"/>
        <v>43491.48</v>
      </c>
      <c r="NF53" s="8">
        <f t="shared" si="189"/>
        <v>0</v>
      </c>
      <c r="NG53" s="192">
        <f t="shared" si="190"/>
        <v>0</v>
      </c>
      <c r="NH53" s="192"/>
      <c r="NI53" s="192"/>
      <c r="NJ53" s="192"/>
      <c r="NK53" s="192"/>
      <c r="NM53" s="8" t="str">
        <f t="shared" si="191"/>
        <v>2026//4/14</v>
      </c>
      <c r="NN53" s="262">
        <v>2598111.08</v>
      </c>
      <c r="NO53" s="8">
        <f t="shared" si="192"/>
        <v>2610911.08</v>
      </c>
      <c r="NP53" s="210">
        <f t="shared" si="193"/>
        <v>-12800</v>
      </c>
      <c r="NQ53" s="211">
        <f t="shared" si="194"/>
        <v>-0.00490250322887289</v>
      </c>
      <c r="NR53" s="192"/>
      <c r="NU53" s="8" t="str">
        <f t="shared" si="195"/>
        <v>2026//4/14</v>
      </c>
      <c r="NV53" s="262">
        <v>252076.5</v>
      </c>
      <c r="NW53" s="205">
        <f t="shared" si="196"/>
        <v>251576.5</v>
      </c>
      <c r="NX53" s="210">
        <f t="shared" si="197"/>
        <v>500</v>
      </c>
      <c r="NY53" s="211">
        <f t="shared" si="198"/>
        <v>0.00198746703289059</v>
      </c>
      <c r="NZ53" s="201"/>
      <c r="OA53" s="200"/>
      <c r="OC53" s="8" t="str">
        <f t="shared" si="199"/>
        <v>2026//4/14</v>
      </c>
      <c r="OD53" s="262">
        <v>12958.97</v>
      </c>
      <c r="OE53" s="12">
        <f t="shared" si="200"/>
        <v>12805.97</v>
      </c>
      <c r="OF53" s="12">
        <f t="shared" si="201"/>
        <v>153</v>
      </c>
      <c r="OG53" s="199">
        <f t="shared" si="202"/>
        <v>0.0119475525868013</v>
      </c>
      <c r="OH53" s="192"/>
      <c r="OI53" s="192"/>
      <c r="OK53" s="8" t="str">
        <f t="shared" si="203"/>
        <v>2026//4/14</v>
      </c>
      <c r="OL53" s="262">
        <v>12035.65</v>
      </c>
      <c r="OM53" s="12">
        <f t="shared" si="204"/>
        <v>11904.65</v>
      </c>
      <c r="ON53" s="12">
        <f t="shared" si="205"/>
        <v>131</v>
      </c>
      <c r="OO53" s="199">
        <f t="shared" si="206"/>
        <v>0.0110041034385723</v>
      </c>
      <c r="OP53" s="192"/>
      <c r="OQ53" s="192"/>
      <c r="OT53" s="234" t="str">
        <f t="shared" si="207"/>
        <v>2026//4/14</v>
      </c>
      <c r="OU53" s="206">
        <v>144792.4066</v>
      </c>
      <c r="OV53" s="8">
        <f t="shared" si="208"/>
        <v>144672.4066</v>
      </c>
      <c r="OW53" s="191">
        <f t="shared" si="209"/>
        <v>120</v>
      </c>
      <c r="OX53" s="192">
        <f t="shared" si="210"/>
        <v>0.000829460177100558</v>
      </c>
    </row>
    <row r="54" s="8" customFormat="1" ht="17" customHeight="1" spans="1:414">
      <c r="A54" s="15"/>
      <c r="B54" s="15"/>
      <c r="C54" s="15" t="s">
        <v>481</v>
      </c>
      <c r="D54" s="19">
        <v>4385838.77</v>
      </c>
      <c r="E54" s="19">
        <f t="shared" si="8"/>
        <v>4407708.77</v>
      </c>
      <c r="F54" s="19">
        <f t="shared" si="9"/>
        <v>-21870</v>
      </c>
      <c r="G54" s="172">
        <f t="shared" si="10"/>
        <v>-0.00496176157300883</v>
      </c>
      <c r="H54" s="18"/>
      <c r="I54" s="172"/>
      <c r="J54" s="172"/>
      <c r="K54" s="8" t="str">
        <f t="shared" si="11"/>
        <v>2026//4/13</v>
      </c>
      <c r="L54" s="262">
        <v>3128554.4</v>
      </c>
      <c r="M54" s="19">
        <f t="shared" si="12"/>
        <v>3135034.4</v>
      </c>
      <c r="N54" s="19">
        <f t="shared" si="13"/>
        <v>-6480</v>
      </c>
      <c r="O54" s="172">
        <f t="shared" si="14"/>
        <v>-0.00206696296538245</v>
      </c>
      <c r="P54" s="18"/>
      <c r="Q54" s="172"/>
      <c r="R54" s="19"/>
      <c r="S54" s="8" t="str">
        <f t="shared" si="15"/>
        <v>2026//4/13</v>
      </c>
      <c r="T54" s="262">
        <v>2270316.68</v>
      </c>
      <c r="U54" s="19">
        <f t="shared" si="16"/>
        <v>2279136.68</v>
      </c>
      <c r="V54" s="19">
        <f t="shared" si="17"/>
        <v>-8820</v>
      </c>
      <c r="W54" s="172">
        <f t="shared" si="18"/>
        <v>-0.00386988638171538</v>
      </c>
      <c r="X54" s="18"/>
      <c r="Y54" s="172"/>
      <c r="Z54" s="19"/>
      <c r="AA54" s="8" t="str">
        <f t="shared" si="19"/>
        <v>2026//4/13</v>
      </c>
      <c r="AB54" s="262">
        <v>996616.86</v>
      </c>
      <c r="AC54" s="19">
        <f t="shared" si="20"/>
        <v>1022896.86</v>
      </c>
      <c r="AD54" s="19">
        <f t="shared" si="21"/>
        <v>-26280</v>
      </c>
      <c r="AE54" s="172">
        <f t="shared" si="22"/>
        <v>-0.025691739829957</v>
      </c>
      <c r="AF54" s="18"/>
      <c r="AG54" s="172"/>
      <c r="AH54" s="19"/>
      <c r="AI54" s="8" t="str">
        <f t="shared" si="23"/>
        <v>2026//4/13</v>
      </c>
      <c r="AJ54" s="262">
        <v>763521.76</v>
      </c>
      <c r="AK54" s="19">
        <f t="shared" si="24"/>
        <v>792121.76</v>
      </c>
      <c r="AL54" s="19">
        <f t="shared" si="25"/>
        <v>-28600</v>
      </c>
      <c r="AM54" s="172">
        <f t="shared" si="26"/>
        <v>-0.0361055603370876</v>
      </c>
      <c r="AN54" s="18"/>
      <c r="AO54" s="18"/>
      <c r="AP54" s="19"/>
      <c r="AQ54" s="8" t="str">
        <f t="shared" si="27"/>
        <v>2026//4/13</v>
      </c>
      <c r="AR54" s="263">
        <v>1490845.49</v>
      </c>
      <c r="AS54" s="19">
        <f t="shared" si="28"/>
        <v>1495245.49</v>
      </c>
      <c r="AT54" s="19">
        <f t="shared" si="29"/>
        <v>-4400</v>
      </c>
      <c r="AU54" s="172">
        <f t="shared" si="30"/>
        <v>-0.00294266060618581</v>
      </c>
      <c r="AV54" s="18"/>
      <c r="AW54" s="18"/>
      <c r="AX54" s="17"/>
      <c r="AY54" s="17"/>
      <c r="AZ54" s="8" t="str">
        <f t="shared" si="31"/>
        <v>2026//4/13</v>
      </c>
      <c r="BA54" s="263">
        <v>1960221.66</v>
      </c>
      <c r="BB54" s="129">
        <f t="shared" si="32"/>
        <v>1962561.66</v>
      </c>
      <c r="BC54" s="17">
        <f t="shared" si="33"/>
        <v>-2340</v>
      </c>
      <c r="BD54" s="18">
        <f t="shared" si="34"/>
        <v>-0.00119231922629121</v>
      </c>
      <c r="BE54" s="18"/>
      <c r="BF54" s="18"/>
      <c r="BG54" s="74"/>
      <c r="BH54" s="8" t="str">
        <f t="shared" si="35"/>
        <v>2026//4/13</v>
      </c>
      <c r="BI54" s="263">
        <v>1570326.55</v>
      </c>
      <c r="BJ54" s="195">
        <f t="shared" si="36"/>
        <v>1574426.55</v>
      </c>
      <c r="BK54" s="195">
        <f t="shared" si="37"/>
        <v>-4100</v>
      </c>
      <c r="BL54" s="196">
        <f t="shared" si="38"/>
        <v>-0.00260412275186797</v>
      </c>
      <c r="BM54" s="197"/>
      <c r="BN54" s="192"/>
      <c r="BP54" s="8" t="str">
        <f t="shared" si="39"/>
        <v>2026//4/13</v>
      </c>
      <c r="BQ54" s="263">
        <v>1109162.39</v>
      </c>
      <c r="BR54" s="12">
        <f t="shared" si="40"/>
        <v>1114962.39</v>
      </c>
      <c r="BS54" s="12">
        <f t="shared" si="41"/>
        <v>-5800</v>
      </c>
      <c r="BT54" s="199">
        <f t="shared" si="42"/>
        <v>-0.00520196918929256</v>
      </c>
      <c r="BU54" s="192"/>
      <c r="BV54" s="192"/>
      <c r="BX54" s="8" t="str">
        <f t="shared" si="43"/>
        <v>2026//4/13</v>
      </c>
      <c r="BY54" s="257">
        <v>3223660.7</v>
      </c>
      <c r="BZ54" s="12">
        <f t="shared" si="44"/>
        <v>3266010.7</v>
      </c>
      <c r="CA54" s="12">
        <f t="shared" si="45"/>
        <v>-42350</v>
      </c>
      <c r="CB54" s="199">
        <f t="shared" si="46"/>
        <v>-0.0129668895450955</v>
      </c>
      <c r="CC54" s="192"/>
      <c r="CD54" s="201"/>
      <c r="CF54" s="8" t="str">
        <f t="shared" si="47"/>
        <v>2026//4/13</v>
      </c>
      <c r="CG54" s="262">
        <v>1401853.9</v>
      </c>
      <c r="CH54" s="12">
        <f t="shared" si="48"/>
        <v>1408003.9</v>
      </c>
      <c r="CI54" s="12">
        <f t="shared" si="49"/>
        <v>-6150</v>
      </c>
      <c r="CJ54" s="199">
        <f t="shared" si="50"/>
        <v>-0.00436788562872589</v>
      </c>
      <c r="CK54" s="192"/>
      <c r="CL54" s="201"/>
      <c r="CN54" s="8" t="str">
        <f t="shared" si="51"/>
        <v>2026//4/13</v>
      </c>
      <c r="CO54" s="262">
        <v>666846.48</v>
      </c>
      <c r="CP54" s="12">
        <f t="shared" si="52"/>
        <v>667146.48</v>
      </c>
      <c r="CQ54" s="12">
        <f t="shared" si="53"/>
        <v>-300</v>
      </c>
      <c r="CR54" s="199">
        <f t="shared" si="54"/>
        <v>-0.00044967635893095</v>
      </c>
      <c r="CS54" s="201"/>
      <c r="CT54" s="201"/>
      <c r="CV54" s="8" t="str">
        <f t="shared" si="55"/>
        <v>2026//4/13</v>
      </c>
      <c r="CW54" s="262">
        <v>593640.4</v>
      </c>
      <c r="CX54" s="12">
        <f t="shared" si="56"/>
        <v>601240.4</v>
      </c>
      <c r="CY54" s="12">
        <f t="shared" si="57"/>
        <v>-7600</v>
      </c>
      <c r="CZ54" s="199">
        <f t="shared" si="58"/>
        <v>-0.012640534468409</v>
      </c>
      <c r="DA54" s="192"/>
      <c r="DB54" s="192"/>
      <c r="DC54" s="202"/>
      <c r="DD54" s="8" t="str">
        <f t="shared" si="59"/>
        <v>2026//4/13</v>
      </c>
      <c r="DE54" s="257">
        <v>2416117.99</v>
      </c>
      <c r="DF54" s="12">
        <f t="shared" si="60"/>
        <v>2399317.99</v>
      </c>
      <c r="DG54" s="12">
        <f t="shared" si="61"/>
        <v>16800</v>
      </c>
      <c r="DH54" s="199">
        <f t="shared" si="62"/>
        <v>0.00700198976126545</v>
      </c>
      <c r="DI54" s="192"/>
      <c r="DJ54" s="192"/>
      <c r="DL54" s="8" t="str">
        <f t="shared" si="63"/>
        <v>2026//4/13</v>
      </c>
      <c r="DM54" s="262">
        <v>1300500.36</v>
      </c>
      <c r="DN54" s="12">
        <f t="shared" si="64"/>
        <v>1315700.36</v>
      </c>
      <c r="DO54" s="12">
        <f t="shared" si="65"/>
        <v>-15200</v>
      </c>
      <c r="DP54" s="199">
        <f t="shared" si="66"/>
        <v>-0.0115527824283639</v>
      </c>
      <c r="DQ54" s="192"/>
      <c r="DR54" s="192"/>
      <c r="DT54" s="8" t="str">
        <f t="shared" si="67"/>
        <v>2026//4/13</v>
      </c>
      <c r="DU54" s="262">
        <v>1565489.48</v>
      </c>
      <c r="DV54" s="12">
        <f t="shared" si="68"/>
        <v>1594889.48</v>
      </c>
      <c r="DW54" s="12">
        <f t="shared" si="69"/>
        <v>-29400</v>
      </c>
      <c r="DX54" s="199">
        <f t="shared" si="70"/>
        <v>-0.0184338791926824</v>
      </c>
      <c r="DY54" s="192"/>
      <c r="DZ54" s="192"/>
      <c r="EB54" s="8" t="str">
        <f t="shared" si="71"/>
        <v>2026//4/13</v>
      </c>
      <c r="EC54" s="262">
        <v>4957166.82</v>
      </c>
      <c r="ED54" s="12">
        <f t="shared" si="72"/>
        <v>5068166.82</v>
      </c>
      <c r="EE54" s="12">
        <f t="shared" si="73"/>
        <v>-111000</v>
      </c>
      <c r="EF54" s="199">
        <f t="shared" si="74"/>
        <v>-0.0219014101039397</v>
      </c>
      <c r="EG54" s="192"/>
      <c r="EH54" s="192"/>
      <c r="EJ54" s="8" t="str">
        <f t="shared" si="75"/>
        <v>2026//4/13</v>
      </c>
      <c r="EK54" s="257">
        <v>1478122.96</v>
      </c>
      <c r="EL54" s="12">
        <f t="shared" si="76"/>
        <v>1492522.96</v>
      </c>
      <c r="EM54" s="12">
        <f t="shared" si="77"/>
        <v>-14400</v>
      </c>
      <c r="EN54" s="199">
        <f t="shared" si="78"/>
        <v>-0.00964809278377868</v>
      </c>
      <c r="EO54" s="192"/>
      <c r="EP54" s="192"/>
      <c r="ER54" s="8" t="str">
        <f t="shared" si="79"/>
        <v>2026//4/13</v>
      </c>
      <c r="ES54" s="262">
        <v>502247.02</v>
      </c>
      <c r="ET54" s="12">
        <f t="shared" si="80"/>
        <v>509297.02</v>
      </c>
      <c r="EU54" s="12">
        <f t="shared" si="81"/>
        <v>-7050</v>
      </c>
      <c r="EV54" s="199">
        <f t="shared" si="82"/>
        <v>-0.0138426099567596</v>
      </c>
      <c r="EW54" s="192"/>
      <c r="EX54" s="192"/>
      <c r="EZ54" s="8" t="str">
        <f t="shared" si="83"/>
        <v>2026//4/13</v>
      </c>
      <c r="FA54" s="262">
        <v>730508</v>
      </c>
      <c r="FB54" s="12">
        <f t="shared" si="84"/>
        <v>735608</v>
      </c>
      <c r="FC54" s="12">
        <f t="shared" si="85"/>
        <v>-5100</v>
      </c>
      <c r="FD54" s="199">
        <f t="shared" si="86"/>
        <v>-0.00693304042370393</v>
      </c>
      <c r="FE54" s="192"/>
      <c r="FF54" s="192"/>
      <c r="FG54" s="192"/>
      <c r="FH54" s="8" t="str">
        <f t="shared" si="87"/>
        <v>2026//4/13</v>
      </c>
      <c r="FI54" s="198">
        <v>1073595.33</v>
      </c>
      <c r="FJ54" s="12">
        <f t="shared" si="88"/>
        <v>1067295.33</v>
      </c>
      <c r="FK54" s="12">
        <f t="shared" si="89"/>
        <v>6300</v>
      </c>
      <c r="FL54" s="199">
        <f t="shared" si="90"/>
        <v>0.00590277107274516</v>
      </c>
      <c r="FM54" s="201"/>
      <c r="FN54" s="201"/>
      <c r="FP54" s="8" t="str">
        <f t="shared" si="91"/>
        <v>2026//4/13</v>
      </c>
      <c r="FQ54" s="262">
        <v>2215018.73</v>
      </c>
      <c r="FR54" s="12">
        <f t="shared" si="92"/>
        <v>2217568.73</v>
      </c>
      <c r="FS54" s="12">
        <f t="shared" si="93"/>
        <v>-2550</v>
      </c>
      <c r="FT54" s="199">
        <f t="shared" si="94"/>
        <v>-0.00114990798954854</v>
      </c>
      <c r="FU54" s="192"/>
      <c r="FV54" s="192"/>
      <c r="FX54" s="8" t="str">
        <f t="shared" si="95"/>
        <v>2026//4/13</v>
      </c>
      <c r="FY54" s="262">
        <v>8359982.05</v>
      </c>
      <c r="FZ54" s="12">
        <f t="shared" si="96"/>
        <v>8339082.05</v>
      </c>
      <c r="GA54" s="12">
        <f t="shared" si="97"/>
        <v>20900</v>
      </c>
      <c r="GB54" s="199">
        <f t="shared" si="98"/>
        <v>0.00250627105893508</v>
      </c>
      <c r="GC54" s="192"/>
      <c r="GD54" s="192"/>
      <c r="GF54" s="8" t="str">
        <f t="shared" si="99"/>
        <v>2026//4/13</v>
      </c>
      <c r="GG54" s="262">
        <v>4602369.49</v>
      </c>
      <c r="GH54" s="12">
        <f t="shared" si="100"/>
        <v>4608569.49</v>
      </c>
      <c r="GI54" s="12">
        <f t="shared" si="101"/>
        <v>-6200</v>
      </c>
      <c r="GJ54" s="199">
        <f t="shared" si="102"/>
        <v>-0.0013453198467449</v>
      </c>
      <c r="GK54" s="192"/>
      <c r="GL54" s="192"/>
      <c r="GN54" s="8" t="str">
        <f t="shared" si="103"/>
        <v>2026//4/13</v>
      </c>
      <c r="GO54" s="257">
        <v>1752358.12</v>
      </c>
      <c r="GP54" s="12">
        <f t="shared" si="104"/>
        <v>1764658.12</v>
      </c>
      <c r="GQ54" s="12">
        <f t="shared" si="105"/>
        <v>-12300</v>
      </c>
      <c r="GR54" s="199">
        <f t="shared" si="106"/>
        <v>-0.00697018865047922</v>
      </c>
      <c r="GS54" s="192"/>
      <c r="GT54" s="192"/>
      <c r="GV54" s="8" t="str">
        <f t="shared" si="107"/>
        <v>2026//4/13</v>
      </c>
      <c r="GW54" s="262">
        <v>960949.4</v>
      </c>
      <c r="GX54" s="12">
        <f t="shared" si="108"/>
        <v>965749.4</v>
      </c>
      <c r="GY54" s="12">
        <f t="shared" si="109"/>
        <v>-4800</v>
      </c>
      <c r="GZ54" s="199">
        <f t="shared" si="110"/>
        <v>-0.0049702334787886</v>
      </c>
      <c r="HA54" s="192"/>
      <c r="HB54" s="192"/>
      <c r="HD54" s="8" t="str">
        <f t="shared" si="111"/>
        <v>2026//4/13</v>
      </c>
      <c r="HE54" s="257">
        <v>1097264.67</v>
      </c>
      <c r="HF54" s="12">
        <f t="shared" si="112"/>
        <v>1081464.67</v>
      </c>
      <c r="HG54" s="12">
        <f t="shared" si="113"/>
        <v>15800</v>
      </c>
      <c r="HH54" s="199">
        <f t="shared" si="114"/>
        <v>0.0146098161486866</v>
      </c>
      <c r="HI54" s="201"/>
      <c r="HJ54" s="192"/>
      <c r="HL54" s="8" t="str">
        <f t="shared" si="115"/>
        <v>2026//4/13</v>
      </c>
      <c r="HM54" s="262">
        <v>153004.25</v>
      </c>
      <c r="HN54" s="12">
        <f t="shared" si="116"/>
        <v>154404.25</v>
      </c>
      <c r="HO54" s="12">
        <f t="shared" si="117"/>
        <v>-1400</v>
      </c>
      <c r="HP54" s="199">
        <f t="shared" si="118"/>
        <v>-0.00906710793258605</v>
      </c>
      <c r="HQ54" s="192"/>
      <c r="HR54" s="192"/>
      <c r="HT54" s="8" t="str">
        <f t="shared" si="119"/>
        <v>2026//4/13</v>
      </c>
      <c r="HU54" s="263">
        <v>246568.82</v>
      </c>
      <c r="HV54" s="12">
        <f t="shared" si="120"/>
        <v>260068.82</v>
      </c>
      <c r="HW54" s="12">
        <f t="shared" si="121"/>
        <v>-13500</v>
      </c>
      <c r="HX54" s="199">
        <f t="shared" si="122"/>
        <v>-0.0519093369208966</v>
      </c>
      <c r="HY54" s="192"/>
      <c r="HZ54" s="192"/>
      <c r="IB54" s="8" t="str">
        <f t="shared" si="123"/>
        <v>2026//4/13</v>
      </c>
      <c r="IC54" s="262">
        <v>377459.79</v>
      </c>
      <c r="ID54" s="12">
        <f t="shared" si="124"/>
        <v>398959.79</v>
      </c>
      <c r="IE54" s="12">
        <f t="shared" si="125"/>
        <v>-21500</v>
      </c>
      <c r="IF54" s="199">
        <f t="shared" si="126"/>
        <v>-0.0538901426632493</v>
      </c>
      <c r="IG54" s="201"/>
      <c r="IH54" s="192"/>
      <c r="IJ54" s="8" t="str">
        <f t="shared" si="127"/>
        <v>2026//4/13</v>
      </c>
      <c r="IK54" s="263">
        <v>567916.29</v>
      </c>
      <c r="IL54" s="12">
        <f t="shared" si="128"/>
        <v>576796.29</v>
      </c>
      <c r="IM54" s="12">
        <f t="shared" si="129"/>
        <v>-8880</v>
      </c>
      <c r="IN54" s="199">
        <f t="shared" si="130"/>
        <v>-0.0153953833510268</v>
      </c>
      <c r="IO54" s="192"/>
      <c r="IP54" s="192"/>
      <c r="IR54" s="8" t="str">
        <f t="shared" si="131"/>
        <v>2026//4/13</v>
      </c>
      <c r="IS54" s="262">
        <v>140589</v>
      </c>
      <c r="IT54" s="12">
        <f t="shared" si="132"/>
        <v>140889</v>
      </c>
      <c r="IU54" s="12">
        <f t="shared" si="133"/>
        <v>-300</v>
      </c>
      <c r="IV54" s="199">
        <f t="shared" si="134"/>
        <v>-0.00212933586014522</v>
      </c>
      <c r="IW54" s="192"/>
      <c r="IX54" s="192"/>
      <c r="IZ54" s="8" t="str">
        <f t="shared" si="135"/>
        <v>2026//4/13</v>
      </c>
      <c r="JA54" s="262">
        <v>4875329.15</v>
      </c>
      <c r="JB54" s="12">
        <f t="shared" si="136"/>
        <v>4852729.15</v>
      </c>
      <c r="JC54" s="12">
        <f t="shared" si="137"/>
        <v>22600</v>
      </c>
      <c r="JD54" s="199">
        <f t="shared" si="138"/>
        <v>0.00465717317027677</v>
      </c>
      <c r="JE54" s="192"/>
      <c r="JF54" s="192"/>
      <c r="JH54" s="8" t="str">
        <f t="shared" si="139"/>
        <v>2026//4/13</v>
      </c>
      <c r="JI54" s="262">
        <v>1373067.99</v>
      </c>
      <c r="JJ54" s="12">
        <f t="shared" si="140"/>
        <v>1387527.99</v>
      </c>
      <c r="JK54" s="12">
        <f t="shared" si="141"/>
        <v>-14460</v>
      </c>
      <c r="JL54" s="199">
        <f t="shared" si="142"/>
        <v>-0.0104214113907713</v>
      </c>
      <c r="JM54" s="192"/>
      <c r="JN54" s="192"/>
      <c r="JO54" s="192"/>
      <c r="JP54" s="8" t="str">
        <f t="shared" si="143"/>
        <v>2026//4/13</v>
      </c>
      <c r="JQ54" s="257">
        <v>1039290.41</v>
      </c>
      <c r="JR54" s="12">
        <f t="shared" si="144"/>
        <v>1044790.41</v>
      </c>
      <c r="JS54" s="12">
        <f t="shared" si="145"/>
        <v>-5500</v>
      </c>
      <c r="JT54" s="199">
        <f t="shared" si="146"/>
        <v>-0.00526421370961856</v>
      </c>
      <c r="JU54" s="192"/>
      <c r="JV54" s="192"/>
      <c r="JW54" s="201"/>
      <c r="JX54" s="8" t="str">
        <f t="shared" si="147"/>
        <v>2026//4/13</v>
      </c>
      <c r="JY54" s="262">
        <v>1203048.8</v>
      </c>
      <c r="JZ54" s="12">
        <f t="shared" si="148"/>
        <v>1203048.8</v>
      </c>
      <c r="KA54" s="12">
        <f t="shared" si="149"/>
        <v>0</v>
      </c>
      <c r="KB54" s="199">
        <f t="shared" si="150"/>
        <v>0</v>
      </c>
      <c r="KC54" s="192"/>
      <c r="KD54" s="192"/>
      <c r="KE54" s="201"/>
      <c r="KF54" s="8" t="str">
        <f t="shared" si="151"/>
        <v>2026//4/13</v>
      </c>
      <c r="KG54" s="257">
        <v>732555.92</v>
      </c>
      <c r="KH54" s="12">
        <f t="shared" si="152"/>
        <v>732555.92</v>
      </c>
      <c r="KI54" s="12">
        <f t="shared" si="153"/>
        <v>0</v>
      </c>
      <c r="KJ54" s="199">
        <f t="shared" si="154"/>
        <v>0</v>
      </c>
      <c r="KK54" s="201"/>
      <c r="KL54" s="201"/>
      <c r="KN54" s="8" t="str">
        <f t="shared" si="155"/>
        <v>2026//4/13</v>
      </c>
      <c r="KO54" s="262">
        <v>8322775.95</v>
      </c>
      <c r="KP54" s="12">
        <f t="shared" si="156"/>
        <v>8320775.95</v>
      </c>
      <c r="KQ54" s="12">
        <f t="shared" si="157"/>
        <v>2000</v>
      </c>
      <c r="KR54" s="199">
        <f t="shared" si="158"/>
        <v>0.000240362198431746</v>
      </c>
      <c r="KS54" s="192"/>
      <c r="KT54" s="192"/>
      <c r="KV54" s="8" t="str">
        <f t="shared" si="159"/>
        <v>2026//4/13</v>
      </c>
      <c r="KW54" s="257">
        <v>962772.97</v>
      </c>
      <c r="KX54" s="12">
        <f t="shared" si="160"/>
        <v>963472.97</v>
      </c>
      <c r="KY54" s="12">
        <f t="shared" si="161"/>
        <v>-700</v>
      </c>
      <c r="KZ54" s="199">
        <f t="shared" si="162"/>
        <v>-0.000726538285760108</v>
      </c>
      <c r="LA54" s="201"/>
      <c r="LB54" s="192"/>
      <c r="LD54" s="8" t="str">
        <f t="shared" si="163"/>
        <v>2026//4/13</v>
      </c>
      <c r="LE54" s="262">
        <v>459657.7</v>
      </c>
      <c r="LF54" s="12">
        <f t="shared" si="164"/>
        <v>457507.7</v>
      </c>
      <c r="LG54" s="12">
        <f t="shared" si="165"/>
        <v>2150</v>
      </c>
      <c r="LH54" s="199">
        <f t="shared" si="166"/>
        <v>0.00469937445861567</v>
      </c>
      <c r="LI54" s="192"/>
      <c r="LJ54" s="192"/>
      <c r="LL54" s="8" t="str">
        <f t="shared" si="167"/>
        <v>2026//4/13</v>
      </c>
      <c r="LM54" s="262">
        <v>3518935.02</v>
      </c>
      <c r="LN54" s="12">
        <f t="shared" si="168"/>
        <v>3506155.02</v>
      </c>
      <c r="LO54" s="12">
        <f t="shared" si="169"/>
        <v>12780</v>
      </c>
      <c r="LP54" s="199">
        <f t="shared" si="170"/>
        <v>0.00364501852516493</v>
      </c>
      <c r="LQ54" s="192"/>
      <c r="LR54" s="192"/>
      <c r="LT54" s="8" t="str">
        <f t="shared" si="171"/>
        <v>2026//4/13</v>
      </c>
      <c r="LU54" s="257">
        <v>2616862.9</v>
      </c>
      <c r="LV54" s="12">
        <f t="shared" si="172"/>
        <v>2604662.9</v>
      </c>
      <c r="LW54" s="12">
        <f t="shared" si="173"/>
        <v>12200</v>
      </c>
      <c r="LX54" s="199">
        <f t="shared" si="174"/>
        <v>0.00468390746457056</v>
      </c>
      <c r="LY54" s="192"/>
      <c r="LZ54" s="192"/>
      <c r="MB54" s="8" t="str">
        <f t="shared" si="175"/>
        <v>2026//4/13</v>
      </c>
      <c r="MC54" s="262">
        <v>753367.69</v>
      </c>
      <c r="MD54" s="12">
        <f t="shared" si="176"/>
        <v>750817.69</v>
      </c>
      <c r="ME54" s="12">
        <f t="shared" si="177"/>
        <v>2550</v>
      </c>
      <c r="MF54" s="199">
        <f t="shared" si="178"/>
        <v>0.00339629717568322</v>
      </c>
      <c r="MG54" s="192"/>
      <c r="MH54" s="192"/>
      <c r="MI54" s="8"/>
      <c r="MJ54" s="8"/>
      <c r="MK54" s="8" t="str">
        <f t="shared" si="179"/>
        <v>2026//4/13</v>
      </c>
      <c r="ML54" s="258">
        <v>218385.53</v>
      </c>
      <c r="MM54" s="12">
        <f t="shared" si="180"/>
        <v>215505.53</v>
      </c>
      <c r="MN54" s="12">
        <f t="shared" si="181"/>
        <v>2880</v>
      </c>
      <c r="MO54" s="199">
        <f t="shared" si="182"/>
        <v>0.0133639262064412</v>
      </c>
      <c r="MP54" s="192"/>
      <c r="MQ54" s="201"/>
      <c r="MR54" s="201"/>
      <c r="MT54" s="8" t="str">
        <f t="shared" si="183"/>
        <v>2026//4/13</v>
      </c>
      <c r="MU54" s="262">
        <v>249414.8</v>
      </c>
      <c r="MV54" s="204">
        <f t="shared" si="184"/>
        <v>256514.8</v>
      </c>
      <c r="MW54" s="8">
        <f t="shared" si="185"/>
        <v>-7100</v>
      </c>
      <c r="MX54" s="192">
        <f t="shared" si="186"/>
        <v>-0.0276787148343877</v>
      </c>
      <c r="MY54" s="192"/>
      <c r="MZ54" s="192"/>
      <c r="NA54" s="192"/>
      <c r="NC54" s="8" t="str">
        <f t="shared" si="187"/>
        <v>2026//4/13</v>
      </c>
      <c r="ND54" s="262">
        <v>43491.48</v>
      </c>
      <c r="NE54" s="204">
        <f t="shared" si="188"/>
        <v>44091.48</v>
      </c>
      <c r="NF54" s="8">
        <f t="shared" si="189"/>
        <v>-600</v>
      </c>
      <c r="NG54" s="192">
        <f t="shared" si="190"/>
        <v>-0.0136080712192015</v>
      </c>
      <c r="NH54" s="192"/>
      <c r="NI54" s="192"/>
      <c r="NJ54" s="192"/>
      <c r="NK54" s="192"/>
      <c r="NM54" s="8" t="str">
        <f t="shared" si="191"/>
        <v>2026//4/13</v>
      </c>
      <c r="NN54" s="262">
        <v>2610911.08</v>
      </c>
      <c r="NO54" s="8">
        <f t="shared" si="192"/>
        <v>2614911.08</v>
      </c>
      <c r="NP54" s="210">
        <f t="shared" si="193"/>
        <v>-4000</v>
      </c>
      <c r="NQ54" s="211">
        <f t="shared" si="194"/>
        <v>-0.00152968872654744</v>
      </c>
      <c r="NR54" s="192"/>
      <c r="NU54" s="8" t="str">
        <f t="shared" si="195"/>
        <v>2026//4/13</v>
      </c>
      <c r="NV54" s="262">
        <v>251576.5</v>
      </c>
      <c r="NW54" s="205">
        <f t="shared" si="196"/>
        <v>249526.5</v>
      </c>
      <c r="NX54" s="210">
        <f t="shared" si="197"/>
        <v>2050</v>
      </c>
      <c r="NY54" s="211">
        <f t="shared" si="198"/>
        <v>0.00821556027115357</v>
      </c>
      <c r="NZ54" s="201"/>
      <c r="OA54" s="200"/>
      <c r="OC54" s="8" t="str">
        <f t="shared" si="199"/>
        <v>2026//4/13</v>
      </c>
      <c r="OD54" s="262">
        <v>12805.97</v>
      </c>
      <c r="OE54" s="12">
        <f t="shared" si="200"/>
        <v>12632.97</v>
      </c>
      <c r="OF54" s="12">
        <f t="shared" si="201"/>
        <v>173</v>
      </c>
      <c r="OG54" s="199">
        <f t="shared" si="202"/>
        <v>0.0136943252457656</v>
      </c>
      <c r="OH54" s="192"/>
      <c r="OI54" s="192"/>
      <c r="OK54" s="8" t="str">
        <f t="shared" si="203"/>
        <v>2026//4/13</v>
      </c>
      <c r="OL54" s="262">
        <v>11904.65</v>
      </c>
      <c r="OM54" s="12">
        <f t="shared" si="204"/>
        <v>11714.65</v>
      </c>
      <c r="ON54" s="12">
        <f t="shared" si="205"/>
        <v>190</v>
      </c>
      <c r="OO54" s="199">
        <f t="shared" si="206"/>
        <v>0.0162190078235372</v>
      </c>
      <c r="OP54" s="192"/>
      <c r="OQ54" s="192"/>
      <c r="OT54" s="234" t="str">
        <f t="shared" si="207"/>
        <v>2026//4/13</v>
      </c>
      <c r="OU54" s="206">
        <v>144672.4066</v>
      </c>
      <c r="OV54" s="8">
        <f t="shared" si="208"/>
        <v>144552.4066</v>
      </c>
      <c r="OW54" s="191">
        <f t="shared" si="209"/>
        <v>120</v>
      </c>
      <c r="OX54" s="192">
        <f t="shared" si="210"/>
        <v>0.00083014875243177</v>
      </c>
    </row>
    <row r="55" s="9" customFormat="1" ht="17" customHeight="1" spans="1:414">
      <c r="A55" s="265" t="s">
        <v>482</v>
      </c>
      <c r="B55" s="265"/>
      <c r="C55" s="265" t="s">
        <v>483</v>
      </c>
      <c r="D55" s="266">
        <v>4407708.77</v>
      </c>
      <c r="E55" s="267">
        <f t="shared" si="8"/>
        <v>4476378.77</v>
      </c>
      <c r="F55" s="267">
        <f t="shared" si="9"/>
        <v>-68670</v>
      </c>
      <c r="G55" s="268">
        <f t="shared" si="10"/>
        <v>-0.0153405249037941</v>
      </c>
      <c r="H55" s="269">
        <f>(D55-D59)/D59</f>
        <v>-0.0176513506424602</v>
      </c>
      <c r="I55" s="268"/>
      <c r="J55" s="268"/>
      <c r="K55" s="13" t="str">
        <f t="shared" si="11"/>
        <v>2026//4/10</v>
      </c>
      <c r="L55" s="266">
        <v>3135034.4</v>
      </c>
      <c r="M55" s="267">
        <f t="shared" si="12"/>
        <v>3156544.4</v>
      </c>
      <c r="N55" s="267">
        <f t="shared" si="13"/>
        <v>-21510</v>
      </c>
      <c r="O55" s="268">
        <f t="shared" si="14"/>
        <v>-0.00681441388880828</v>
      </c>
      <c r="P55" s="269">
        <f>(L55-L59)/L59</f>
        <v>-0.00907469010454827</v>
      </c>
      <c r="Q55" s="268"/>
      <c r="R55" s="267"/>
      <c r="S55" s="13" t="str">
        <f t="shared" si="15"/>
        <v>2026//4/10</v>
      </c>
      <c r="T55" s="266">
        <v>2279136.68</v>
      </c>
      <c r="U55" s="267">
        <f t="shared" si="16"/>
        <v>2296326.68</v>
      </c>
      <c r="V55" s="267">
        <f t="shared" si="17"/>
        <v>-17190</v>
      </c>
      <c r="W55" s="268">
        <f t="shared" si="18"/>
        <v>-0.00748586869181871</v>
      </c>
      <c r="X55" s="269">
        <f>(T55-T59)/T59</f>
        <v>-0.00803016493810801</v>
      </c>
      <c r="Y55" s="268"/>
      <c r="Z55" s="267"/>
      <c r="AA55" s="13" t="str">
        <f t="shared" si="19"/>
        <v>2026//4/10</v>
      </c>
      <c r="AB55" s="266">
        <v>1022896.86</v>
      </c>
      <c r="AC55" s="267">
        <f t="shared" si="20"/>
        <v>1015296.86</v>
      </c>
      <c r="AD55" s="267">
        <f t="shared" si="21"/>
        <v>7600</v>
      </c>
      <c r="AE55" s="268">
        <f t="shared" si="22"/>
        <v>0.00748549542446137</v>
      </c>
      <c r="AF55" s="269">
        <f>(AB55-AB59)/AB59</f>
        <v>0.0830988976626275</v>
      </c>
      <c r="AG55" s="268"/>
      <c r="AH55" s="267"/>
      <c r="AI55" s="13" t="str">
        <f t="shared" si="23"/>
        <v>2026//4/10</v>
      </c>
      <c r="AJ55" s="266">
        <v>792121.76</v>
      </c>
      <c r="AK55" s="267">
        <f t="shared" si="24"/>
        <v>813521.76</v>
      </c>
      <c r="AL55" s="267">
        <f t="shared" si="25"/>
        <v>-21400</v>
      </c>
      <c r="AM55" s="268">
        <f t="shared" si="26"/>
        <v>-0.026305381186116</v>
      </c>
      <c r="AN55" s="269">
        <f>(AJ55-AJ59)/AJ59</f>
        <v>0.0481658752289996</v>
      </c>
      <c r="AO55" s="269"/>
      <c r="AP55" s="267"/>
      <c r="AQ55" s="13" t="str">
        <f t="shared" si="27"/>
        <v>2026//4/10</v>
      </c>
      <c r="AR55" s="270">
        <v>1495245.49</v>
      </c>
      <c r="AS55" s="267">
        <f t="shared" si="28"/>
        <v>1523845.49</v>
      </c>
      <c r="AT55" s="267">
        <f t="shared" si="29"/>
        <v>-28600</v>
      </c>
      <c r="AU55" s="268">
        <f t="shared" si="30"/>
        <v>-0.0187683070151686</v>
      </c>
      <c r="AV55" s="269">
        <f>(AR55-AR59)/AR59</f>
        <v>-0.0561185828960697</v>
      </c>
      <c r="AW55" s="269"/>
      <c r="AX55" s="271"/>
      <c r="AY55" s="271"/>
      <c r="AZ55" s="13" t="str">
        <f t="shared" si="31"/>
        <v>2026//4/10</v>
      </c>
      <c r="BA55" s="270">
        <v>1962561.66</v>
      </c>
      <c r="BB55" s="272">
        <f t="shared" si="32"/>
        <v>1974441.66</v>
      </c>
      <c r="BC55" s="271">
        <f t="shared" si="33"/>
        <v>-11880</v>
      </c>
      <c r="BD55" s="269">
        <f t="shared" si="34"/>
        <v>-0.006016890871316</v>
      </c>
      <c r="BE55" s="269">
        <f>(BA55-BA59)/BA59</f>
        <v>-0.0112450028884845</v>
      </c>
      <c r="BF55" s="269"/>
      <c r="BG55" s="219"/>
      <c r="BH55" s="9" t="str">
        <f t="shared" si="35"/>
        <v>2026//4/10</v>
      </c>
      <c r="BI55" s="273">
        <v>1574426.55</v>
      </c>
      <c r="BJ55" s="221">
        <f t="shared" si="36"/>
        <v>1571226.55</v>
      </c>
      <c r="BK55" s="221">
        <f t="shared" si="37"/>
        <v>3200</v>
      </c>
      <c r="BL55" s="222">
        <f t="shared" si="38"/>
        <v>0.00203662546308169</v>
      </c>
      <c r="BM55" s="223">
        <f>(BI55-BI59)/BI59</f>
        <v>-0.024957786196059</v>
      </c>
      <c r="BN55" s="224"/>
      <c r="BP55" s="9" t="str">
        <f t="shared" si="39"/>
        <v>2026//4/10</v>
      </c>
      <c r="BQ55" s="225">
        <v>1114962.39</v>
      </c>
      <c r="BR55" s="13">
        <f t="shared" si="40"/>
        <v>1127662.39</v>
      </c>
      <c r="BS55" s="13">
        <f t="shared" si="41"/>
        <v>-12700</v>
      </c>
      <c r="BT55" s="226">
        <f t="shared" si="42"/>
        <v>-0.0112622360314775</v>
      </c>
      <c r="BU55" s="224">
        <f>(BQ55-BQ59)/BQ59</f>
        <v>-0.0209858541381808</v>
      </c>
      <c r="BV55" s="224"/>
      <c r="BX55" s="9" t="str">
        <f t="shared" si="43"/>
        <v>2026//4/10</v>
      </c>
      <c r="BY55" s="274">
        <v>3266010.7</v>
      </c>
      <c r="BZ55" s="13">
        <f t="shared" si="44"/>
        <v>3282310.7</v>
      </c>
      <c r="CA55" s="13">
        <f t="shared" si="45"/>
        <v>-16300</v>
      </c>
      <c r="CB55" s="226">
        <f t="shared" si="46"/>
        <v>-0.00496601372929138</v>
      </c>
      <c r="CC55" s="224">
        <f>(BY55-BY59)/BY59</f>
        <v>0.0477013728532097</v>
      </c>
      <c r="CD55" s="228"/>
      <c r="CF55" s="9" t="str">
        <f t="shared" si="47"/>
        <v>2026//4/10</v>
      </c>
      <c r="CG55" s="264">
        <v>1408003.9</v>
      </c>
      <c r="CH55" s="13">
        <f t="shared" si="48"/>
        <v>1400903.9</v>
      </c>
      <c r="CI55" s="13">
        <f t="shared" si="49"/>
        <v>7100</v>
      </c>
      <c r="CJ55" s="226">
        <f t="shared" si="50"/>
        <v>0.00506815635248071</v>
      </c>
      <c r="CK55" s="224">
        <f>(CG55-CG59)/CG59</f>
        <v>0.010187946812317</v>
      </c>
      <c r="CL55" s="228"/>
      <c r="CN55" s="9" t="str">
        <f t="shared" si="51"/>
        <v>2026//4/10</v>
      </c>
      <c r="CO55" s="264">
        <v>667146.48</v>
      </c>
      <c r="CP55" s="13">
        <f t="shared" si="52"/>
        <v>667246.48</v>
      </c>
      <c r="CQ55" s="13">
        <f t="shared" si="53"/>
        <v>-100</v>
      </c>
      <c r="CR55" s="226">
        <f t="shared" si="54"/>
        <v>-0.000149869655363337</v>
      </c>
      <c r="CS55" s="228">
        <f>(CO55-CO59)/CO59</f>
        <v>-0.00950194261278004</v>
      </c>
      <c r="CT55" s="228"/>
      <c r="CV55" s="9" t="str">
        <f t="shared" si="55"/>
        <v>2026//4/10</v>
      </c>
      <c r="CW55" s="264">
        <v>601240.4</v>
      </c>
      <c r="CX55" s="13">
        <f t="shared" si="56"/>
        <v>598840.4</v>
      </c>
      <c r="CY55" s="13">
        <f t="shared" si="57"/>
        <v>2400</v>
      </c>
      <c r="CZ55" s="226">
        <f t="shared" si="58"/>
        <v>0.00400774563639995</v>
      </c>
      <c r="DA55" s="224">
        <f>(CW55-CW59)/CW59</f>
        <v>0.0267251648934136</v>
      </c>
      <c r="DB55" s="224"/>
      <c r="DC55" s="229"/>
      <c r="DD55" s="9" t="str">
        <f t="shared" si="59"/>
        <v>2026//4/10</v>
      </c>
      <c r="DE55" s="274">
        <v>2399317.99</v>
      </c>
      <c r="DF55" s="13">
        <f t="shared" si="60"/>
        <v>2398317.99</v>
      </c>
      <c r="DG55" s="13">
        <f t="shared" si="61"/>
        <v>1000</v>
      </c>
      <c r="DH55" s="226">
        <f t="shared" si="62"/>
        <v>0.000416958887090698</v>
      </c>
      <c r="DI55" s="224">
        <f>(DE55-DE59)/DE59</f>
        <v>0.0015026810396828</v>
      </c>
      <c r="DJ55" s="224"/>
      <c r="DL55" s="9" t="str">
        <f t="shared" si="63"/>
        <v>2026//4/10</v>
      </c>
      <c r="DM55" s="264">
        <v>1315700.36</v>
      </c>
      <c r="DN55" s="13">
        <f t="shared" si="64"/>
        <v>1331700.36</v>
      </c>
      <c r="DO55" s="13">
        <f t="shared" si="65"/>
        <v>-16000</v>
      </c>
      <c r="DP55" s="226">
        <f t="shared" si="66"/>
        <v>-0.0120147147816345</v>
      </c>
      <c r="DQ55" s="224">
        <f>(DM55-DM59)/DM59</f>
        <v>-0.0525671355050272</v>
      </c>
      <c r="DR55" s="224"/>
      <c r="DT55" s="9" t="str">
        <f t="shared" si="67"/>
        <v>2026//4/10</v>
      </c>
      <c r="DU55" s="264">
        <v>1594889.48</v>
      </c>
      <c r="DV55" s="13">
        <f t="shared" si="68"/>
        <v>1625789.48</v>
      </c>
      <c r="DW55" s="13">
        <f t="shared" si="69"/>
        <v>-30900</v>
      </c>
      <c r="DX55" s="226">
        <f t="shared" si="70"/>
        <v>-0.0190061507840486</v>
      </c>
      <c r="DY55" s="224">
        <f>(DU55-DU59)/DU59</f>
        <v>-0.0366054878222482</v>
      </c>
      <c r="DZ55" s="224"/>
      <c r="EB55" s="9" t="str">
        <f t="shared" si="71"/>
        <v>2026//4/10</v>
      </c>
      <c r="EC55" s="264">
        <v>5068166.82</v>
      </c>
      <c r="ED55" s="13">
        <f t="shared" si="72"/>
        <v>5083166.82</v>
      </c>
      <c r="EE55" s="13">
        <f t="shared" si="73"/>
        <v>-15000</v>
      </c>
      <c r="EF55" s="226">
        <f t="shared" si="74"/>
        <v>-0.00295091633447513</v>
      </c>
      <c r="EG55" s="224">
        <f>(EC55-EC59)/EC59</f>
        <v>-0.0214886983289913</v>
      </c>
      <c r="EH55" s="224"/>
      <c r="EJ55" s="9" t="str">
        <f t="shared" si="75"/>
        <v>2026//4/10</v>
      </c>
      <c r="EK55" s="274">
        <v>1492522.96</v>
      </c>
      <c r="EL55" s="13">
        <f t="shared" si="76"/>
        <v>1507722.96</v>
      </c>
      <c r="EM55" s="13">
        <f t="shared" si="77"/>
        <v>-15200</v>
      </c>
      <c r="EN55" s="226">
        <f t="shared" si="78"/>
        <v>-0.010081427691464</v>
      </c>
      <c r="EO55" s="224">
        <f>(EK55-EK59)/EK59</f>
        <v>-0.0261007508820618</v>
      </c>
      <c r="EP55" s="224"/>
      <c r="ER55" s="9" t="str">
        <f t="shared" si="79"/>
        <v>2026//4/10</v>
      </c>
      <c r="ES55" s="264">
        <v>509297.02</v>
      </c>
      <c r="ET55" s="13">
        <f t="shared" si="80"/>
        <v>520397.02</v>
      </c>
      <c r="EU55" s="13">
        <f t="shared" si="81"/>
        <v>-11100</v>
      </c>
      <c r="EV55" s="226">
        <f t="shared" si="82"/>
        <v>-0.0213298684915605</v>
      </c>
      <c r="EW55" s="224">
        <f>(ES55-ES59)/ES59</f>
        <v>-0.0484822876734559</v>
      </c>
      <c r="EX55" s="224"/>
      <c r="EZ55" s="9" t="str">
        <f t="shared" si="83"/>
        <v>2026//4/10</v>
      </c>
      <c r="FA55" s="264">
        <v>735608</v>
      </c>
      <c r="FB55" s="13">
        <f t="shared" si="84"/>
        <v>735208</v>
      </c>
      <c r="FC55" s="13">
        <f t="shared" si="85"/>
        <v>400</v>
      </c>
      <c r="FD55" s="226">
        <f t="shared" si="86"/>
        <v>0.000544063720742973</v>
      </c>
      <c r="FE55" s="224">
        <f>(FA55-FA59)/FA59</f>
        <v>-0.00325199726832229</v>
      </c>
      <c r="FF55" s="224"/>
      <c r="FG55" s="224"/>
      <c r="FH55" s="9" t="str">
        <f t="shared" si="87"/>
        <v>2026//4/10</v>
      </c>
      <c r="FI55" s="225">
        <v>1067295.33</v>
      </c>
      <c r="FJ55" s="13">
        <f t="shared" si="88"/>
        <v>1069295.33</v>
      </c>
      <c r="FK55" s="13">
        <f t="shared" si="89"/>
        <v>-2000</v>
      </c>
      <c r="FL55" s="226">
        <f t="shared" si="90"/>
        <v>-0.00187039066185766</v>
      </c>
      <c r="FM55" s="228">
        <f>(FI55-FI59)/FI59</f>
        <v>-0.0223505581909927</v>
      </c>
      <c r="FN55" s="228"/>
      <c r="FP55" s="9" t="str">
        <f t="shared" si="91"/>
        <v>2026//4/10</v>
      </c>
      <c r="FQ55" s="264">
        <v>2217568.73</v>
      </c>
      <c r="FR55" s="13">
        <f t="shared" si="92"/>
        <v>2232868.73</v>
      </c>
      <c r="FS55" s="13">
        <f t="shared" si="93"/>
        <v>-15300</v>
      </c>
      <c r="FT55" s="226">
        <f t="shared" si="94"/>
        <v>-0.00685217173514719</v>
      </c>
      <c r="FU55" s="224">
        <f>(FQ55-FQ59)/FQ59</f>
        <v>-0.0231915979303016</v>
      </c>
      <c r="FV55" s="224"/>
      <c r="FX55" s="9" t="str">
        <f t="shared" si="95"/>
        <v>2026//4/10</v>
      </c>
      <c r="FY55" s="264">
        <v>8339082.05</v>
      </c>
      <c r="FZ55" s="13">
        <f t="shared" si="96"/>
        <v>8358482.05</v>
      </c>
      <c r="GA55" s="13">
        <f t="shared" si="97"/>
        <v>-19400</v>
      </c>
      <c r="GB55" s="226">
        <f t="shared" si="98"/>
        <v>-0.00232099559273445</v>
      </c>
      <c r="GC55" s="224">
        <f>(FY55-FY59)/FY59</f>
        <v>-0.00270280547201624</v>
      </c>
      <c r="GD55" s="224"/>
      <c r="GF55" s="9" t="str">
        <f t="shared" si="99"/>
        <v>2026//4/10</v>
      </c>
      <c r="GG55" s="264">
        <v>4608569.49</v>
      </c>
      <c r="GH55" s="13">
        <f t="shared" si="100"/>
        <v>4608669.49</v>
      </c>
      <c r="GI55" s="13">
        <f t="shared" si="101"/>
        <v>-100</v>
      </c>
      <c r="GJ55" s="226">
        <f t="shared" si="102"/>
        <v>-2.16982363818847e-5</v>
      </c>
      <c r="GK55" s="224">
        <f>(GG55-GG59)/GG59</f>
        <v>-0.00421341988103986</v>
      </c>
      <c r="GL55" s="224"/>
      <c r="GN55" s="9" t="str">
        <f t="shared" si="103"/>
        <v>2026//4/10</v>
      </c>
      <c r="GO55" s="274">
        <v>1764658.12</v>
      </c>
      <c r="GP55" s="13">
        <f t="shared" si="104"/>
        <v>1775278.12</v>
      </c>
      <c r="GQ55" s="13">
        <f t="shared" si="105"/>
        <v>-10620</v>
      </c>
      <c r="GR55" s="226">
        <f t="shared" si="106"/>
        <v>-0.00598216126270964</v>
      </c>
      <c r="GS55" s="224">
        <f>(GO55-GO59)/GO59</f>
        <v>0.0011232907344422</v>
      </c>
      <c r="GT55" s="224"/>
      <c r="GV55" s="9" t="str">
        <f t="shared" si="107"/>
        <v>2026//4/10</v>
      </c>
      <c r="GW55" s="264">
        <v>965749.4</v>
      </c>
      <c r="GX55" s="13">
        <f t="shared" si="108"/>
        <v>980149.4</v>
      </c>
      <c r="GY55" s="13">
        <f t="shared" si="109"/>
        <v>-14400</v>
      </c>
      <c r="GZ55" s="226">
        <f t="shared" si="110"/>
        <v>-0.0146916378258253</v>
      </c>
      <c r="HA55" s="224">
        <f>(GW55-GW59)/GW59</f>
        <v>-0.0343948614077057</v>
      </c>
      <c r="HB55" s="224"/>
      <c r="HD55" s="9" t="str">
        <f t="shared" si="111"/>
        <v>2026//4/10</v>
      </c>
      <c r="HE55" s="274">
        <v>1081464.67</v>
      </c>
      <c r="HF55" s="13">
        <f t="shared" si="112"/>
        <v>1105764.67</v>
      </c>
      <c r="HG55" s="13">
        <f t="shared" si="113"/>
        <v>-24300</v>
      </c>
      <c r="HH55" s="226">
        <f t="shared" si="114"/>
        <v>-0.021975742813342</v>
      </c>
      <c r="HI55" s="228">
        <f>(HE55-HE59)/HE59</f>
        <v>-0.021975742813342</v>
      </c>
      <c r="HJ55" s="224"/>
      <c r="HL55" s="9" t="str">
        <f t="shared" si="115"/>
        <v>2026//4/10</v>
      </c>
      <c r="HM55" s="264">
        <v>154404.25</v>
      </c>
      <c r="HN55" s="13">
        <f t="shared" si="116"/>
        <v>154954.25</v>
      </c>
      <c r="HO55" s="13">
        <f t="shared" si="117"/>
        <v>-550</v>
      </c>
      <c r="HP55" s="226">
        <f t="shared" si="118"/>
        <v>-0.00354943475251566</v>
      </c>
      <c r="HQ55" s="224">
        <f>(HM55-HM59)/HM59</f>
        <v>0.0144542612969086</v>
      </c>
      <c r="HR55" s="224"/>
      <c r="HT55" s="9" t="str">
        <f t="shared" si="119"/>
        <v>2026//4/10</v>
      </c>
      <c r="HU55" s="274">
        <v>260068.82</v>
      </c>
      <c r="HV55" s="13">
        <f t="shared" si="120"/>
        <v>259868.82</v>
      </c>
      <c r="HW55" s="13">
        <f t="shared" si="121"/>
        <v>200</v>
      </c>
      <c r="HX55" s="226">
        <f t="shared" si="122"/>
        <v>0.000769619071653152</v>
      </c>
      <c r="HY55" s="224">
        <f>(HU55-HU59)/HU59</f>
        <v>-0.00230177126669772</v>
      </c>
      <c r="HZ55" s="224"/>
      <c r="IB55" s="9" t="str">
        <f t="shared" si="123"/>
        <v>2026//4/10</v>
      </c>
      <c r="IC55" s="264">
        <v>398959.79</v>
      </c>
      <c r="ID55" s="13">
        <f t="shared" si="124"/>
        <v>398684.79</v>
      </c>
      <c r="IE55" s="13">
        <f t="shared" si="125"/>
        <v>275</v>
      </c>
      <c r="IF55" s="226">
        <f t="shared" si="126"/>
        <v>0.000689767974343842</v>
      </c>
      <c r="IG55" s="228">
        <f>(IC55-IC59)/IC59</f>
        <v>-0.00243789743822987</v>
      </c>
      <c r="IH55" s="224"/>
      <c r="IJ55" s="9" t="str">
        <f t="shared" si="127"/>
        <v>2026//4/10</v>
      </c>
      <c r="IK55" s="274">
        <v>576796.29</v>
      </c>
      <c r="IL55" s="13">
        <f t="shared" si="128"/>
        <v>577276.29</v>
      </c>
      <c r="IM55" s="13">
        <f t="shared" si="129"/>
        <v>-480</v>
      </c>
      <c r="IN55" s="226">
        <f t="shared" si="130"/>
        <v>-0.000831490931318173</v>
      </c>
      <c r="IO55" s="224">
        <f>(IK55-IK59)/IK59</f>
        <v>0.0126405317703175</v>
      </c>
      <c r="IP55" s="224"/>
      <c r="IR55" s="9" t="str">
        <f t="shared" si="131"/>
        <v>2026//4/10</v>
      </c>
      <c r="IS55" s="264">
        <v>140889</v>
      </c>
      <c r="IT55" s="13">
        <f t="shared" si="132"/>
        <v>140389</v>
      </c>
      <c r="IU55" s="13">
        <f t="shared" si="133"/>
        <v>500</v>
      </c>
      <c r="IV55" s="226">
        <f t="shared" si="134"/>
        <v>0.00356153259870788</v>
      </c>
      <c r="IW55" s="224">
        <f>(IS55-IS59)/IS59</f>
        <v>-0.00844541097481156</v>
      </c>
      <c r="IX55" s="224"/>
      <c r="IZ55" s="9" t="str">
        <f t="shared" si="135"/>
        <v>2026//4/10</v>
      </c>
      <c r="JA55" s="264">
        <v>4852729.15</v>
      </c>
      <c r="JB55" s="13">
        <f t="shared" si="136"/>
        <v>4993529.15</v>
      </c>
      <c r="JC55" s="13">
        <f t="shared" si="137"/>
        <v>-140800</v>
      </c>
      <c r="JD55" s="226">
        <f t="shared" si="138"/>
        <v>-0.0281964910528258</v>
      </c>
      <c r="JE55" s="224">
        <f>(JA55-JA59)/JA59</f>
        <v>-0.0350180916366984</v>
      </c>
      <c r="JF55" s="224"/>
      <c r="JH55" s="9" t="str">
        <f t="shared" si="139"/>
        <v>2026//4/10</v>
      </c>
      <c r="JI55" s="264">
        <v>1387527.99</v>
      </c>
      <c r="JJ55" s="13">
        <f t="shared" si="140"/>
        <v>1415127.99</v>
      </c>
      <c r="JK55" s="13">
        <f t="shared" si="141"/>
        <v>-27600</v>
      </c>
      <c r="JL55" s="226">
        <f t="shared" si="142"/>
        <v>-0.0195035362137103</v>
      </c>
      <c r="JM55" s="224">
        <f>(JI55-JI59)/JI59</f>
        <v>-0.0769554185246181</v>
      </c>
      <c r="JN55" s="224"/>
      <c r="JO55" s="224"/>
      <c r="JP55" s="9" t="str">
        <f t="shared" si="143"/>
        <v>2026//4/10</v>
      </c>
      <c r="JQ55" s="274">
        <v>1044790.41</v>
      </c>
      <c r="JR55" s="13">
        <f t="shared" si="144"/>
        <v>1038990.41</v>
      </c>
      <c r="JS55" s="13">
        <f t="shared" si="145"/>
        <v>5800</v>
      </c>
      <c r="JT55" s="226">
        <f t="shared" si="146"/>
        <v>0.00558234218927969</v>
      </c>
      <c r="JU55" s="224">
        <f>(JQ55-JQ59)/JQ59</f>
        <v>-0.00105173542990991</v>
      </c>
      <c r="JV55" s="224"/>
      <c r="JW55" s="228"/>
      <c r="JX55" s="9" t="str">
        <f t="shared" si="147"/>
        <v>2026//4/10</v>
      </c>
      <c r="JY55" s="264">
        <v>1203048.8</v>
      </c>
      <c r="JZ55" s="13">
        <f t="shared" si="148"/>
        <v>1212648.8</v>
      </c>
      <c r="KA55" s="13">
        <f t="shared" si="149"/>
        <v>-9600</v>
      </c>
      <c r="KB55" s="226">
        <f t="shared" si="150"/>
        <v>-0.00791655424060124</v>
      </c>
      <c r="KC55" s="224">
        <f>(JY55-JY59)/JY59</f>
        <v>-0.0334230828808898</v>
      </c>
      <c r="KD55" s="224"/>
      <c r="KE55" s="228"/>
      <c r="KF55" s="9" t="str">
        <f t="shared" si="151"/>
        <v>2026//4/10</v>
      </c>
      <c r="KG55" s="274">
        <v>732555.92</v>
      </c>
      <c r="KH55" s="13">
        <f t="shared" si="152"/>
        <v>732555.92</v>
      </c>
      <c r="KI55" s="13">
        <f t="shared" si="153"/>
        <v>0</v>
      </c>
      <c r="KJ55" s="226">
        <f t="shared" si="154"/>
        <v>0</v>
      </c>
      <c r="KK55" s="228">
        <f>(KG55-KG59)/KG59</f>
        <v>0</v>
      </c>
      <c r="KL55" s="228"/>
      <c r="KN55" s="9" t="str">
        <f t="shared" si="155"/>
        <v>2026//4/10</v>
      </c>
      <c r="KO55" s="264">
        <v>8320775.95</v>
      </c>
      <c r="KP55" s="13">
        <f t="shared" si="156"/>
        <v>8320775.95</v>
      </c>
      <c r="KQ55" s="13">
        <f t="shared" si="157"/>
        <v>0</v>
      </c>
      <c r="KR55" s="226">
        <f t="shared" si="158"/>
        <v>0</v>
      </c>
      <c r="KS55" s="224">
        <f>(KO55-KO59)/KO59</f>
        <v>1.20182543582892e-5</v>
      </c>
      <c r="KT55" s="224"/>
      <c r="KV55" s="9" t="str">
        <f t="shared" si="159"/>
        <v>2026//4/10</v>
      </c>
      <c r="KW55" s="274">
        <v>963472.97</v>
      </c>
      <c r="KX55" s="13">
        <f t="shared" si="160"/>
        <v>963472.97</v>
      </c>
      <c r="KY55" s="13">
        <f t="shared" si="161"/>
        <v>0</v>
      </c>
      <c r="KZ55" s="226">
        <f t="shared" si="162"/>
        <v>0</v>
      </c>
      <c r="LA55" s="228">
        <f>(KW55-KW59)/KW59</f>
        <v>-0.00629142951458311</v>
      </c>
      <c r="LB55" s="224"/>
      <c r="LD55" s="9" t="str">
        <f t="shared" si="163"/>
        <v>2026//4/10</v>
      </c>
      <c r="LE55" s="264">
        <v>457507.7</v>
      </c>
      <c r="LF55" s="13">
        <f t="shared" si="164"/>
        <v>459457.7</v>
      </c>
      <c r="LG55" s="13">
        <f t="shared" si="165"/>
        <v>-1950</v>
      </c>
      <c r="LH55" s="226">
        <f t="shared" si="166"/>
        <v>-0.00424413389959511</v>
      </c>
      <c r="LI55" s="224">
        <f>(LE55-LE59)/LE59</f>
        <v>0.026705104063507</v>
      </c>
      <c r="LJ55" s="224"/>
      <c r="LL55" s="9" t="str">
        <f t="shared" si="167"/>
        <v>2026//4/10</v>
      </c>
      <c r="LM55" s="264">
        <v>3506155.02</v>
      </c>
      <c r="LN55" s="13">
        <f t="shared" si="168"/>
        <v>3503635.02</v>
      </c>
      <c r="LO55" s="13">
        <f t="shared" si="169"/>
        <v>2520</v>
      </c>
      <c r="LP55" s="226">
        <f t="shared" si="170"/>
        <v>0.000719253000273984</v>
      </c>
      <c r="LQ55" s="224">
        <f>(LM55-LM59)/LM59</f>
        <v>-0.00531082659492421</v>
      </c>
      <c r="LR55" s="224"/>
      <c r="LT55" s="9" t="str">
        <f t="shared" si="171"/>
        <v>2026//4/10</v>
      </c>
      <c r="LU55" s="274">
        <v>2604662.9</v>
      </c>
      <c r="LV55" s="13">
        <f t="shared" si="172"/>
        <v>2660662.9</v>
      </c>
      <c r="LW55" s="13">
        <f t="shared" si="173"/>
        <v>-56000</v>
      </c>
      <c r="LX55" s="226">
        <f t="shared" si="174"/>
        <v>-0.0210473863487178</v>
      </c>
      <c r="LY55" s="224">
        <f>(LU55-LU59)/LU59</f>
        <v>-0.025880160123393</v>
      </c>
      <c r="LZ55" s="224"/>
      <c r="MB55" s="9" t="str">
        <f t="shared" si="175"/>
        <v>2026//4/10</v>
      </c>
      <c r="MC55" s="264">
        <v>750817.69</v>
      </c>
      <c r="MD55" s="13">
        <f t="shared" si="176"/>
        <v>746067.69</v>
      </c>
      <c r="ME55" s="13">
        <f t="shared" si="177"/>
        <v>4750</v>
      </c>
      <c r="MF55" s="226">
        <f t="shared" si="178"/>
        <v>0.00636671452693522</v>
      </c>
      <c r="MG55" s="224">
        <f>(MC55-MC59)/MC59</f>
        <v>-0.0414901902700551</v>
      </c>
      <c r="MH55" s="224"/>
      <c r="MI55" s="9"/>
      <c r="MJ55" s="9"/>
      <c r="MK55" s="9" t="str">
        <f t="shared" si="179"/>
        <v>2026//4/10</v>
      </c>
      <c r="ML55" s="275">
        <v>215505.53</v>
      </c>
      <c r="MM55" s="13">
        <f t="shared" si="180"/>
        <v>216345.53</v>
      </c>
      <c r="MN55" s="13">
        <f t="shared" si="181"/>
        <v>-840</v>
      </c>
      <c r="MO55" s="226">
        <f t="shared" si="182"/>
        <v>-0.00388267786258399</v>
      </c>
      <c r="MP55" s="224">
        <f>(ML55-ML59)/ML59</f>
        <v>-0.0233838062519325</v>
      </c>
      <c r="MQ55" s="228"/>
      <c r="MR55" s="228"/>
      <c r="MT55" s="9" t="str">
        <f t="shared" si="183"/>
        <v>2026//4/10</v>
      </c>
      <c r="MU55" s="264">
        <v>256514.8</v>
      </c>
      <c r="MV55" s="231">
        <f t="shared" si="184"/>
        <v>260614.8</v>
      </c>
      <c r="MW55" s="9">
        <f t="shared" si="185"/>
        <v>-4100</v>
      </c>
      <c r="MX55" s="224">
        <f t="shared" si="186"/>
        <v>-0.0157320305677191</v>
      </c>
      <c r="MY55" s="224">
        <f>(MU55-MU59)/MU59</f>
        <v>-0.0949138859367965</v>
      </c>
      <c r="MZ55" s="224"/>
      <c r="NA55" s="224"/>
      <c r="NC55" s="9" t="str">
        <f t="shared" si="187"/>
        <v>2026//4/10</v>
      </c>
      <c r="ND55" s="264">
        <v>44091.48</v>
      </c>
      <c r="NE55" s="231">
        <f t="shared" si="188"/>
        <v>44691.48</v>
      </c>
      <c r="NF55" s="9">
        <f t="shared" si="189"/>
        <v>-600</v>
      </c>
      <c r="NG55" s="224">
        <f t="shared" si="190"/>
        <v>-0.0134253777230022</v>
      </c>
      <c r="NH55" s="224">
        <f>(ND55-ND59)/ND59</f>
        <v>-0.00899048536933363</v>
      </c>
      <c r="NI55" s="224"/>
      <c r="NJ55" s="224"/>
      <c r="NK55" s="224"/>
      <c r="NM55" s="9" t="str">
        <f t="shared" si="191"/>
        <v>2026//4/10</v>
      </c>
      <c r="NN55" s="264">
        <v>2614911.08</v>
      </c>
      <c r="NO55" s="9">
        <f t="shared" si="192"/>
        <v>2631711.08</v>
      </c>
      <c r="NP55" s="9">
        <f t="shared" si="193"/>
        <v>-16800</v>
      </c>
      <c r="NQ55" s="224">
        <f t="shared" si="194"/>
        <v>-0.00638367947290019</v>
      </c>
      <c r="NR55" s="224">
        <f>(NN55-NN59)/NN59</f>
        <v>-0.0105195003004263</v>
      </c>
      <c r="NU55" s="9" t="str">
        <f t="shared" si="195"/>
        <v>2026//4/10</v>
      </c>
      <c r="NV55" s="264">
        <v>249526.5</v>
      </c>
      <c r="NW55" s="232">
        <f t="shared" si="196"/>
        <v>248576.5</v>
      </c>
      <c r="NX55" s="9">
        <f t="shared" si="197"/>
        <v>950</v>
      </c>
      <c r="NY55" s="224">
        <f t="shared" si="198"/>
        <v>0.00382176110774751</v>
      </c>
      <c r="NZ55" s="228">
        <f>(NV55-NV59)/NV59</f>
        <v>-0.00854271256950887</v>
      </c>
      <c r="OA55" s="227"/>
      <c r="OC55" s="9" t="str">
        <f t="shared" si="199"/>
        <v>2026//4/10</v>
      </c>
      <c r="OD55" s="264">
        <v>12632.97</v>
      </c>
      <c r="OE55" s="13">
        <f t="shared" si="200"/>
        <v>12234.97</v>
      </c>
      <c r="OF55" s="13">
        <f t="shared" si="201"/>
        <v>398</v>
      </c>
      <c r="OG55" s="226">
        <f t="shared" si="202"/>
        <v>0.0325297078783193</v>
      </c>
      <c r="OH55" s="224">
        <f>(OD55-OD59)/OD59</f>
        <v>0.0575089339752234</v>
      </c>
      <c r="OI55" s="224"/>
      <c r="OK55" s="9" t="str">
        <f t="shared" si="203"/>
        <v>2026//4/10</v>
      </c>
      <c r="OL55" s="264">
        <v>11714.65</v>
      </c>
      <c r="OM55" s="13">
        <f t="shared" si="204"/>
        <v>11674.65</v>
      </c>
      <c r="ON55" s="13">
        <f t="shared" si="205"/>
        <v>40</v>
      </c>
      <c r="OO55" s="226">
        <f t="shared" si="206"/>
        <v>0.00342622691044271</v>
      </c>
      <c r="OP55" s="224">
        <f>(OL55-OL59)/OL59</f>
        <v>0.0326144922937244</v>
      </c>
      <c r="OQ55" s="224"/>
      <c r="OT55" s="234" t="str">
        <f t="shared" si="207"/>
        <v>2026//4/10</v>
      </c>
      <c r="OU55" s="206">
        <v>144552.4066</v>
      </c>
      <c r="OV55" s="8">
        <f t="shared" si="208"/>
        <v>144432.4066</v>
      </c>
      <c r="OW55" s="191">
        <f t="shared" si="209"/>
        <v>120</v>
      </c>
      <c r="OX55" s="192">
        <f t="shared" si="210"/>
        <v>0.000830838471952734</v>
      </c>
    </row>
    <row r="56" s="8" customFormat="1" ht="17" customHeight="1" spans="1:414">
      <c r="A56" s="15"/>
      <c r="B56" s="15"/>
      <c r="C56" s="15" t="s">
        <v>484</v>
      </c>
      <c r="D56" s="262">
        <v>4476378.77</v>
      </c>
      <c r="E56" s="19">
        <f t="shared" si="8"/>
        <v>4516518.77</v>
      </c>
      <c r="F56" s="19">
        <f t="shared" si="9"/>
        <v>-40140</v>
      </c>
      <c r="G56" s="172">
        <f t="shared" si="10"/>
        <v>-0.00888737588485656</v>
      </c>
      <c r="H56" s="18"/>
      <c r="I56" s="172"/>
      <c r="J56" s="172"/>
      <c r="K56" s="8" t="str">
        <f t="shared" si="11"/>
        <v>2026//4/9</v>
      </c>
      <c r="L56" s="262">
        <v>3156544.4</v>
      </c>
      <c r="M56" s="19">
        <f t="shared" si="12"/>
        <v>3165814.4</v>
      </c>
      <c r="N56" s="19">
        <f t="shared" si="13"/>
        <v>-9270</v>
      </c>
      <c r="O56" s="172">
        <f t="shared" si="14"/>
        <v>-0.00292815649584511</v>
      </c>
      <c r="P56" s="18"/>
      <c r="Q56" s="172"/>
      <c r="R56" s="19"/>
      <c r="S56" s="8" t="str">
        <f t="shared" si="15"/>
        <v>2026//4/9</v>
      </c>
      <c r="T56" s="262">
        <v>2296326.68</v>
      </c>
      <c r="U56" s="19">
        <f t="shared" si="16"/>
        <v>2315226.68</v>
      </c>
      <c r="V56" s="19">
        <f t="shared" si="17"/>
        <v>-18900</v>
      </c>
      <c r="W56" s="172">
        <f t="shared" si="18"/>
        <v>-0.00816334753018655</v>
      </c>
      <c r="X56" s="18"/>
      <c r="Y56" s="172"/>
      <c r="Z56" s="19"/>
      <c r="AA56" s="8" t="str">
        <f t="shared" si="19"/>
        <v>2026//4/9</v>
      </c>
      <c r="AB56" s="262">
        <v>1015296.86</v>
      </c>
      <c r="AC56" s="19">
        <f t="shared" si="20"/>
        <v>1057576.86</v>
      </c>
      <c r="AD56" s="19">
        <f t="shared" si="21"/>
        <v>-42280.0000000001</v>
      </c>
      <c r="AE56" s="172">
        <f t="shared" si="22"/>
        <v>-0.0399781818221705</v>
      </c>
      <c r="AF56" s="18"/>
      <c r="AG56" s="172"/>
      <c r="AH56" s="19"/>
      <c r="AI56" s="8" t="str">
        <f t="shared" si="23"/>
        <v>2026//4/9</v>
      </c>
      <c r="AJ56" s="262">
        <v>813521.76</v>
      </c>
      <c r="AK56" s="19">
        <f t="shared" si="24"/>
        <v>877521.76</v>
      </c>
      <c r="AL56" s="19">
        <f t="shared" si="25"/>
        <v>-64000</v>
      </c>
      <c r="AM56" s="172">
        <f t="shared" si="26"/>
        <v>-0.0729326643706248</v>
      </c>
      <c r="AN56" s="18"/>
      <c r="AO56" s="18"/>
      <c r="AP56" s="19"/>
      <c r="AQ56" s="8" t="str">
        <f t="shared" si="27"/>
        <v>2026//4/9</v>
      </c>
      <c r="AR56" s="263">
        <v>1523845.49</v>
      </c>
      <c r="AS56" s="19">
        <f t="shared" si="28"/>
        <v>1522845.49</v>
      </c>
      <c r="AT56" s="19">
        <f t="shared" si="29"/>
        <v>1000</v>
      </c>
      <c r="AU56" s="172">
        <f t="shared" si="30"/>
        <v>0.00065666543754219</v>
      </c>
      <c r="AV56" s="18"/>
      <c r="AW56" s="18"/>
      <c r="AX56" s="17"/>
      <c r="AY56" s="17"/>
      <c r="AZ56" s="8" t="str">
        <f t="shared" si="31"/>
        <v>2026//4/9</v>
      </c>
      <c r="BA56" s="263">
        <v>1974441.66</v>
      </c>
      <c r="BB56" s="129">
        <f t="shared" si="32"/>
        <v>1986861.66</v>
      </c>
      <c r="BC56" s="17">
        <f t="shared" si="33"/>
        <v>-12420</v>
      </c>
      <c r="BD56" s="18">
        <f t="shared" si="34"/>
        <v>-0.00625106430409453</v>
      </c>
      <c r="BE56" s="18"/>
      <c r="BF56" s="18"/>
      <c r="BG56" s="74"/>
      <c r="BH56" s="8" t="str">
        <f t="shared" si="35"/>
        <v>2026//4/9</v>
      </c>
      <c r="BI56" s="256">
        <v>1571226.55</v>
      </c>
      <c r="BJ56" s="195">
        <f t="shared" si="36"/>
        <v>1582426.55</v>
      </c>
      <c r="BK56" s="195">
        <f t="shared" si="37"/>
        <v>-11200</v>
      </c>
      <c r="BL56" s="196">
        <f t="shared" si="38"/>
        <v>-0.00707773766814011</v>
      </c>
      <c r="BM56" s="197"/>
      <c r="BN56" s="192"/>
      <c r="BP56" s="8" t="str">
        <f t="shared" si="39"/>
        <v>2026//4/9</v>
      </c>
      <c r="BQ56" s="198">
        <v>1127662.39</v>
      </c>
      <c r="BR56" s="12">
        <f t="shared" si="40"/>
        <v>1119562.39</v>
      </c>
      <c r="BS56" s="12">
        <f t="shared" si="41"/>
        <v>8100</v>
      </c>
      <c r="BT56" s="199">
        <f t="shared" si="42"/>
        <v>0.00723496972777015</v>
      </c>
      <c r="BU56" s="192"/>
      <c r="BV56" s="192"/>
      <c r="BX56" s="8" t="str">
        <f t="shared" si="43"/>
        <v>2026//4/9</v>
      </c>
      <c r="BY56" s="257">
        <v>3282310.7</v>
      </c>
      <c r="BZ56" s="12">
        <f t="shared" si="44"/>
        <v>3233760.7</v>
      </c>
      <c r="CA56" s="12">
        <f t="shared" si="45"/>
        <v>48550</v>
      </c>
      <c r="CB56" s="199">
        <f t="shared" si="46"/>
        <v>0.0150134795070025</v>
      </c>
      <c r="CC56" s="192"/>
      <c r="CD56" s="201"/>
      <c r="CF56" s="8" t="str">
        <f t="shared" si="47"/>
        <v>2026//4/9</v>
      </c>
      <c r="CG56" s="262">
        <v>1400903.9</v>
      </c>
      <c r="CH56" s="12">
        <f t="shared" si="48"/>
        <v>1409803.9</v>
      </c>
      <c r="CI56" s="12">
        <f t="shared" si="49"/>
        <v>-8900</v>
      </c>
      <c r="CJ56" s="199">
        <f t="shared" si="50"/>
        <v>-0.0063129347280143</v>
      </c>
      <c r="CK56" s="192"/>
      <c r="CL56" s="201"/>
      <c r="CN56" s="8" t="str">
        <f t="shared" si="51"/>
        <v>2026//4/9</v>
      </c>
      <c r="CO56" s="262">
        <v>667246.48</v>
      </c>
      <c r="CP56" s="12">
        <f t="shared" si="52"/>
        <v>672646.48</v>
      </c>
      <c r="CQ56" s="12">
        <f t="shared" si="53"/>
        <v>-5400</v>
      </c>
      <c r="CR56" s="199">
        <f t="shared" si="54"/>
        <v>-0.00802799116706892</v>
      </c>
      <c r="CS56" s="201"/>
      <c r="CT56" s="201"/>
      <c r="CV56" s="8" t="str">
        <f t="shared" si="55"/>
        <v>2026//4/9</v>
      </c>
      <c r="CW56" s="262">
        <v>598840.4</v>
      </c>
      <c r="CX56" s="12">
        <f t="shared" si="56"/>
        <v>585440.4</v>
      </c>
      <c r="CY56" s="12">
        <f t="shared" si="57"/>
        <v>13400</v>
      </c>
      <c r="CZ56" s="199">
        <f t="shared" si="58"/>
        <v>0.022888751784127</v>
      </c>
      <c r="DA56" s="192"/>
      <c r="DB56" s="192"/>
      <c r="DC56" s="202"/>
      <c r="DD56" s="8" t="str">
        <f t="shared" si="59"/>
        <v>2026//4/9</v>
      </c>
      <c r="DE56" s="257">
        <v>2398317.99</v>
      </c>
      <c r="DF56" s="12">
        <f t="shared" si="60"/>
        <v>2437517.99</v>
      </c>
      <c r="DG56" s="12">
        <f t="shared" si="61"/>
        <v>-39200</v>
      </c>
      <c r="DH56" s="199">
        <f t="shared" si="62"/>
        <v>-0.0160819325891416</v>
      </c>
      <c r="DI56" s="192"/>
      <c r="DJ56" s="192"/>
      <c r="DL56" s="8" t="str">
        <f t="shared" si="63"/>
        <v>2026//4/9</v>
      </c>
      <c r="DM56" s="262">
        <v>1331700.36</v>
      </c>
      <c r="DN56" s="12">
        <f t="shared" si="64"/>
        <v>1341500.36</v>
      </c>
      <c r="DO56" s="12">
        <f t="shared" si="65"/>
        <v>-9800</v>
      </c>
      <c r="DP56" s="199">
        <f t="shared" si="66"/>
        <v>-0.0073052533508079</v>
      </c>
      <c r="DQ56" s="192"/>
      <c r="DR56" s="192"/>
      <c r="DT56" s="8" t="str">
        <f t="shared" si="67"/>
        <v>2026//4/9</v>
      </c>
      <c r="DU56" s="262">
        <v>1625789.48</v>
      </c>
      <c r="DV56" s="12">
        <f t="shared" si="68"/>
        <v>1630889.48</v>
      </c>
      <c r="DW56" s="12">
        <f t="shared" si="69"/>
        <v>-5100</v>
      </c>
      <c r="DX56" s="199">
        <f t="shared" si="70"/>
        <v>-0.00312712790323474</v>
      </c>
      <c r="DY56" s="192"/>
      <c r="DZ56" s="192"/>
      <c r="EB56" s="8" t="str">
        <f t="shared" si="71"/>
        <v>2026//4/9</v>
      </c>
      <c r="EC56" s="262">
        <v>5083166.82</v>
      </c>
      <c r="ED56" s="12">
        <f t="shared" si="72"/>
        <v>5096966.82</v>
      </c>
      <c r="EE56" s="12">
        <f t="shared" si="73"/>
        <v>-13800</v>
      </c>
      <c r="EF56" s="199">
        <f t="shared" si="74"/>
        <v>-0.0027074926102815</v>
      </c>
      <c r="EG56" s="192"/>
      <c r="EH56" s="192"/>
      <c r="EJ56" s="8" t="str">
        <f t="shared" si="75"/>
        <v>2026//4/9</v>
      </c>
      <c r="EK56" s="257">
        <v>1507722.96</v>
      </c>
      <c r="EL56" s="12">
        <f t="shared" si="76"/>
        <v>1513322.96</v>
      </c>
      <c r="EM56" s="12">
        <f t="shared" si="77"/>
        <v>-5600</v>
      </c>
      <c r="EN56" s="199">
        <f t="shared" si="78"/>
        <v>-0.00370046589394243</v>
      </c>
      <c r="EO56" s="192"/>
      <c r="EP56" s="192"/>
      <c r="ER56" s="8" t="str">
        <f t="shared" si="79"/>
        <v>2026//4/9</v>
      </c>
      <c r="ES56" s="262">
        <v>520397.02</v>
      </c>
      <c r="ET56" s="12">
        <f t="shared" si="80"/>
        <v>524747.02</v>
      </c>
      <c r="EU56" s="12">
        <f t="shared" si="81"/>
        <v>-4350</v>
      </c>
      <c r="EV56" s="199">
        <f t="shared" si="82"/>
        <v>-0.00828970882007105</v>
      </c>
      <c r="EW56" s="192"/>
      <c r="EX56" s="192"/>
      <c r="EZ56" s="8" t="str">
        <f t="shared" si="83"/>
        <v>2026//4/9</v>
      </c>
      <c r="FA56" s="262">
        <v>735208</v>
      </c>
      <c r="FB56" s="12">
        <f t="shared" si="84"/>
        <v>735508</v>
      </c>
      <c r="FC56" s="12">
        <f t="shared" si="85"/>
        <v>-300</v>
      </c>
      <c r="FD56" s="199">
        <f t="shared" si="86"/>
        <v>-0.00040788135547132</v>
      </c>
      <c r="FE56" s="192"/>
      <c r="FF56" s="192"/>
      <c r="FG56" s="192"/>
      <c r="FH56" s="8" t="str">
        <f t="shared" si="87"/>
        <v>2026//4/9</v>
      </c>
      <c r="FI56" s="198">
        <v>1069295.33</v>
      </c>
      <c r="FJ56" s="12">
        <f t="shared" si="88"/>
        <v>1071395.33</v>
      </c>
      <c r="FK56" s="12">
        <f t="shared" si="89"/>
        <v>-2100</v>
      </c>
      <c r="FL56" s="199">
        <f t="shared" si="90"/>
        <v>-0.00196006081154003</v>
      </c>
      <c r="FM56" s="201"/>
      <c r="FN56" s="201"/>
      <c r="FP56" s="8" t="str">
        <f t="shared" si="91"/>
        <v>2026//4/9</v>
      </c>
      <c r="FQ56" s="262">
        <v>2232868.73</v>
      </c>
      <c r="FR56" s="12">
        <f t="shared" si="92"/>
        <v>2239018.73</v>
      </c>
      <c r="FS56" s="12">
        <f t="shared" si="93"/>
        <v>-6150</v>
      </c>
      <c r="FT56" s="199">
        <f t="shared" si="94"/>
        <v>-0.00274673896988794</v>
      </c>
      <c r="FU56" s="192"/>
      <c r="FV56" s="192"/>
      <c r="FX56" s="8" t="str">
        <f t="shared" si="95"/>
        <v>2026//4/9</v>
      </c>
      <c r="FY56" s="262">
        <v>8358482.05</v>
      </c>
      <c r="FZ56" s="12">
        <f t="shared" si="96"/>
        <v>8363382.05</v>
      </c>
      <c r="GA56" s="12">
        <f t="shared" si="97"/>
        <v>-4900</v>
      </c>
      <c r="GB56" s="199">
        <f t="shared" si="98"/>
        <v>-0.000585887380333175</v>
      </c>
      <c r="GC56" s="192"/>
      <c r="GD56" s="192"/>
      <c r="GF56" s="8" t="str">
        <f t="shared" si="99"/>
        <v>2026//4/9</v>
      </c>
      <c r="GG56" s="262">
        <v>4608669.49</v>
      </c>
      <c r="GH56" s="12">
        <f t="shared" si="100"/>
        <v>4626869.49</v>
      </c>
      <c r="GI56" s="12">
        <f t="shared" si="101"/>
        <v>-18200</v>
      </c>
      <c r="GJ56" s="199">
        <f t="shared" si="102"/>
        <v>-0.00393354514090692</v>
      </c>
      <c r="GK56" s="192"/>
      <c r="GL56" s="192"/>
      <c r="GN56" s="8" t="str">
        <f t="shared" si="103"/>
        <v>2026//4/9</v>
      </c>
      <c r="GO56" s="257">
        <v>1775278.12</v>
      </c>
      <c r="GP56" s="12">
        <f t="shared" si="104"/>
        <v>1779418.12</v>
      </c>
      <c r="GQ56" s="12">
        <f t="shared" si="105"/>
        <v>-4140</v>
      </c>
      <c r="GR56" s="199">
        <f t="shared" si="106"/>
        <v>-0.00232660326062095</v>
      </c>
      <c r="GS56" s="192"/>
      <c r="GT56" s="192"/>
      <c r="GV56" s="8" t="str">
        <f t="shared" si="107"/>
        <v>2026//4/9</v>
      </c>
      <c r="GW56" s="262">
        <v>980149.4</v>
      </c>
      <c r="GX56" s="12">
        <f t="shared" si="108"/>
        <v>986749.4</v>
      </c>
      <c r="GY56" s="12">
        <f t="shared" si="109"/>
        <v>-6600</v>
      </c>
      <c r="GZ56" s="199">
        <f t="shared" si="110"/>
        <v>-0.00668862833866431</v>
      </c>
      <c r="HA56" s="192"/>
      <c r="HB56" s="192"/>
      <c r="HD56" s="8" t="str">
        <f t="shared" si="111"/>
        <v>2026//4/9</v>
      </c>
      <c r="HE56" s="257">
        <v>1105764.67</v>
      </c>
      <c r="HF56" s="12">
        <f t="shared" si="112"/>
        <v>1109164.67</v>
      </c>
      <c r="HG56" s="12">
        <f t="shared" si="113"/>
        <v>-3400</v>
      </c>
      <c r="HH56" s="199">
        <f t="shared" si="114"/>
        <v>-0.00306536990580488</v>
      </c>
      <c r="HI56" s="201"/>
      <c r="HJ56" s="192"/>
      <c r="HL56" s="8" t="str">
        <f t="shared" si="115"/>
        <v>2026//4/9</v>
      </c>
      <c r="HM56" s="262">
        <v>154954.25</v>
      </c>
      <c r="HN56" s="12">
        <f t="shared" si="116"/>
        <v>153704.25</v>
      </c>
      <c r="HO56" s="12">
        <f t="shared" si="117"/>
        <v>1250</v>
      </c>
      <c r="HP56" s="199">
        <f t="shared" si="118"/>
        <v>0.00813250121580893</v>
      </c>
      <c r="HQ56" s="192"/>
      <c r="HR56" s="192"/>
      <c r="HT56" s="8" t="str">
        <f t="shared" si="119"/>
        <v>2026//4/9</v>
      </c>
      <c r="HU56" s="257">
        <v>259868.82</v>
      </c>
      <c r="HV56" s="12">
        <f t="shared" si="120"/>
        <v>262268.82</v>
      </c>
      <c r="HW56" s="12">
        <f t="shared" si="121"/>
        <v>-2400</v>
      </c>
      <c r="HX56" s="199">
        <f t="shared" si="122"/>
        <v>-0.00915091622404829</v>
      </c>
      <c r="HY56" s="192"/>
      <c r="HZ56" s="192"/>
      <c r="IB56" s="8" t="str">
        <f t="shared" si="123"/>
        <v>2026//4/9</v>
      </c>
      <c r="IC56" s="262">
        <v>398684.79</v>
      </c>
      <c r="ID56" s="12">
        <f t="shared" si="124"/>
        <v>399134.79</v>
      </c>
      <c r="IE56" s="12">
        <f t="shared" si="125"/>
        <v>-450</v>
      </c>
      <c r="IF56" s="199">
        <f t="shared" si="126"/>
        <v>-0.00112743867804658</v>
      </c>
      <c r="IG56" s="201"/>
      <c r="IH56" s="192"/>
      <c r="IJ56" s="8" t="str">
        <f t="shared" si="127"/>
        <v>2026//4/9</v>
      </c>
      <c r="IK56" s="257">
        <v>577276.29</v>
      </c>
      <c r="IL56" s="12">
        <f t="shared" si="128"/>
        <v>568156.29</v>
      </c>
      <c r="IM56" s="12">
        <f t="shared" si="129"/>
        <v>9120</v>
      </c>
      <c r="IN56" s="199">
        <f t="shared" si="130"/>
        <v>0.016051921206399</v>
      </c>
      <c r="IO56" s="192"/>
      <c r="IP56" s="192"/>
      <c r="IR56" s="8" t="str">
        <f t="shared" si="131"/>
        <v>2026//4/9</v>
      </c>
      <c r="IS56" s="262">
        <v>140389</v>
      </c>
      <c r="IT56" s="12">
        <f t="shared" si="132"/>
        <v>140489</v>
      </c>
      <c r="IU56" s="12">
        <f t="shared" si="133"/>
        <v>-100</v>
      </c>
      <c r="IV56" s="199">
        <f t="shared" si="134"/>
        <v>-0.000711799500316751</v>
      </c>
      <c r="IW56" s="192"/>
      <c r="IX56" s="192"/>
      <c r="IZ56" s="8" t="str">
        <f t="shared" si="135"/>
        <v>2026//4/9</v>
      </c>
      <c r="JA56" s="262">
        <v>4993529.15</v>
      </c>
      <c r="JB56" s="12">
        <f t="shared" si="136"/>
        <v>4996729.15</v>
      </c>
      <c r="JC56" s="12">
        <f t="shared" si="137"/>
        <v>-3200</v>
      </c>
      <c r="JD56" s="199">
        <f t="shared" si="138"/>
        <v>-0.000640418942859851</v>
      </c>
      <c r="JE56" s="192"/>
      <c r="JF56" s="192"/>
      <c r="JH56" s="8" t="str">
        <f t="shared" si="139"/>
        <v>2026//4/9</v>
      </c>
      <c r="JI56" s="262">
        <v>1415127.99</v>
      </c>
      <c r="JJ56" s="12">
        <f t="shared" si="140"/>
        <v>1429887.99</v>
      </c>
      <c r="JK56" s="12">
        <f t="shared" si="141"/>
        <v>-14760</v>
      </c>
      <c r="JL56" s="199">
        <f t="shared" si="142"/>
        <v>-0.0103224868683595</v>
      </c>
      <c r="JM56" s="192"/>
      <c r="JN56" s="192"/>
      <c r="JO56" s="192"/>
      <c r="JP56" s="8" t="str">
        <f t="shared" si="143"/>
        <v>2026//4/9</v>
      </c>
      <c r="JQ56" s="257">
        <v>1038990.41</v>
      </c>
      <c r="JR56" s="12">
        <f t="shared" si="144"/>
        <v>1028090.41</v>
      </c>
      <c r="JS56" s="12">
        <f t="shared" si="145"/>
        <v>10900</v>
      </c>
      <c r="JT56" s="199">
        <f t="shared" si="146"/>
        <v>0.0106021804055151</v>
      </c>
      <c r="JU56" s="192"/>
      <c r="JV56" s="192"/>
      <c r="JW56" s="201"/>
      <c r="JX56" s="8" t="str">
        <f t="shared" si="147"/>
        <v>2026//4/9</v>
      </c>
      <c r="JY56" s="262">
        <v>1212648.8</v>
      </c>
      <c r="JZ56" s="12">
        <f t="shared" si="148"/>
        <v>1212648.8</v>
      </c>
      <c r="KA56" s="12">
        <f t="shared" si="149"/>
        <v>0</v>
      </c>
      <c r="KB56" s="199">
        <f t="shared" si="150"/>
        <v>0</v>
      </c>
      <c r="KC56" s="192"/>
      <c r="KD56" s="192"/>
      <c r="KE56" s="201"/>
      <c r="KF56" s="8" t="str">
        <f t="shared" si="151"/>
        <v>2026//4/9</v>
      </c>
      <c r="KG56" s="257">
        <v>732555.92</v>
      </c>
      <c r="KH56" s="12">
        <f t="shared" si="152"/>
        <v>732555.92</v>
      </c>
      <c r="KI56" s="12">
        <f t="shared" si="153"/>
        <v>0</v>
      </c>
      <c r="KJ56" s="199">
        <f t="shared" si="154"/>
        <v>0</v>
      </c>
      <c r="KK56" s="201"/>
      <c r="KL56" s="201"/>
      <c r="KN56" s="8" t="str">
        <f t="shared" si="155"/>
        <v>2026//4/9</v>
      </c>
      <c r="KO56" s="262">
        <v>8320775.95</v>
      </c>
      <c r="KP56" s="12">
        <f t="shared" si="156"/>
        <v>8320675.95</v>
      </c>
      <c r="KQ56" s="12">
        <f t="shared" si="157"/>
        <v>100</v>
      </c>
      <c r="KR56" s="199">
        <f t="shared" si="158"/>
        <v>1.20182543582892e-5</v>
      </c>
      <c r="KS56" s="192"/>
      <c r="KT56" s="192"/>
      <c r="KV56" s="8" t="str">
        <f t="shared" si="159"/>
        <v>2026//4/9</v>
      </c>
      <c r="KW56" s="257">
        <v>963472.97</v>
      </c>
      <c r="KX56" s="12">
        <f t="shared" si="160"/>
        <v>963472.97</v>
      </c>
      <c r="KY56" s="12">
        <f t="shared" si="161"/>
        <v>0</v>
      </c>
      <c r="KZ56" s="199">
        <f t="shared" si="162"/>
        <v>0</v>
      </c>
      <c r="LA56" s="201"/>
      <c r="LB56" s="192"/>
      <c r="LD56" s="8" t="str">
        <f t="shared" si="163"/>
        <v>2026//4/9</v>
      </c>
      <c r="LE56" s="262">
        <v>459457.7</v>
      </c>
      <c r="LF56" s="12">
        <f t="shared" si="164"/>
        <v>452907.7</v>
      </c>
      <c r="LG56" s="12">
        <f t="shared" si="165"/>
        <v>6550</v>
      </c>
      <c r="LH56" s="199">
        <f t="shared" si="166"/>
        <v>0.0144621078422822</v>
      </c>
      <c r="LI56" s="192"/>
      <c r="LJ56" s="192"/>
      <c r="LL56" s="8" t="str">
        <f t="shared" si="167"/>
        <v>2026//4/9</v>
      </c>
      <c r="LM56" s="262">
        <v>3503635.02</v>
      </c>
      <c r="LN56" s="12">
        <f t="shared" si="168"/>
        <v>3501655.02</v>
      </c>
      <c r="LO56" s="12">
        <f t="shared" si="169"/>
        <v>1980</v>
      </c>
      <c r="LP56" s="199">
        <f t="shared" si="170"/>
        <v>0.000565446906874338</v>
      </c>
      <c r="LQ56" s="192"/>
      <c r="LR56" s="192"/>
      <c r="LT56" s="8" t="str">
        <f t="shared" si="171"/>
        <v>2026//4/9</v>
      </c>
      <c r="LU56" s="257">
        <v>2660662.9</v>
      </c>
      <c r="LV56" s="12">
        <f t="shared" si="172"/>
        <v>2664262.9</v>
      </c>
      <c r="LW56" s="12">
        <f t="shared" si="173"/>
        <v>-3600</v>
      </c>
      <c r="LX56" s="199">
        <f t="shared" si="174"/>
        <v>-0.00135121800479975</v>
      </c>
      <c r="LY56" s="192"/>
      <c r="LZ56" s="192"/>
      <c r="MB56" s="8" t="str">
        <f t="shared" si="175"/>
        <v>2026//4/9</v>
      </c>
      <c r="MC56" s="262">
        <v>746067.69</v>
      </c>
      <c r="MD56" s="12">
        <f t="shared" si="176"/>
        <v>756667.69</v>
      </c>
      <c r="ME56" s="12">
        <f t="shared" si="177"/>
        <v>-10600</v>
      </c>
      <c r="MF56" s="199">
        <f t="shared" si="178"/>
        <v>-0.0140087916268765</v>
      </c>
      <c r="MG56" s="192"/>
      <c r="MH56" s="192"/>
      <c r="MI56" s="8"/>
      <c r="MJ56" s="8"/>
      <c r="MK56" s="8" t="str">
        <f t="shared" si="179"/>
        <v>2026//4/9</v>
      </c>
      <c r="ML56" s="258">
        <v>216345.53</v>
      </c>
      <c r="MM56" s="12">
        <f t="shared" si="180"/>
        <v>216705.53</v>
      </c>
      <c r="MN56" s="12">
        <f t="shared" si="181"/>
        <v>-360</v>
      </c>
      <c r="MO56" s="199">
        <f t="shared" si="182"/>
        <v>-0.00166124048611035</v>
      </c>
      <c r="MP56" s="192"/>
      <c r="MQ56" s="201"/>
      <c r="MR56" s="201"/>
      <c r="MT56" s="8" t="str">
        <f t="shared" si="183"/>
        <v>2026//4/9</v>
      </c>
      <c r="MU56" s="262">
        <v>260614.8</v>
      </c>
      <c r="MV56" s="204">
        <f t="shared" si="184"/>
        <v>265914.8</v>
      </c>
      <c r="MW56" s="8">
        <f t="shared" si="185"/>
        <v>-5300</v>
      </c>
      <c r="MX56" s="192">
        <f t="shared" si="186"/>
        <v>-0.0199311960071421</v>
      </c>
      <c r="MY56" s="192"/>
      <c r="MZ56" s="192"/>
      <c r="NA56" s="192"/>
      <c r="NC56" s="8" t="str">
        <f t="shared" si="187"/>
        <v>2026//4/9</v>
      </c>
      <c r="ND56" s="262">
        <v>44691.48</v>
      </c>
      <c r="NE56" s="204">
        <f t="shared" si="188"/>
        <v>44891.48</v>
      </c>
      <c r="NF56" s="8">
        <f t="shared" si="189"/>
        <v>-200</v>
      </c>
      <c r="NG56" s="192">
        <f t="shared" si="190"/>
        <v>-0.00445518837873022</v>
      </c>
      <c r="NH56" s="192"/>
      <c r="NI56" s="192"/>
      <c r="NJ56" s="192"/>
      <c r="NK56" s="192"/>
      <c r="NM56" s="8" t="str">
        <f t="shared" si="191"/>
        <v>2026//4/9</v>
      </c>
      <c r="NN56" s="262">
        <v>2631711.08</v>
      </c>
      <c r="NO56" s="8">
        <f t="shared" si="192"/>
        <v>2634111.08</v>
      </c>
      <c r="NP56" s="210">
        <f t="shared" si="193"/>
        <v>-2400</v>
      </c>
      <c r="NQ56" s="211">
        <f t="shared" si="194"/>
        <v>-0.00091112330767767</v>
      </c>
      <c r="NR56" s="192"/>
      <c r="NU56" s="8" t="str">
        <f t="shared" si="195"/>
        <v>2026//4/9</v>
      </c>
      <c r="NV56" s="262">
        <v>248576.5</v>
      </c>
      <c r="NW56" s="205">
        <f t="shared" si="196"/>
        <v>249426.5</v>
      </c>
      <c r="NX56" s="210">
        <f t="shared" si="197"/>
        <v>-850</v>
      </c>
      <c r="NY56" s="211">
        <f t="shared" si="198"/>
        <v>-0.00340781753342167</v>
      </c>
      <c r="NZ56" s="201"/>
      <c r="OA56" s="200"/>
      <c r="OC56" s="8" t="str">
        <f t="shared" si="199"/>
        <v>2026//4/9</v>
      </c>
      <c r="OD56" s="262">
        <v>12234.97</v>
      </c>
      <c r="OE56" s="12">
        <f t="shared" si="200"/>
        <v>12246.97</v>
      </c>
      <c r="OF56" s="12">
        <f t="shared" si="201"/>
        <v>-12</v>
      </c>
      <c r="OG56" s="199">
        <f t="shared" si="202"/>
        <v>-0.000979834195723514</v>
      </c>
      <c r="OH56" s="192"/>
      <c r="OI56" s="192"/>
      <c r="OK56" s="8" t="str">
        <f t="shared" si="203"/>
        <v>2026//4/9</v>
      </c>
      <c r="OL56" s="262">
        <v>11674.65</v>
      </c>
      <c r="OM56" s="12">
        <f t="shared" si="204"/>
        <v>11644.65</v>
      </c>
      <c r="ON56" s="12">
        <f t="shared" si="205"/>
        <v>30</v>
      </c>
      <c r="OO56" s="199">
        <f t="shared" si="206"/>
        <v>0.00257629039945383</v>
      </c>
      <c r="OP56" s="192"/>
      <c r="OQ56" s="192"/>
      <c r="OT56" s="234" t="str">
        <f t="shared" si="207"/>
        <v>2026//4/9</v>
      </c>
      <c r="OU56" s="206">
        <v>144432.4066</v>
      </c>
      <c r="OV56" s="8">
        <f t="shared" si="208"/>
        <v>144312.4066</v>
      </c>
      <c r="OW56" s="191">
        <f t="shared" si="209"/>
        <v>120</v>
      </c>
      <c r="OX56" s="192">
        <f t="shared" si="210"/>
        <v>0.000831529338517732</v>
      </c>
    </row>
    <row r="57" s="8" customFormat="1" ht="17" customHeight="1" spans="1:414">
      <c r="A57" s="15"/>
      <c r="B57" s="15"/>
      <c r="C57" s="15" t="s">
        <v>485</v>
      </c>
      <c r="D57" s="262">
        <v>4516518.77</v>
      </c>
      <c r="E57" s="19">
        <f t="shared" si="8"/>
        <v>4505268.77</v>
      </c>
      <c r="F57" s="19">
        <f t="shared" si="9"/>
        <v>11250</v>
      </c>
      <c r="G57" s="172">
        <f t="shared" si="10"/>
        <v>0.00249707632870036</v>
      </c>
      <c r="H57" s="18"/>
      <c r="I57" s="172"/>
      <c r="J57" s="172"/>
      <c r="K57" s="8" t="str">
        <f t="shared" si="11"/>
        <v>2026//4/8</v>
      </c>
      <c r="L57" s="262">
        <v>3165814.4</v>
      </c>
      <c r="M57" s="19">
        <f t="shared" si="12"/>
        <v>3164014.4</v>
      </c>
      <c r="N57" s="19">
        <f t="shared" si="13"/>
        <v>1800</v>
      </c>
      <c r="O57" s="172">
        <f t="shared" si="14"/>
        <v>0.000568897537255203</v>
      </c>
      <c r="P57" s="18"/>
      <c r="Q57" s="172"/>
      <c r="R57" s="19"/>
      <c r="S57" s="8" t="str">
        <f t="shared" si="15"/>
        <v>2026//4/8</v>
      </c>
      <c r="T57" s="262">
        <v>2315226.68</v>
      </c>
      <c r="U57" s="19">
        <f t="shared" si="16"/>
        <v>2300466.68</v>
      </c>
      <c r="V57" s="19">
        <f t="shared" si="17"/>
        <v>14760</v>
      </c>
      <c r="W57" s="172">
        <f t="shared" si="18"/>
        <v>0.00641608945190199</v>
      </c>
      <c r="X57" s="18"/>
      <c r="Y57" s="172"/>
      <c r="Z57" s="19"/>
      <c r="AA57" s="8" t="str">
        <f t="shared" si="19"/>
        <v>2026//4/8</v>
      </c>
      <c r="AB57" s="262">
        <v>1057576.86</v>
      </c>
      <c r="AC57" s="19">
        <f t="shared" si="20"/>
        <v>963816.86</v>
      </c>
      <c r="AD57" s="19">
        <f t="shared" si="21"/>
        <v>93760.0000000001</v>
      </c>
      <c r="AE57" s="172">
        <f t="shared" si="22"/>
        <v>0.0972798919495973</v>
      </c>
      <c r="AF57" s="18"/>
      <c r="AG57" s="172"/>
      <c r="AH57" s="19"/>
      <c r="AI57" s="8" t="str">
        <f t="shared" si="23"/>
        <v>2026//4/8</v>
      </c>
      <c r="AJ57" s="262">
        <v>877521.76</v>
      </c>
      <c r="AK57" s="19">
        <f t="shared" si="24"/>
        <v>782321.76</v>
      </c>
      <c r="AL57" s="19">
        <f t="shared" si="25"/>
        <v>95200</v>
      </c>
      <c r="AM57" s="172">
        <f t="shared" si="26"/>
        <v>0.121689060521594</v>
      </c>
      <c r="AN57" s="18"/>
      <c r="AO57" s="18"/>
      <c r="AP57" s="19"/>
      <c r="AQ57" s="8" t="str">
        <f t="shared" si="27"/>
        <v>2026//4/8</v>
      </c>
      <c r="AR57" s="263">
        <v>1522845.49</v>
      </c>
      <c r="AS57" s="19">
        <f t="shared" si="28"/>
        <v>1563645.49</v>
      </c>
      <c r="AT57" s="19">
        <f t="shared" si="29"/>
        <v>-40800</v>
      </c>
      <c r="AU57" s="172">
        <f t="shared" si="30"/>
        <v>-0.0260928709614351</v>
      </c>
      <c r="AV57" s="18"/>
      <c r="AW57" s="18"/>
      <c r="AX57" s="17"/>
      <c r="AY57" s="17"/>
      <c r="AZ57" s="8" t="str">
        <f t="shared" si="31"/>
        <v>2026//4/8</v>
      </c>
      <c r="BA57" s="263">
        <v>1986861.66</v>
      </c>
      <c r="BB57" s="129">
        <f t="shared" si="32"/>
        <v>1989021.66</v>
      </c>
      <c r="BC57" s="17">
        <f t="shared" si="33"/>
        <v>-2160</v>
      </c>
      <c r="BD57" s="18">
        <f t="shared" si="34"/>
        <v>-0.00108596102467783</v>
      </c>
      <c r="BE57" s="18"/>
      <c r="BF57" s="18"/>
      <c r="BG57" s="74"/>
      <c r="BH57" s="8" t="str">
        <f t="shared" si="35"/>
        <v>2026//4/8</v>
      </c>
      <c r="BI57" s="256">
        <v>1582426.55</v>
      </c>
      <c r="BJ57" s="195">
        <f t="shared" si="36"/>
        <v>1585326.55</v>
      </c>
      <c r="BK57" s="195">
        <f t="shared" si="37"/>
        <v>-2900</v>
      </c>
      <c r="BL57" s="196">
        <f t="shared" si="38"/>
        <v>-0.00182927611980005</v>
      </c>
      <c r="BM57" s="197"/>
      <c r="BN57" s="192"/>
      <c r="BP57" s="8" t="str">
        <f t="shared" si="39"/>
        <v>2026//4/8</v>
      </c>
      <c r="BQ57" s="198">
        <v>1119562.39</v>
      </c>
      <c r="BR57" s="12">
        <f t="shared" si="40"/>
        <v>1139262.39</v>
      </c>
      <c r="BS57" s="12">
        <f t="shared" si="41"/>
        <v>-19700</v>
      </c>
      <c r="BT57" s="199">
        <f t="shared" si="42"/>
        <v>-0.017291890062306</v>
      </c>
      <c r="BU57" s="192"/>
      <c r="BV57" s="192"/>
      <c r="BX57" s="8" t="str">
        <f t="shared" si="43"/>
        <v>2026//4/8</v>
      </c>
      <c r="BY57" s="257">
        <v>3233760.7</v>
      </c>
      <c r="BZ57" s="12">
        <f t="shared" si="44"/>
        <v>3120760.7</v>
      </c>
      <c r="CA57" s="12">
        <f t="shared" si="45"/>
        <v>113000</v>
      </c>
      <c r="CB57" s="199">
        <f t="shared" si="46"/>
        <v>0.036209120423748</v>
      </c>
      <c r="CC57" s="192"/>
      <c r="CD57" s="201"/>
      <c r="CF57" s="8" t="str">
        <f t="shared" si="47"/>
        <v>2026//4/8</v>
      </c>
      <c r="CG57" s="262">
        <v>1409803.9</v>
      </c>
      <c r="CH57" s="12">
        <f t="shared" si="48"/>
        <v>1389853.9</v>
      </c>
      <c r="CI57" s="12">
        <f t="shared" si="49"/>
        <v>19950</v>
      </c>
      <c r="CJ57" s="199">
        <f t="shared" si="50"/>
        <v>0.0143540267074115</v>
      </c>
      <c r="CK57" s="192"/>
      <c r="CL57" s="201"/>
      <c r="CN57" s="8" t="str">
        <f t="shared" si="51"/>
        <v>2026//4/8</v>
      </c>
      <c r="CO57" s="262">
        <v>672646.48</v>
      </c>
      <c r="CP57" s="12">
        <f t="shared" si="52"/>
        <v>671546.48</v>
      </c>
      <c r="CQ57" s="12">
        <f t="shared" si="53"/>
        <v>1100</v>
      </c>
      <c r="CR57" s="199">
        <f t="shared" si="54"/>
        <v>0.00163801022380461</v>
      </c>
      <c r="CS57" s="201"/>
      <c r="CT57" s="201"/>
      <c r="CV57" s="8" t="str">
        <f t="shared" si="55"/>
        <v>2026//4/8</v>
      </c>
      <c r="CW57" s="262">
        <v>585440.4</v>
      </c>
      <c r="CX57" s="12">
        <f t="shared" si="56"/>
        <v>585590.4</v>
      </c>
      <c r="CY57" s="12">
        <f t="shared" si="57"/>
        <v>-150</v>
      </c>
      <c r="CZ57" s="199">
        <f t="shared" si="58"/>
        <v>-0.000256151740192462</v>
      </c>
      <c r="DA57" s="192"/>
      <c r="DB57" s="192"/>
      <c r="DC57" s="202"/>
      <c r="DD57" s="8" t="str">
        <f t="shared" si="59"/>
        <v>2026//4/8</v>
      </c>
      <c r="DE57" s="257">
        <v>2437517.99</v>
      </c>
      <c r="DF57" s="12">
        <f t="shared" si="60"/>
        <v>2399917.99</v>
      </c>
      <c r="DG57" s="12">
        <f t="shared" si="61"/>
        <v>37600</v>
      </c>
      <c r="DH57" s="199">
        <f t="shared" si="62"/>
        <v>0.015667202028016</v>
      </c>
      <c r="DI57" s="192"/>
      <c r="DJ57" s="192"/>
      <c r="DL57" s="8" t="str">
        <f t="shared" si="63"/>
        <v>2026//4/8</v>
      </c>
      <c r="DM57" s="262">
        <v>1341500.36</v>
      </c>
      <c r="DN57" s="12">
        <f t="shared" si="64"/>
        <v>1368700.36</v>
      </c>
      <c r="DO57" s="12">
        <f t="shared" si="65"/>
        <v>-27200</v>
      </c>
      <c r="DP57" s="199">
        <f t="shared" si="66"/>
        <v>-0.0198728668413589</v>
      </c>
      <c r="DQ57" s="192"/>
      <c r="DR57" s="192"/>
      <c r="DT57" s="8" t="str">
        <f t="shared" si="67"/>
        <v>2026//4/8</v>
      </c>
      <c r="DU57" s="262">
        <v>1630889.48</v>
      </c>
      <c r="DV57" s="12">
        <f t="shared" si="68"/>
        <v>1642589.48</v>
      </c>
      <c r="DW57" s="12">
        <f t="shared" si="69"/>
        <v>-11700</v>
      </c>
      <c r="DX57" s="199">
        <f t="shared" si="70"/>
        <v>-0.00712289963040552</v>
      </c>
      <c r="DY57" s="192"/>
      <c r="DZ57" s="192"/>
      <c r="EB57" s="8" t="str">
        <f t="shared" si="71"/>
        <v>2026//4/8</v>
      </c>
      <c r="EC57" s="262">
        <v>5096966.82</v>
      </c>
      <c r="ED57" s="12">
        <f t="shared" si="72"/>
        <v>5118266.82</v>
      </c>
      <c r="EE57" s="12">
        <f t="shared" si="73"/>
        <v>-21300</v>
      </c>
      <c r="EF57" s="199">
        <f t="shared" si="74"/>
        <v>-0.00416156498851695</v>
      </c>
      <c r="EG57" s="192"/>
      <c r="EH57" s="192"/>
      <c r="EJ57" s="8" t="str">
        <f t="shared" si="75"/>
        <v>2026//4/8</v>
      </c>
      <c r="EK57" s="257">
        <v>1513322.96</v>
      </c>
      <c r="EL57" s="12">
        <f t="shared" si="76"/>
        <v>1527522.96</v>
      </c>
      <c r="EM57" s="12">
        <f t="shared" si="77"/>
        <v>-14200</v>
      </c>
      <c r="EN57" s="199">
        <f t="shared" si="78"/>
        <v>-0.00929609594869854</v>
      </c>
      <c r="EO57" s="192"/>
      <c r="EP57" s="192"/>
      <c r="ER57" s="8" t="str">
        <f t="shared" si="79"/>
        <v>2026//4/8</v>
      </c>
      <c r="ES57" s="262">
        <v>524747.02</v>
      </c>
      <c r="ET57" s="12">
        <f t="shared" si="80"/>
        <v>532697.02</v>
      </c>
      <c r="EU57" s="12">
        <f t="shared" si="81"/>
        <v>-7950</v>
      </c>
      <c r="EV57" s="199">
        <f t="shared" si="82"/>
        <v>-0.0149240557043101</v>
      </c>
      <c r="EW57" s="192"/>
      <c r="EX57" s="192"/>
      <c r="EZ57" s="8" t="str">
        <f t="shared" si="83"/>
        <v>2026//4/8</v>
      </c>
      <c r="FA57" s="262">
        <v>735508</v>
      </c>
      <c r="FB57" s="12">
        <f t="shared" si="84"/>
        <v>740608</v>
      </c>
      <c r="FC57" s="12">
        <f t="shared" si="85"/>
        <v>-5100</v>
      </c>
      <c r="FD57" s="199">
        <f t="shared" si="86"/>
        <v>-0.00688623401313515</v>
      </c>
      <c r="FE57" s="192"/>
      <c r="FF57" s="192"/>
      <c r="FG57" s="192"/>
      <c r="FH57" s="8" t="str">
        <f t="shared" si="87"/>
        <v>2026//4/8</v>
      </c>
      <c r="FI57" s="198">
        <v>1071395.33</v>
      </c>
      <c r="FJ57" s="12">
        <f t="shared" si="88"/>
        <v>1082795.33</v>
      </c>
      <c r="FK57" s="12">
        <f t="shared" si="89"/>
        <v>-11400</v>
      </c>
      <c r="FL57" s="199">
        <f t="shared" si="90"/>
        <v>-0.010528305473944</v>
      </c>
      <c r="FM57" s="201"/>
      <c r="FN57" s="201"/>
      <c r="FP57" s="8" t="str">
        <f t="shared" si="91"/>
        <v>2026//4/8</v>
      </c>
      <c r="FQ57" s="262">
        <v>2239018.73</v>
      </c>
      <c r="FR57" s="12">
        <f t="shared" si="92"/>
        <v>2273218.73</v>
      </c>
      <c r="FS57" s="12">
        <f t="shared" si="93"/>
        <v>-34200</v>
      </c>
      <c r="FT57" s="199">
        <f t="shared" si="94"/>
        <v>-0.0150447467059186</v>
      </c>
      <c r="FU57" s="192"/>
      <c r="FV57" s="192"/>
      <c r="FX57" s="8" t="str">
        <f t="shared" si="95"/>
        <v>2026//4/8</v>
      </c>
      <c r="FY57" s="262">
        <v>8363382.05</v>
      </c>
      <c r="FZ57" s="12">
        <f t="shared" si="96"/>
        <v>8370582.05</v>
      </c>
      <c r="GA57" s="12">
        <f t="shared" si="97"/>
        <v>-7200</v>
      </c>
      <c r="GB57" s="199">
        <f t="shared" si="98"/>
        <v>-0.000860155238547599</v>
      </c>
      <c r="GC57" s="192"/>
      <c r="GD57" s="192"/>
      <c r="GF57" s="8" t="str">
        <f t="shared" si="99"/>
        <v>2026//4/8</v>
      </c>
      <c r="GG57" s="262">
        <v>4626869.49</v>
      </c>
      <c r="GH57" s="12">
        <f t="shared" si="100"/>
        <v>4616369.49</v>
      </c>
      <c r="GI57" s="12">
        <f t="shared" si="101"/>
        <v>10500</v>
      </c>
      <c r="GJ57" s="199">
        <f t="shared" si="102"/>
        <v>0.0022745146424577</v>
      </c>
      <c r="GK57" s="192"/>
      <c r="GL57" s="192"/>
      <c r="GN57" s="8" t="str">
        <f t="shared" si="103"/>
        <v>2026//4/8</v>
      </c>
      <c r="GO57" s="257">
        <v>1779418.12</v>
      </c>
      <c r="GP57" s="12">
        <f t="shared" si="104"/>
        <v>1764838.12</v>
      </c>
      <c r="GQ57" s="12">
        <f t="shared" si="105"/>
        <v>14580</v>
      </c>
      <c r="GR57" s="199">
        <f t="shared" si="106"/>
        <v>0.00826138093617334</v>
      </c>
      <c r="GS57" s="192"/>
      <c r="GT57" s="192"/>
      <c r="GV57" s="8" t="str">
        <f t="shared" si="107"/>
        <v>2026//4/8</v>
      </c>
      <c r="GW57" s="262">
        <v>986749.4</v>
      </c>
      <c r="GX57" s="12">
        <f t="shared" si="108"/>
        <v>993949.4</v>
      </c>
      <c r="GY57" s="12">
        <f t="shared" si="109"/>
        <v>-7200</v>
      </c>
      <c r="GZ57" s="199">
        <f t="shared" si="110"/>
        <v>-0.00724382951486263</v>
      </c>
      <c r="HA57" s="192"/>
      <c r="HB57" s="192"/>
      <c r="HD57" s="8" t="str">
        <f t="shared" si="111"/>
        <v>2026//4/8</v>
      </c>
      <c r="HE57" s="257">
        <v>1109164.67</v>
      </c>
      <c r="HF57" s="12">
        <f t="shared" si="112"/>
        <v>1102164.67</v>
      </c>
      <c r="HG57" s="12">
        <f t="shared" si="113"/>
        <v>7000</v>
      </c>
      <c r="HH57" s="199">
        <f t="shared" si="114"/>
        <v>0.0063511380744948</v>
      </c>
      <c r="HI57" s="201"/>
      <c r="HJ57" s="192"/>
      <c r="HL57" s="8" t="str">
        <f t="shared" si="115"/>
        <v>2026//4/8</v>
      </c>
      <c r="HM57" s="262">
        <v>153704.25</v>
      </c>
      <c r="HN57" s="12">
        <f t="shared" si="116"/>
        <v>153354.25</v>
      </c>
      <c r="HO57" s="12">
        <f t="shared" si="117"/>
        <v>350</v>
      </c>
      <c r="HP57" s="199">
        <f t="shared" si="118"/>
        <v>0.0022822973605231</v>
      </c>
      <c r="HQ57" s="192"/>
      <c r="HR57" s="192"/>
      <c r="HT57" s="8" t="str">
        <f t="shared" si="119"/>
        <v>2026//4/8</v>
      </c>
      <c r="HU57" s="257">
        <v>262268.82</v>
      </c>
      <c r="HV57" s="12">
        <f t="shared" si="120"/>
        <v>257468.82</v>
      </c>
      <c r="HW57" s="12">
        <f t="shared" si="121"/>
        <v>4800</v>
      </c>
      <c r="HX57" s="199">
        <f t="shared" si="122"/>
        <v>0.0186430341351625</v>
      </c>
      <c r="HY57" s="192"/>
      <c r="HZ57" s="192"/>
      <c r="IB57" s="8" t="str">
        <f t="shared" si="123"/>
        <v>2026//4/8</v>
      </c>
      <c r="IC57" s="262">
        <v>399134.79</v>
      </c>
      <c r="ID57" s="12">
        <f t="shared" si="124"/>
        <v>400084.79</v>
      </c>
      <c r="IE57" s="12">
        <f t="shared" si="125"/>
        <v>-950</v>
      </c>
      <c r="IF57" s="199">
        <f t="shared" si="126"/>
        <v>-0.00237449666606921</v>
      </c>
      <c r="IG57" s="201"/>
      <c r="IH57" s="192"/>
      <c r="IJ57" s="8" t="str">
        <f t="shared" si="127"/>
        <v>2026//4/8</v>
      </c>
      <c r="IK57" s="257">
        <v>568156.29</v>
      </c>
      <c r="IL57" s="12">
        <f t="shared" si="128"/>
        <v>564316.29</v>
      </c>
      <c r="IM57" s="12">
        <f t="shared" si="129"/>
        <v>3840</v>
      </c>
      <c r="IN57" s="199">
        <f t="shared" si="130"/>
        <v>0.00680469458005545</v>
      </c>
      <c r="IO57" s="192"/>
      <c r="IP57" s="192"/>
      <c r="IR57" s="8" t="str">
        <f t="shared" si="131"/>
        <v>2026//4/8</v>
      </c>
      <c r="IS57" s="262">
        <v>140489</v>
      </c>
      <c r="IT57" s="12">
        <f t="shared" si="132"/>
        <v>141989</v>
      </c>
      <c r="IU57" s="12">
        <f t="shared" si="133"/>
        <v>-1500</v>
      </c>
      <c r="IV57" s="199">
        <f t="shared" si="134"/>
        <v>-0.0105641986351055</v>
      </c>
      <c r="IW57" s="192"/>
      <c r="IX57" s="192"/>
      <c r="IZ57" s="8" t="str">
        <f t="shared" si="135"/>
        <v>2026//4/8</v>
      </c>
      <c r="JA57" s="262">
        <v>4996729.15</v>
      </c>
      <c r="JB57" s="12">
        <f t="shared" si="136"/>
        <v>5035929.15</v>
      </c>
      <c r="JC57" s="12">
        <f t="shared" si="137"/>
        <v>-39200</v>
      </c>
      <c r="JD57" s="199">
        <f t="shared" si="138"/>
        <v>-0.00778406503197131</v>
      </c>
      <c r="JE57" s="192"/>
      <c r="JF57" s="192"/>
      <c r="JH57" s="8" t="str">
        <f t="shared" si="139"/>
        <v>2026//4/8</v>
      </c>
      <c r="JI57" s="262">
        <v>1429887.99</v>
      </c>
      <c r="JJ57" s="12">
        <f t="shared" si="140"/>
        <v>1479447.99</v>
      </c>
      <c r="JK57" s="12">
        <f t="shared" si="141"/>
        <v>-49560</v>
      </c>
      <c r="JL57" s="199">
        <f t="shared" si="142"/>
        <v>-0.033498980927339</v>
      </c>
      <c r="JM57" s="192"/>
      <c r="JN57" s="192"/>
      <c r="JO57" s="192"/>
      <c r="JP57" s="8" t="str">
        <f t="shared" si="143"/>
        <v>2026//4/8</v>
      </c>
      <c r="JQ57" s="257">
        <v>1028090.41</v>
      </c>
      <c r="JR57" s="12">
        <f t="shared" si="144"/>
        <v>1038890.41</v>
      </c>
      <c r="JS57" s="12">
        <f t="shared" si="145"/>
        <v>-10800</v>
      </c>
      <c r="JT57" s="199">
        <f t="shared" si="146"/>
        <v>-0.0103957067040401</v>
      </c>
      <c r="JU57" s="192"/>
      <c r="JV57" s="192"/>
      <c r="JW57" s="201"/>
      <c r="JX57" s="8" t="str">
        <f t="shared" si="147"/>
        <v>2026//4/8</v>
      </c>
      <c r="JY57" s="262">
        <v>1212648.8</v>
      </c>
      <c r="JZ57" s="12">
        <f t="shared" si="148"/>
        <v>1244648.8</v>
      </c>
      <c r="KA57" s="12">
        <f t="shared" si="149"/>
        <v>-32000</v>
      </c>
      <c r="KB57" s="199">
        <f t="shared" si="150"/>
        <v>-0.0257100637545306</v>
      </c>
      <c r="KC57" s="192"/>
      <c r="KD57" s="192"/>
      <c r="KE57" s="201"/>
      <c r="KF57" s="8" t="str">
        <f t="shared" si="151"/>
        <v>2026//4/8</v>
      </c>
      <c r="KG57" s="257">
        <v>732555.92</v>
      </c>
      <c r="KH57" s="12">
        <f t="shared" si="152"/>
        <v>732555.92</v>
      </c>
      <c r="KI57" s="12">
        <f t="shared" si="153"/>
        <v>0</v>
      </c>
      <c r="KJ57" s="199">
        <f t="shared" si="154"/>
        <v>0</v>
      </c>
      <c r="KK57" s="201"/>
      <c r="KL57" s="201"/>
      <c r="KN57" s="8" t="str">
        <f t="shared" si="155"/>
        <v>2026//4/8</v>
      </c>
      <c r="KO57" s="262">
        <v>8320675.95</v>
      </c>
      <c r="KP57" s="12">
        <f t="shared" si="156"/>
        <v>8320675.95</v>
      </c>
      <c r="KQ57" s="12">
        <f t="shared" si="157"/>
        <v>0</v>
      </c>
      <c r="KR57" s="199">
        <f t="shared" si="158"/>
        <v>0</v>
      </c>
      <c r="KS57" s="192"/>
      <c r="KT57" s="192"/>
      <c r="KV57" s="8" t="str">
        <f t="shared" si="159"/>
        <v>2026//4/8</v>
      </c>
      <c r="KW57" s="257">
        <v>963472.97</v>
      </c>
      <c r="KX57" s="12">
        <f t="shared" si="160"/>
        <v>969572.97</v>
      </c>
      <c r="KY57" s="12">
        <f t="shared" si="161"/>
        <v>-6100</v>
      </c>
      <c r="KZ57" s="199">
        <f t="shared" si="162"/>
        <v>-0.00629142951458311</v>
      </c>
      <c r="LA57" s="201"/>
      <c r="LB57" s="192"/>
      <c r="LD57" s="8" t="str">
        <f t="shared" si="163"/>
        <v>2026//4/8</v>
      </c>
      <c r="LE57" s="262">
        <v>452907.7</v>
      </c>
      <c r="LF57" s="12">
        <f t="shared" si="164"/>
        <v>445607.7</v>
      </c>
      <c r="LG57" s="12">
        <f t="shared" si="165"/>
        <v>7300</v>
      </c>
      <c r="LH57" s="199">
        <f t="shared" si="166"/>
        <v>0.0163821226608068</v>
      </c>
      <c r="LI57" s="192"/>
      <c r="LJ57" s="192"/>
      <c r="LL57" s="8" t="str">
        <f t="shared" si="167"/>
        <v>2026//4/8</v>
      </c>
      <c r="LM57" s="262">
        <v>3501655.02</v>
      </c>
      <c r="LN57" s="12">
        <f t="shared" si="168"/>
        <v>3535855.02</v>
      </c>
      <c r="LO57" s="12">
        <f t="shared" si="169"/>
        <v>-34200</v>
      </c>
      <c r="LP57" s="199">
        <f t="shared" si="170"/>
        <v>-0.00967234227833244</v>
      </c>
      <c r="LQ57" s="192"/>
      <c r="LR57" s="192"/>
      <c r="LT57" s="8" t="str">
        <f t="shared" si="171"/>
        <v>2026//4/8</v>
      </c>
      <c r="LU57" s="257">
        <v>2664262.9</v>
      </c>
      <c r="LV57" s="12">
        <f t="shared" si="172"/>
        <v>2667462.9</v>
      </c>
      <c r="LW57" s="12">
        <f t="shared" si="173"/>
        <v>-3200</v>
      </c>
      <c r="LX57" s="199">
        <f t="shared" si="174"/>
        <v>-0.00119964180195346</v>
      </c>
      <c r="LY57" s="192"/>
      <c r="LZ57" s="192"/>
      <c r="MB57" s="8" t="str">
        <f t="shared" si="175"/>
        <v>2026//4/8</v>
      </c>
      <c r="MC57" s="262">
        <v>756667.69</v>
      </c>
      <c r="MD57" s="12">
        <f t="shared" si="176"/>
        <v>787217.69</v>
      </c>
      <c r="ME57" s="12">
        <f t="shared" si="177"/>
        <v>-30550</v>
      </c>
      <c r="MF57" s="199">
        <f t="shared" si="178"/>
        <v>-0.0388075628737459</v>
      </c>
      <c r="MG57" s="192"/>
      <c r="MH57" s="192"/>
      <c r="MI57" s="8"/>
      <c r="MJ57" s="8"/>
      <c r="MK57" s="8" t="str">
        <f t="shared" si="179"/>
        <v>2026//4/8</v>
      </c>
      <c r="ML57" s="258">
        <v>216705.53</v>
      </c>
      <c r="MM57" s="12">
        <f t="shared" si="180"/>
        <v>217425.53</v>
      </c>
      <c r="MN57" s="12">
        <f t="shared" si="181"/>
        <v>-720</v>
      </c>
      <c r="MO57" s="199">
        <f t="shared" si="182"/>
        <v>-0.00331147864742471</v>
      </c>
      <c r="MP57" s="192"/>
      <c r="MQ57" s="201"/>
      <c r="MR57" s="201"/>
      <c r="MT57" s="8" t="str">
        <f t="shared" si="183"/>
        <v>2026//4/8</v>
      </c>
      <c r="MU57" s="262">
        <v>265914.8</v>
      </c>
      <c r="MV57" s="204">
        <f t="shared" si="184"/>
        <v>282514.8</v>
      </c>
      <c r="MW57" s="8">
        <f t="shared" si="185"/>
        <v>-16600</v>
      </c>
      <c r="MX57" s="192">
        <f t="shared" si="186"/>
        <v>-0.0587579836525378</v>
      </c>
      <c r="MY57" s="192"/>
      <c r="MZ57" s="192"/>
      <c r="NA57" s="192"/>
      <c r="NC57" s="8" t="str">
        <f t="shared" si="187"/>
        <v>2026//4/8</v>
      </c>
      <c r="ND57" s="262">
        <v>44891.48</v>
      </c>
      <c r="NE57" s="204">
        <f t="shared" si="188"/>
        <v>44891.48</v>
      </c>
      <c r="NF57" s="8">
        <f t="shared" si="189"/>
        <v>0</v>
      </c>
      <c r="NG57" s="192">
        <f t="shared" si="190"/>
        <v>0</v>
      </c>
      <c r="NH57" s="192"/>
      <c r="NI57" s="192"/>
      <c r="NJ57" s="192"/>
      <c r="NK57" s="192"/>
      <c r="NM57" s="8" t="str">
        <f t="shared" si="191"/>
        <v>2026//4/8</v>
      </c>
      <c r="NN57" s="262">
        <v>2634111.08</v>
      </c>
      <c r="NO57" s="8">
        <f t="shared" si="192"/>
        <v>2655311.08</v>
      </c>
      <c r="NP57" s="210">
        <f t="shared" si="193"/>
        <v>-21200</v>
      </c>
      <c r="NQ57" s="211">
        <f t="shared" si="194"/>
        <v>-0.00798399862060606</v>
      </c>
      <c r="NR57" s="192"/>
      <c r="NU57" s="8" t="str">
        <f t="shared" si="195"/>
        <v>2026//4/8</v>
      </c>
      <c r="NV57" s="262">
        <v>249426.5</v>
      </c>
      <c r="NW57" s="205">
        <f t="shared" si="196"/>
        <v>249326.5</v>
      </c>
      <c r="NX57" s="210">
        <f t="shared" si="197"/>
        <v>100</v>
      </c>
      <c r="NY57" s="211">
        <f t="shared" si="198"/>
        <v>0.000401080510896355</v>
      </c>
      <c r="NZ57" s="201"/>
      <c r="OA57" s="200"/>
      <c r="OC57" s="8" t="str">
        <f t="shared" si="199"/>
        <v>2026//4/8</v>
      </c>
      <c r="OD57" s="262">
        <v>12246.97</v>
      </c>
      <c r="OE57" s="12">
        <f t="shared" si="200"/>
        <v>12135.97</v>
      </c>
      <c r="OF57" s="12">
        <f t="shared" si="201"/>
        <v>111</v>
      </c>
      <c r="OG57" s="199">
        <f t="shared" si="202"/>
        <v>0.00914636407308192</v>
      </c>
      <c r="OH57" s="192"/>
      <c r="OI57" s="192"/>
      <c r="OK57" s="8" t="str">
        <f t="shared" si="203"/>
        <v>2026//4/8</v>
      </c>
      <c r="OL57" s="262">
        <v>11644.65</v>
      </c>
      <c r="OM57" s="12">
        <f t="shared" si="204"/>
        <v>11544.65</v>
      </c>
      <c r="ON57" s="12">
        <f t="shared" si="205"/>
        <v>100</v>
      </c>
      <c r="OO57" s="199">
        <f t="shared" si="206"/>
        <v>0.0086620209361046</v>
      </c>
      <c r="OP57" s="192"/>
      <c r="OQ57" s="192"/>
      <c r="OT57" s="234" t="str">
        <f t="shared" si="207"/>
        <v>2026//4/8</v>
      </c>
      <c r="OU57" s="206">
        <v>144312.4066</v>
      </c>
      <c r="OV57" s="8">
        <f t="shared" si="208"/>
        <v>144192.4066</v>
      </c>
      <c r="OW57" s="191">
        <f t="shared" si="209"/>
        <v>120</v>
      </c>
      <c r="OX57" s="192">
        <f t="shared" si="210"/>
        <v>0.000832221354990548</v>
      </c>
    </row>
    <row r="58" s="8" customFormat="1" ht="17" customHeight="1" spans="1:414">
      <c r="A58" s="15"/>
      <c r="B58" s="15"/>
      <c r="C58" s="15" t="s">
        <v>486</v>
      </c>
      <c r="D58" s="262">
        <v>4505268.77</v>
      </c>
      <c r="E58" s="19">
        <f t="shared" si="8"/>
        <v>4486908.77</v>
      </c>
      <c r="F58" s="19">
        <f t="shared" si="9"/>
        <v>18360</v>
      </c>
      <c r="G58" s="172">
        <f t="shared" si="10"/>
        <v>0.00409190401257033</v>
      </c>
      <c r="H58" s="18"/>
      <c r="I58" s="172"/>
      <c r="J58" s="172"/>
      <c r="K58" s="8" t="str">
        <f t="shared" si="11"/>
        <v>2026//4/7</v>
      </c>
      <c r="L58" s="262">
        <v>3164014.4</v>
      </c>
      <c r="M58" s="19">
        <f t="shared" si="12"/>
        <v>3163744.4</v>
      </c>
      <c r="N58" s="19">
        <f t="shared" si="13"/>
        <v>270</v>
      </c>
      <c r="O58" s="172">
        <f t="shared" si="14"/>
        <v>8.53419132089179e-5</v>
      </c>
      <c r="P58" s="18"/>
      <c r="Q58" s="172"/>
      <c r="R58" s="19"/>
      <c r="S58" s="8" t="str">
        <f t="shared" si="15"/>
        <v>2026//4/7</v>
      </c>
      <c r="T58" s="262">
        <v>2300466.68</v>
      </c>
      <c r="U58" s="19">
        <f t="shared" si="16"/>
        <v>2297586.68</v>
      </c>
      <c r="V58" s="19">
        <f t="shared" si="17"/>
        <v>2880</v>
      </c>
      <c r="W58" s="172">
        <f t="shared" si="18"/>
        <v>0.00125348916107052</v>
      </c>
      <c r="X58" s="18"/>
      <c r="Y58" s="172"/>
      <c r="Z58" s="19"/>
      <c r="AA58" s="8" t="str">
        <f t="shared" si="19"/>
        <v>2026//4/7</v>
      </c>
      <c r="AB58" s="262">
        <v>963816.86</v>
      </c>
      <c r="AC58" s="19">
        <f t="shared" si="20"/>
        <v>944416.86</v>
      </c>
      <c r="AD58" s="19">
        <f t="shared" si="21"/>
        <v>19400</v>
      </c>
      <c r="AE58" s="172">
        <f t="shared" si="22"/>
        <v>0.0205417764354609</v>
      </c>
      <c r="AF58" s="18"/>
      <c r="AG58" s="172"/>
      <c r="AH58" s="19"/>
      <c r="AI58" s="8" t="str">
        <f t="shared" si="23"/>
        <v>2026//4/7</v>
      </c>
      <c r="AJ58" s="262">
        <v>782321.76</v>
      </c>
      <c r="AK58" s="19">
        <f t="shared" si="24"/>
        <v>755721.76</v>
      </c>
      <c r="AL58" s="19">
        <f t="shared" si="25"/>
        <v>26600</v>
      </c>
      <c r="AM58" s="172">
        <f t="shared" si="26"/>
        <v>0.0351981395904228</v>
      </c>
      <c r="AN58" s="18"/>
      <c r="AO58" s="18"/>
      <c r="AP58" s="19"/>
      <c r="AQ58" s="8" t="str">
        <f t="shared" si="27"/>
        <v>2026//4/7</v>
      </c>
      <c r="AR58" s="263">
        <v>1563645.49</v>
      </c>
      <c r="AS58" s="19">
        <f t="shared" si="28"/>
        <v>1584145.49</v>
      </c>
      <c r="AT58" s="19">
        <f t="shared" si="29"/>
        <v>-20500</v>
      </c>
      <c r="AU58" s="172">
        <f t="shared" si="30"/>
        <v>-0.0129407305890824</v>
      </c>
      <c r="AV58" s="18"/>
      <c r="AW58" s="18"/>
      <c r="AX58" s="17"/>
      <c r="AY58" s="17"/>
      <c r="AZ58" s="8" t="str">
        <f t="shared" si="31"/>
        <v>2026//4/7</v>
      </c>
      <c r="BA58" s="263">
        <v>1989021.66</v>
      </c>
      <c r="BB58" s="129">
        <f t="shared" si="32"/>
        <v>1984881.66</v>
      </c>
      <c r="BC58" s="17">
        <f t="shared" si="33"/>
        <v>4140</v>
      </c>
      <c r="BD58" s="18">
        <f t="shared" si="34"/>
        <v>0.00208576666479955</v>
      </c>
      <c r="BE58" s="18"/>
      <c r="BF58" s="18"/>
      <c r="BG58" s="74"/>
      <c r="BH58" s="8" t="str">
        <f t="shared" si="35"/>
        <v>2026//4/7</v>
      </c>
      <c r="BI58" s="263">
        <v>1585326.55</v>
      </c>
      <c r="BJ58" s="195">
        <f t="shared" si="36"/>
        <v>1614726.55</v>
      </c>
      <c r="BK58" s="195">
        <f t="shared" si="37"/>
        <v>-29400</v>
      </c>
      <c r="BL58" s="196">
        <f t="shared" si="38"/>
        <v>-0.0182074172249165</v>
      </c>
      <c r="BM58" s="197"/>
      <c r="BN58" s="192"/>
      <c r="BP58" s="8" t="str">
        <f t="shared" si="39"/>
        <v>2026//4/7</v>
      </c>
      <c r="BQ58" s="263">
        <v>1139262.39</v>
      </c>
      <c r="BR58" s="12">
        <f t="shared" si="40"/>
        <v>1138862.39</v>
      </c>
      <c r="BS58" s="12">
        <f t="shared" si="41"/>
        <v>400</v>
      </c>
      <c r="BT58" s="199">
        <f t="shared" si="42"/>
        <v>0.000351227684321018</v>
      </c>
      <c r="BU58" s="192"/>
      <c r="BV58" s="192"/>
      <c r="BX58" s="8" t="str">
        <f t="shared" si="43"/>
        <v>2026//4/7</v>
      </c>
      <c r="BY58" s="263">
        <v>3120760.7</v>
      </c>
      <c r="BZ58" s="12">
        <f t="shared" si="44"/>
        <v>3117310.7</v>
      </c>
      <c r="CA58" s="12">
        <f t="shared" si="45"/>
        <v>3450</v>
      </c>
      <c r="CB58" s="199">
        <f t="shared" si="46"/>
        <v>0.00110672317648671</v>
      </c>
      <c r="CC58" s="192"/>
      <c r="CD58" s="201"/>
      <c r="CF58" s="8" t="str">
        <f t="shared" si="47"/>
        <v>2026//4/7</v>
      </c>
      <c r="CG58" s="262">
        <v>1389853.9</v>
      </c>
      <c r="CH58" s="12">
        <f t="shared" si="48"/>
        <v>1393803.9</v>
      </c>
      <c r="CI58" s="12">
        <f t="shared" si="49"/>
        <v>-3950</v>
      </c>
      <c r="CJ58" s="199">
        <f t="shared" si="50"/>
        <v>-0.00283397112032762</v>
      </c>
      <c r="CK58" s="192"/>
      <c r="CL58" s="201"/>
      <c r="CN58" s="8" t="str">
        <f t="shared" si="51"/>
        <v>2026//4/7</v>
      </c>
      <c r="CO58" s="262">
        <v>671546.48</v>
      </c>
      <c r="CP58" s="12">
        <f t="shared" si="52"/>
        <v>673546.48</v>
      </c>
      <c r="CQ58" s="12">
        <f t="shared" si="53"/>
        <v>-2000</v>
      </c>
      <c r="CR58" s="199">
        <f t="shared" si="54"/>
        <v>-0.00296935706649376</v>
      </c>
      <c r="CS58" s="201"/>
      <c r="CT58" s="201"/>
      <c r="CV58" s="8" t="str">
        <f t="shared" si="55"/>
        <v>2026//4/7</v>
      </c>
      <c r="CW58" s="262">
        <v>585590.4</v>
      </c>
      <c r="CX58" s="12">
        <f t="shared" si="56"/>
        <v>585590.4</v>
      </c>
      <c r="CY58" s="12">
        <f t="shared" si="57"/>
        <v>0</v>
      </c>
      <c r="CZ58" s="199">
        <f t="shared" si="58"/>
        <v>0</v>
      </c>
      <c r="DA58" s="192"/>
      <c r="DB58" s="192"/>
      <c r="DC58" s="202"/>
      <c r="DD58" s="8" t="str">
        <f t="shared" si="59"/>
        <v>2026//4/7</v>
      </c>
      <c r="DE58" s="263">
        <v>2399917.99</v>
      </c>
      <c r="DF58" s="12">
        <f t="shared" si="60"/>
        <v>2395717.99</v>
      </c>
      <c r="DG58" s="12">
        <f t="shared" si="61"/>
        <v>4200</v>
      </c>
      <c r="DH58" s="199">
        <f t="shared" si="62"/>
        <v>0.00175312787962994</v>
      </c>
      <c r="DI58" s="192"/>
      <c r="DJ58" s="192"/>
      <c r="DL58" s="8" t="str">
        <f t="shared" si="63"/>
        <v>2026//4/7</v>
      </c>
      <c r="DM58" s="262">
        <v>1368700.36</v>
      </c>
      <c r="DN58" s="12">
        <f t="shared" si="64"/>
        <v>1388700.36</v>
      </c>
      <c r="DO58" s="12">
        <f t="shared" si="65"/>
        <v>-20000</v>
      </c>
      <c r="DP58" s="199">
        <f t="shared" si="66"/>
        <v>-0.0144019549328842</v>
      </c>
      <c r="DQ58" s="192"/>
      <c r="DR58" s="192"/>
      <c r="DT58" s="8" t="str">
        <f t="shared" si="67"/>
        <v>2026//4/7</v>
      </c>
      <c r="DU58" s="262">
        <v>1642589.48</v>
      </c>
      <c r="DV58" s="12">
        <f t="shared" si="68"/>
        <v>1655489.48</v>
      </c>
      <c r="DW58" s="12">
        <f t="shared" si="69"/>
        <v>-12900</v>
      </c>
      <c r="DX58" s="199">
        <f t="shared" si="70"/>
        <v>-0.0077922573086964</v>
      </c>
      <c r="DY58" s="192"/>
      <c r="DZ58" s="192"/>
      <c r="EB58" s="8" t="str">
        <f t="shared" si="71"/>
        <v>2026//4/7</v>
      </c>
      <c r="EC58" s="262">
        <v>5118266.82</v>
      </c>
      <c r="ED58" s="12">
        <f t="shared" si="72"/>
        <v>5179466.82</v>
      </c>
      <c r="EE58" s="12">
        <f t="shared" si="73"/>
        <v>-61200</v>
      </c>
      <c r="EF58" s="199">
        <f t="shared" si="74"/>
        <v>-0.0118158880299575</v>
      </c>
      <c r="EG58" s="192"/>
      <c r="EH58" s="192"/>
      <c r="EJ58" s="8" t="str">
        <f t="shared" si="75"/>
        <v>2026//4/7</v>
      </c>
      <c r="EK58" s="263">
        <v>1527522.96</v>
      </c>
      <c r="EL58" s="12">
        <f t="shared" si="76"/>
        <v>1532522.96</v>
      </c>
      <c r="EM58" s="12">
        <f t="shared" si="77"/>
        <v>-5000</v>
      </c>
      <c r="EN58" s="199">
        <f t="shared" si="78"/>
        <v>-0.00326259386025773</v>
      </c>
      <c r="EO58" s="192"/>
      <c r="EP58" s="192"/>
      <c r="ER58" s="8" t="str">
        <f t="shared" si="79"/>
        <v>2026//4/7</v>
      </c>
      <c r="ES58" s="262">
        <v>532697.02</v>
      </c>
      <c r="ET58" s="12">
        <f t="shared" si="80"/>
        <v>535247.02</v>
      </c>
      <c r="EU58" s="12">
        <f t="shared" si="81"/>
        <v>-2550</v>
      </c>
      <c r="EV58" s="199">
        <f t="shared" si="82"/>
        <v>-0.00476415543611994</v>
      </c>
      <c r="EW58" s="192"/>
      <c r="EX58" s="192"/>
      <c r="EZ58" s="8" t="str">
        <f t="shared" si="83"/>
        <v>2026//4/7</v>
      </c>
      <c r="FA58" s="262">
        <v>740608</v>
      </c>
      <c r="FB58" s="12">
        <f t="shared" si="84"/>
        <v>738008</v>
      </c>
      <c r="FC58" s="12">
        <f t="shared" si="85"/>
        <v>2600</v>
      </c>
      <c r="FD58" s="199">
        <f t="shared" si="86"/>
        <v>0.00352299704068249</v>
      </c>
      <c r="FE58" s="192"/>
      <c r="FF58" s="192"/>
      <c r="FG58" s="192"/>
      <c r="FH58" s="8" t="str">
        <f t="shared" si="87"/>
        <v>2026//4/7</v>
      </c>
      <c r="FI58" s="263">
        <v>1082795.33</v>
      </c>
      <c r="FJ58" s="12">
        <f t="shared" si="88"/>
        <v>1091695.33</v>
      </c>
      <c r="FK58" s="12">
        <f t="shared" si="89"/>
        <v>-8900</v>
      </c>
      <c r="FL58" s="199">
        <f t="shared" si="90"/>
        <v>-0.00815245770081292</v>
      </c>
      <c r="FM58" s="201"/>
      <c r="FN58" s="201"/>
      <c r="FP58" s="8" t="str">
        <f t="shared" si="91"/>
        <v>2026//4/7</v>
      </c>
      <c r="FQ58" s="262">
        <v>2273218.73</v>
      </c>
      <c r="FR58" s="12">
        <f t="shared" si="92"/>
        <v>2270218.73</v>
      </c>
      <c r="FS58" s="12">
        <f t="shared" si="93"/>
        <v>3000</v>
      </c>
      <c r="FT58" s="199">
        <f t="shared" si="94"/>
        <v>0.00132145857152716</v>
      </c>
      <c r="FU58" s="192"/>
      <c r="FV58" s="192"/>
      <c r="FX58" s="8" t="str">
        <f t="shared" si="95"/>
        <v>2026//4/7</v>
      </c>
      <c r="FY58" s="262">
        <v>8370582.05</v>
      </c>
      <c r="FZ58" s="12">
        <f t="shared" si="96"/>
        <v>8361682.05</v>
      </c>
      <c r="GA58" s="12">
        <f t="shared" si="97"/>
        <v>8900</v>
      </c>
      <c r="GB58" s="199">
        <f t="shared" si="98"/>
        <v>0.00106437914605949</v>
      </c>
      <c r="GC58" s="192"/>
      <c r="GD58" s="192"/>
      <c r="GF58" s="8" t="str">
        <f t="shared" si="99"/>
        <v>2026//4/7</v>
      </c>
      <c r="GG58" s="262">
        <v>4616369.49</v>
      </c>
      <c r="GH58" s="12">
        <f t="shared" si="100"/>
        <v>4628069.49</v>
      </c>
      <c r="GI58" s="12">
        <f t="shared" si="101"/>
        <v>-11700</v>
      </c>
      <c r="GJ58" s="199">
        <f t="shared" si="102"/>
        <v>-0.00252805192862392</v>
      </c>
      <c r="GK58" s="192"/>
      <c r="GL58" s="192"/>
      <c r="GN58" s="8" t="str">
        <f t="shared" si="103"/>
        <v>2026//4/7</v>
      </c>
      <c r="GO58" s="263">
        <v>1764838.12</v>
      </c>
      <c r="GP58" s="12">
        <f t="shared" si="104"/>
        <v>1762678.12</v>
      </c>
      <c r="GQ58" s="12">
        <f t="shared" si="105"/>
        <v>2160</v>
      </c>
      <c r="GR58" s="199">
        <f t="shared" si="106"/>
        <v>0.00122540807393695</v>
      </c>
      <c r="GS58" s="192"/>
      <c r="GT58" s="192"/>
      <c r="GV58" s="8" t="str">
        <f t="shared" si="107"/>
        <v>2026//4/7</v>
      </c>
      <c r="GW58" s="262">
        <v>993949.4</v>
      </c>
      <c r="GX58" s="12">
        <f t="shared" si="108"/>
        <v>1000149.4</v>
      </c>
      <c r="GY58" s="12">
        <f t="shared" si="109"/>
        <v>-6200</v>
      </c>
      <c r="GZ58" s="199">
        <f t="shared" si="110"/>
        <v>-0.00619907385836556</v>
      </c>
      <c r="HA58" s="192"/>
      <c r="HB58" s="192"/>
      <c r="HD58" s="8" t="str">
        <f t="shared" si="111"/>
        <v>2026//4/7</v>
      </c>
      <c r="HE58" s="263">
        <v>1102164.67</v>
      </c>
      <c r="HF58" s="12">
        <f t="shared" si="112"/>
        <v>1105764.67</v>
      </c>
      <c r="HG58" s="12">
        <f t="shared" si="113"/>
        <v>-3600</v>
      </c>
      <c r="HH58" s="199">
        <f t="shared" si="114"/>
        <v>-0.00325566560197659</v>
      </c>
      <c r="HI58" s="201"/>
      <c r="HJ58" s="192"/>
      <c r="HL58" s="8" t="str">
        <f t="shared" si="115"/>
        <v>2026//4/7</v>
      </c>
      <c r="HM58" s="262">
        <v>153354.25</v>
      </c>
      <c r="HN58" s="12">
        <f t="shared" si="116"/>
        <v>152204.25</v>
      </c>
      <c r="HO58" s="12">
        <f t="shared" si="117"/>
        <v>1150</v>
      </c>
      <c r="HP58" s="199">
        <f t="shared" si="118"/>
        <v>0.0075556365870204</v>
      </c>
      <c r="HQ58" s="192"/>
      <c r="HR58" s="192"/>
      <c r="HT58" s="8" t="str">
        <f t="shared" si="119"/>
        <v>2026//4/7</v>
      </c>
      <c r="HU58" s="263">
        <v>257468.82</v>
      </c>
      <c r="HV58" s="12">
        <f t="shared" si="120"/>
        <v>260668.82</v>
      </c>
      <c r="HW58" s="12">
        <f t="shared" si="121"/>
        <v>-3200</v>
      </c>
      <c r="HX58" s="199">
        <f t="shared" si="122"/>
        <v>-0.0122761134223878</v>
      </c>
      <c r="HY58" s="192"/>
      <c r="HZ58" s="192"/>
      <c r="IB58" s="8" t="str">
        <f t="shared" si="123"/>
        <v>2026//4/7</v>
      </c>
      <c r="IC58" s="262">
        <v>400084.79</v>
      </c>
      <c r="ID58" s="12">
        <f t="shared" si="124"/>
        <v>399934.79</v>
      </c>
      <c r="IE58" s="12">
        <f t="shared" si="125"/>
        <v>150</v>
      </c>
      <c r="IF58" s="199">
        <f t="shared" si="126"/>
        <v>0.000375061144343057</v>
      </c>
      <c r="IG58" s="201"/>
      <c r="IH58" s="192"/>
      <c r="IJ58" s="8" t="str">
        <f t="shared" si="127"/>
        <v>2026//4/7</v>
      </c>
      <c r="IK58" s="263">
        <v>564316.29</v>
      </c>
      <c r="IL58" s="12">
        <f t="shared" si="128"/>
        <v>569596.29</v>
      </c>
      <c r="IM58" s="12">
        <f t="shared" si="129"/>
        <v>-5280</v>
      </c>
      <c r="IN58" s="199">
        <f t="shared" si="130"/>
        <v>-0.00926972329823286</v>
      </c>
      <c r="IO58" s="192"/>
      <c r="IP58" s="192"/>
      <c r="IR58" s="8" t="str">
        <f t="shared" si="131"/>
        <v>2026//4/7</v>
      </c>
      <c r="IS58" s="262">
        <v>141989</v>
      </c>
      <c r="IT58" s="12">
        <f t="shared" si="132"/>
        <v>142089</v>
      </c>
      <c r="IU58" s="12">
        <f t="shared" si="133"/>
        <v>-100</v>
      </c>
      <c r="IV58" s="199">
        <f t="shared" si="134"/>
        <v>-0.000703784247900963</v>
      </c>
      <c r="IW58" s="192"/>
      <c r="IX58" s="192"/>
      <c r="IZ58" s="8" t="str">
        <f t="shared" si="135"/>
        <v>2026//4/7</v>
      </c>
      <c r="JA58" s="262">
        <v>5035929.15</v>
      </c>
      <c r="JB58" s="12">
        <f t="shared" si="136"/>
        <v>5028829.15</v>
      </c>
      <c r="JC58" s="12">
        <f t="shared" si="137"/>
        <v>7100</v>
      </c>
      <c r="JD58" s="199">
        <f t="shared" si="138"/>
        <v>0.00141185945837909</v>
      </c>
      <c r="JE58" s="192"/>
      <c r="JF58" s="192"/>
      <c r="JH58" s="8" t="str">
        <f t="shared" si="139"/>
        <v>2026//4/7</v>
      </c>
      <c r="JI58" s="262">
        <v>1479447.99</v>
      </c>
      <c r="JJ58" s="12">
        <f t="shared" si="140"/>
        <v>1503207.99</v>
      </c>
      <c r="JK58" s="12">
        <f t="shared" si="141"/>
        <v>-23760</v>
      </c>
      <c r="JL58" s="199">
        <f t="shared" si="142"/>
        <v>-0.0158061959210315</v>
      </c>
      <c r="JM58" s="192"/>
      <c r="JN58" s="192"/>
      <c r="JO58" s="192"/>
      <c r="JP58" s="8" t="str">
        <f t="shared" si="143"/>
        <v>2026//4/7</v>
      </c>
      <c r="JQ58" s="263">
        <v>1038890.41</v>
      </c>
      <c r="JR58" s="12">
        <f t="shared" si="144"/>
        <v>1045890.41</v>
      </c>
      <c r="JS58" s="12">
        <f t="shared" si="145"/>
        <v>-7000</v>
      </c>
      <c r="JT58" s="199">
        <f t="shared" si="146"/>
        <v>-0.00669286182669942</v>
      </c>
      <c r="JU58" s="192"/>
      <c r="JV58" s="192"/>
      <c r="JW58" s="201"/>
      <c r="JX58" s="8" t="str">
        <f t="shared" si="147"/>
        <v>2026//4/7</v>
      </c>
      <c r="JY58" s="262">
        <v>1244648.8</v>
      </c>
      <c r="JZ58" s="12">
        <f t="shared" si="148"/>
        <v>1244648.8</v>
      </c>
      <c r="KA58" s="12">
        <f t="shared" si="149"/>
        <v>0</v>
      </c>
      <c r="KB58" s="199">
        <f t="shared" si="150"/>
        <v>0</v>
      </c>
      <c r="KC58" s="192"/>
      <c r="KD58" s="192"/>
      <c r="KE58" s="201"/>
      <c r="KF58" s="8" t="str">
        <f t="shared" si="151"/>
        <v>2026//4/7</v>
      </c>
      <c r="KG58" s="263">
        <v>732555.92</v>
      </c>
      <c r="KH58" s="12">
        <f t="shared" si="152"/>
        <v>732555.92</v>
      </c>
      <c r="KI58" s="12">
        <f t="shared" si="153"/>
        <v>0</v>
      </c>
      <c r="KJ58" s="199">
        <f t="shared" si="154"/>
        <v>0</v>
      </c>
      <c r="KK58" s="201"/>
      <c r="KL58" s="201"/>
      <c r="KN58" s="8" t="str">
        <f t="shared" si="155"/>
        <v>2026//4/7</v>
      </c>
      <c r="KO58" s="262">
        <v>8320675.95</v>
      </c>
      <c r="KP58" s="12">
        <f t="shared" si="156"/>
        <v>8320675.95</v>
      </c>
      <c r="KQ58" s="12">
        <f t="shared" si="157"/>
        <v>0</v>
      </c>
      <c r="KR58" s="199">
        <f t="shared" si="158"/>
        <v>0</v>
      </c>
      <c r="KS58" s="192"/>
      <c r="KT58" s="192"/>
      <c r="KV58" s="8" t="str">
        <f t="shared" si="159"/>
        <v>2026//4/7</v>
      </c>
      <c r="KW58" s="263">
        <v>969572.97</v>
      </c>
      <c r="KX58" s="12">
        <f t="shared" si="160"/>
        <v>969572.97</v>
      </c>
      <c r="KY58" s="12">
        <f t="shared" si="161"/>
        <v>0</v>
      </c>
      <c r="KZ58" s="199">
        <f t="shared" si="162"/>
        <v>0</v>
      </c>
      <c r="LA58" s="201"/>
      <c r="LB58" s="192"/>
      <c r="LD58" s="8" t="str">
        <f t="shared" si="163"/>
        <v>2026//4/7</v>
      </c>
      <c r="LE58" s="262">
        <v>445607.7</v>
      </c>
      <c r="LF58" s="12">
        <f t="shared" si="164"/>
        <v>445607.7</v>
      </c>
      <c r="LG58" s="12">
        <f t="shared" si="165"/>
        <v>0</v>
      </c>
      <c r="LH58" s="199">
        <f t="shared" si="166"/>
        <v>0</v>
      </c>
      <c r="LI58" s="192"/>
      <c r="LJ58" s="192"/>
      <c r="LL58" s="8" t="str">
        <f t="shared" si="167"/>
        <v>2026//4/7</v>
      </c>
      <c r="LM58" s="262">
        <v>3535855.02</v>
      </c>
      <c r="LN58" s="12">
        <f t="shared" si="168"/>
        <v>3524875.02</v>
      </c>
      <c r="LO58" s="12">
        <f t="shared" si="169"/>
        <v>10980</v>
      </c>
      <c r="LP58" s="199">
        <f t="shared" si="170"/>
        <v>0.00311500406048439</v>
      </c>
      <c r="LQ58" s="192"/>
      <c r="LR58" s="192"/>
      <c r="LT58" s="8" t="str">
        <f t="shared" si="171"/>
        <v>2026//4/7</v>
      </c>
      <c r="LU58" s="263">
        <v>2667462.9</v>
      </c>
      <c r="LV58" s="12">
        <f t="shared" si="172"/>
        <v>2673862.9</v>
      </c>
      <c r="LW58" s="12">
        <f t="shared" si="173"/>
        <v>-6400</v>
      </c>
      <c r="LX58" s="199">
        <f t="shared" si="174"/>
        <v>-0.00239354082066063</v>
      </c>
      <c r="LY58" s="192"/>
      <c r="LZ58" s="192"/>
      <c r="MB58" s="8" t="str">
        <f t="shared" si="175"/>
        <v>2026//4/7</v>
      </c>
      <c r="MC58" s="262">
        <v>787217.69</v>
      </c>
      <c r="MD58" s="12">
        <f t="shared" si="176"/>
        <v>783317.69</v>
      </c>
      <c r="ME58" s="12">
        <f t="shared" si="177"/>
        <v>3900</v>
      </c>
      <c r="MF58" s="199">
        <f t="shared" si="178"/>
        <v>0.00497882283240661</v>
      </c>
      <c r="MG58" s="192"/>
      <c r="MH58" s="192"/>
      <c r="MI58" s="8"/>
      <c r="MJ58" s="8"/>
      <c r="MK58" s="8" t="str">
        <f t="shared" si="179"/>
        <v>2026//4/7</v>
      </c>
      <c r="ML58" s="263">
        <v>217425.53</v>
      </c>
      <c r="MM58" s="12">
        <f t="shared" si="180"/>
        <v>220665.53</v>
      </c>
      <c r="MN58" s="12">
        <f t="shared" si="181"/>
        <v>-3240</v>
      </c>
      <c r="MO58" s="199">
        <f t="shared" si="182"/>
        <v>-0.0146828550884227</v>
      </c>
      <c r="MP58" s="192"/>
      <c r="MQ58" s="201"/>
      <c r="MR58" s="201"/>
      <c r="MT58" s="8" t="str">
        <f t="shared" si="183"/>
        <v>2026//4/7</v>
      </c>
      <c r="MU58" s="262">
        <v>282514.8</v>
      </c>
      <c r="MV58" s="204">
        <f t="shared" si="184"/>
        <v>283414.8</v>
      </c>
      <c r="MW58" s="8">
        <f t="shared" si="185"/>
        <v>-900</v>
      </c>
      <c r="MX58" s="192">
        <f t="shared" si="186"/>
        <v>-0.00317555752204895</v>
      </c>
      <c r="MY58" s="192"/>
      <c r="MZ58" s="192"/>
      <c r="NA58" s="192"/>
      <c r="NC58" s="8" t="str">
        <f t="shared" si="187"/>
        <v>2026//4/7</v>
      </c>
      <c r="ND58" s="262">
        <v>44891.48</v>
      </c>
      <c r="NE58" s="204">
        <f t="shared" si="188"/>
        <v>44491.48</v>
      </c>
      <c r="NF58" s="8">
        <f t="shared" si="189"/>
        <v>400</v>
      </c>
      <c r="NG58" s="192">
        <f t="shared" si="190"/>
        <v>0.00899048536933363</v>
      </c>
      <c r="NH58" s="192"/>
      <c r="NI58" s="192"/>
      <c r="NJ58" s="192"/>
      <c r="NK58" s="192"/>
      <c r="NM58" s="8" t="str">
        <f t="shared" si="191"/>
        <v>2026//4/7</v>
      </c>
      <c r="NN58" s="262">
        <v>2655311.08</v>
      </c>
      <c r="NO58" s="8">
        <f t="shared" si="192"/>
        <v>2642711.08</v>
      </c>
      <c r="NP58" s="210">
        <f t="shared" si="193"/>
        <v>12600</v>
      </c>
      <c r="NQ58" s="211">
        <f t="shared" si="194"/>
        <v>0.00476783107141625</v>
      </c>
      <c r="NR58" s="192"/>
      <c r="NU58" s="8" t="str">
        <f t="shared" si="195"/>
        <v>2026//4/7</v>
      </c>
      <c r="NV58" s="262">
        <v>249326.5</v>
      </c>
      <c r="NW58" s="205">
        <f t="shared" si="196"/>
        <v>251676.5</v>
      </c>
      <c r="NX58" s="210">
        <f t="shared" si="197"/>
        <v>-2350</v>
      </c>
      <c r="NY58" s="211">
        <f t="shared" si="198"/>
        <v>-0.00933738350620737</v>
      </c>
      <c r="NZ58" s="201"/>
      <c r="OA58" s="200"/>
      <c r="OC58" s="8" t="str">
        <f t="shared" si="199"/>
        <v>2026//4/7</v>
      </c>
      <c r="OD58" s="262">
        <v>12135.97</v>
      </c>
      <c r="OE58" s="12">
        <f t="shared" si="200"/>
        <v>11945.97</v>
      </c>
      <c r="OF58" s="12">
        <f t="shared" si="201"/>
        <v>190</v>
      </c>
      <c r="OG58" s="199">
        <f t="shared" si="202"/>
        <v>0.0159049453497707</v>
      </c>
      <c r="OH58" s="192"/>
      <c r="OI58" s="192"/>
      <c r="OK58" s="8" t="str">
        <f t="shared" si="203"/>
        <v>2026//4/7</v>
      </c>
      <c r="OL58" s="262">
        <v>11544.65</v>
      </c>
      <c r="OM58" s="12">
        <f t="shared" si="204"/>
        <v>11344.65</v>
      </c>
      <c r="ON58" s="12">
        <f t="shared" si="205"/>
        <v>200</v>
      </c>
      <c r="OO58" s="199">
        <f t="shared" si="206"/>
        <v>0.0176294552939051</v>
      </c>
      <c r="OP58" s="192"/>
      <c r="OQ58" s="192"/>
      <c r="OT58" s="234" t="str">
        <f t="shared" si="207"/>
        <v>2026//4/7</v>
      </c>
      <c r="OU58" s="206">
        <v>144192.4066</v>
      </c>
      <c r="OV58" s="8">
        <f t="shared" si="208"/>
        <v>144072.4066</v>
      </c>
      <c r="OW58" s="191">
        <f t="shared" si="209"/>
        <v>120</v>
      </c>
      <c r="OX58" s="192">
        <f t="shared" si="210"/>
        <v>0.000832914524244506</v>
      </c>
    </row>
    <row r="59" s="9" customFormat="1" ht="17" customHeight="1" spans="1:414">
      <c r="A59" s="212"/>
      <c r="B59" s="212"/>
      <c r="C59" s="212" t="s">
        <v>487</v>
      </c>
      <c r="D59" s="264">
        <v>4486908.77</v>
      </c>
      <c r="E59" s="214">
        <f t="shared" si="8"/>
        <v>4471878.77</v>
      </c>
      <c r="F59" s="214">
        <f t="shared" si="9"/>
        <v>15030</v>
      </c>
      <c r="G59" s="215">
        <f t="shared" si="10"/>
        <v>0.0033610034558249</v>
      </c>
      <c r="H59" s="216">
        <f>(D59-D64)/D64</f>
        <v>-0.00645694330292495</v>
      </c>
      <c r="I59" s="215"/>
      <c r="J59" s="215"/>
      <c r="K59" s="9" t="str">
        <f t="shared" si="11"/>
        <v>2026//4/3</v>
      </c>
      <c r="L59" s="264">
        <v>3163744.4</v>
      </c>
      <c r="M59" s="214">
        <f t="shared" si="12"/>
        <v>3163384.4</v>
      </c>
      <c r="N59" s="214">
        <f t="shared" si="13"/>
        <v>360</v>
      </c>
      <c r="O59" s="215">
        <f t="shared" si="14"/>
        <v>0.000113802167071444</v>
      </c>
      <c r="P59" s="216">
        <f>(L59-L64)/L64</f>
        <v>-0.00635993580893233</v>
      </c>
      <c r="Q59" s="215"/>
      <c r="R59" s="214"/>
      <c r="S59" s="9" t="str">
        <f t="shared" si="15"/>
        <v>2026//4/3</v>
      </c>
      <c r="T59" s="264">
        <v>2297586.68</v>
      </c>
      <c r="U59" s="214">
        <f t="shared" si="16"/>
        <v>2286246.68</v>
      </c>
      <c r="V59" s="214">
        <f t="shared" si="17"/>
        <v>11340</v>
      </c>
      <c r="W59" s="215">
        <f t="shared" si="18"/>
        <v>0.00496009468234635</v>
      </c>
      <c r="X59" s="216">
        <f>(T59-T64)/T64</f>
        <v>-0.0198873249520814</v>
      </c>
      <c r="Y59" s="215"/>
      <c r="Z59" s="214"/>
      <c r="AA59" s="9" t="str">
        <f t="shared" si="19"/>
        <v>2026//4/3</v>
      </c>
      <c r="AB59" s="264">
        <v>944416.86</v>
      </c>
      <c r="AC59" s="214">
        <f t="shared" si="20"/>
        <v>931536.86</v>
      </c>
      <c r="AD59" s="214">
        <f t="shared" si="21"/>
        <v>12880</v>
      </c>
      <c r="AE59" s="215">
        <f t="shared" si="22"/>
        <v>0.0138266133666466</v>
      </c>
      <c r="AF59" s="216">
        <f>(AB59-AB64)/AB64</f>
        <v>-0.0175596121264767</v>
      </c>
      <c r="AG59" s="215"/>
      <c r="AH59" s="214"/>
      <c r="AI59" s="9" t="str">
        <f t="shared" si="23"/>
        <v>2026//4/3</v>
      </c>
      <c r="AJ59" s="264">
        <v>755721.76</v>
      </c>
      <c r="AK59" s="214">
        <f t="shared" si="24"/>
        <v>741921.76</v>
      </c>
      <c r="AL59" s="214">
        <f t="shared" si="25"/>
        <v>13800</v>
      </c>
      <c r="AM59" s="215">
        <f t="shared" si="26"/>
        <v>0.0186003440578424</v>
      </c>
      <c r="AN59" s="216">
        <f>(AJ59-AJ64)/AJ64</f>
        <v>-0.0232641770343902</v>
      </c>
      <c r="AO59" s="216"/>
      <c r="AP59" s="214"/>
      <c r="AQ59" s="9" t="str">
        <f t="shared" si="27"/>
        <v>2026//4/3</v>
      </c>
      <c r="AR59" s="261">
        <v>1584145.49</v>
      </c>
      <c r="AS59" s="214">
        <f t="shared" si="28"/>
        <v>1591745.49</v>
      </c>
      <c r="AT59" s="214">
        <f t="shared" si="29"/>
        <v>-7600</v>
      </c>
      <c r="AU59" s="215">
        <f t="shared" si="30"/>
        <v>-0.00477463265813934</v>
      </c>
      <c r="AV59" s="216">
        <f>(AR59-AR64)/AR64</f>
        <v>0.0142779808519984</v>
      </c>
      <c r="AW59" s="216"/>
      <c r="AX59" s="217"/>
      <c r="AY59" s="217"/>
      <c r="AZ59" s="9" t="str">
        <f t="shared" si="31"/>
        <v>2026//4/3</v>
      </c>
      <c r="BA59" s="261">
        <v>1984881.66</v>
      </c>
      <c r="BB59" s="218">
        <f t="shared" si="32"/>
        <v>1983981.66</v>
      </c>
      <c r="BC59" s="217">
        <f t="shared" si="33"/>
        <v>900</v>
      </c>
      <c r="BD59" s="216">
        <f t="shared" si="34"/>
        <v>0.000453633225621652</v>
      </c>
      <c r="BE59" s="216">
        <f>(BA59-BA64)/BA64</f>
        <v>-0.00929867311079188</v>
      </c>
      <c r="BF59" s="216"/>
      <c r="BG59" s="219"/>
      <c r="BH59" s="9" t="str">
        <f t="shared" si="35"/>
        <v>2026//4/3</v>
      </c>
      <c r="BI59" s="261">
        <v>1614726.55</v>
      </c>
      <c r="BJ59" s="221">
        <f t="shared" si="36"/>
        <v>1620226.55</v>
      </c>
      <c r="BK59" s="221">
        <f t="shared" si="37"/>
        <v>-5500</v>
      </c>
      <c r="BL59" s="222">
        <f t="shared" si="38"/>
        <v>-0.00339458701006967</v>
      </c>
      <c r="BM59" s="223">
        <f>(BI59-BI64)/BI64</f>
        <v>-0.0224599852811423</v>
      </c>
      <c r="BN59" s="224"/>
      <c r="BP59" s="9" t="str">
        <f t="shared" si="39"/>
        <v>2026//4/3</v>
      </c>
      <c r="BQ59" s="261">
        <v>1138862.39</v>
      </c>
      <c r="BR59" s="13">
        <f t="shared" si="40"/>
        <v>1133162.39</v>
      </c>
      <c r="BS59" s="13">
        <f t="shared" si="41"/>
        <v>5700</v>
      </c>
      <c r="BT59" s="226">
        <f t="shared" si="42"/>
        <v>0.00503017047715465</v>
      </c>
      <c r="BU59" s="224">
        <f>(BQ59-BQ64)/BQ64</f>
        <v>-0.0298161013575024</v>
      </c>
      <c r="BV59" s="224"/>
      <c r="BX59" s="9" t="str">
        <f t="shared" si="43"/>
        <v>2026//4/3</v>
      </c>
      <c r="BY59" s="261">
        <v>3117310.7</v>
      </c>
      <c r="BZ59" s="13">
        <f t="shared" si="44"/>
        <v>3135010.7</v>
      </c>
      <c r="CA59" s="13">
        <f t="shared" si="45"/>
        <v>-17700</v>
      </c>
      <c r="CB59" s="226">
        <f t="shared" si="46"/>
        <v>-0.00564591374440923</v>
      </c>
      <c r="CC59" s="224">
        <f>(BY59-BY64)/BY64</f>
        <v>0.000385095433227067</v>
      </c>
      <c r="CD59" s="228"/>
      <c r="CF59" s="9" t="str">
        <f t="shared" si="47"/>
        <v>2026//4/3</v>
      </c>
      <c r="CG59" s="264">
        <v>1393803.9</v>
      </c>
      <c r="CH59" s="13">
        <f t="shared" si="48"/>
        <v>1402903.9</v>
      </c>
      <c r="CI59" s="13">
        <f t="shared" si="49"/>
        <v>-9100</v>
      </c>
      <c r="CJ59" s="226">
        <f t="shared" si="50"/>
        <v>-0.00648654551462862</v>
      </c>
      <c r="CK59" s="224">
        <f>(CG59-CG64)/CG64</f>
        <v>-0.00286163173532425</v>
      </c>
      <c r="CL59" s="228"/>
      <c r="CN59" s="9" t="str">
        <f t="shared" si="51"/>
        <v>2026//4/3</v>
      </c>
      <c r="CO59" s="264">
        <v>673546.48</v>
      </c>
      <c r="CP59" s="13">
        <f t="shared" si="52"/>
        <v>675046.48</v>
      </c>
      <c r="CQ59" s="13">
        <f t="shared" si="53"/>
        <v>-1500</v>
      </c>
      <c r="CR59" s="226">
        <f t="shared" si="54"/>
        <v>-0.00222206921218225</v>
      </c>
      <c r="CS59" s="228">
        <f>(CO59-CO64)/CO64</f>
        <v>0.0184472139324005</v>
      </c>
      <c r="CT59" s="228"/>
      <c r="CV59" s="9" t="str">
        <f t="shared" si="55"/>
        <v>2026//4/3</v>
      </c>
      <c r="CW59" s="264">
        <v>585590.4</v>
      </c>
      <c r="CX59" s="13">
        <f t="shared" si="56"/>
        <v>585590.4</v>
      </c>
      <c r="CY59" s="13">
        <f t="shared" si="57"/>
        <v>0</v>
      </c>
      <c r="CZ59" s="226">
        <f t="shared" si="58"/>
        <v>0</v>
      </c>
      <c r="DA59" s="224">
        <f>(CW59-CW64)/CW64</f>
        <v>0.0743981547055961</v>
      </c>
      <c r="DB59" s="224"/>
      <c r="DC59" s="276"/>
      <c r="DD59" s="9" t="str">
        <f t="shared" si="59"/>
        <v>2026//4/3</v>
      </c>
      <c r="DE59" s="261">
        <v>2395717.99</v>
      </c>
      <c r="DF59" s="13">
        <f t="shared" si="60"/>
        <v>2394717.99</v>
      </c>
      <c r="DG59" s="13">
        <f t="shared" si="61"/>
        <v>1000</v>
      </c>
      <c r="DH59" s="226">
        <f t="shared" si="62"/>
        <v>0.000417585704945575</v>
      </c>
      <c r="DI59" s="224">
        <f>(DE59-DE64)/DE64</f>
        <v>0.0163759303368602</v>
      </c>
      <c r="DJ59" s="224"/>
      <c r="DL59" s="9" t="str">
        <f t="shared" si="63"/>
        <v>2026//4/3</v>
      </c>
      <c r="DM59" s="264">
        <v>1388700.36</v>
      </c>
      <c r="DN59" s="13">
        <f t="shared" si="64"/>
        <v>1394700.36</v>
      </c>
      <c r="DO59" s="13">
        <f t="shared" si="65"/>
        <v>-6000</v>
      </c>
      <c r="DP59" s="226">
        <f t="shared" si="66"/>
        <v>-0.00430199931976787</v>
      </c>
      <c r="DQ59" s="224">
        <f>(DM59-DM64)/DM64</f>
        <v>-0.00771703981555246</v>
      </c>
      <c r="DR59" s="224"/>
      <c r="DT59" s="9" t="str">
        <f t="shared" si="67"/>
        <v>2026//4/3</v>
      </c>
      <c r="DU59" s="264">
        <v>1655489.48</v>
      </c>
      <c r="DV59" s="13">
        <f t="shared" si="68"/>
        <v>1664789.48</v>
      </c>
      <c r="DW59" s="13">
        <f t="shared" si="69"/>
        <v>-9300</v>
      </c>
      <c r="DX59" s="226">
        <f t="shared" si="70"/>
        <v>-0.00558629190761105</v>
      </c>
      <c r="DY59" s="224">
        <f>(DU59-DU64)/DU64</f>
        <v>-0.0146420772779316</v>
      </c>
      <c r="DZ59" s="224"/>
      <c r="EB59" s="9" t="str">
        <f t="shared" si="71"/>
        <v>2026//4/3</v>
      </c>
      <c r="EC59" s="264">
        <v>5179466.82</v>
      </c>
      <c r="ED59" s="13">
        <f t="shared" si="72"/>
        <v>5156666.82</v>
      </c>
      <c r="EE59" s="13">
        <f t="shared" si="73"/>
        <v>22800</v>
      </c>
      <c r="EF59" s="226">
        <f t="shared" si="74"/>
        <v>0.00442146076057712</v>
      </c>
      <c r="EG59" s="224">
        <f>(EC59-EC64)/EC64</f>
        <v>0.00752805979244941</v>
      </c>
      <c r="EH59" s="224"/>
      <c r="EJ59" s="9" t="str">
        <f t="shared" si="75"/>
        <v>2026//4/3</v>
      </c>
      <c r="EK59" s="261">
        <v>1532522.96</v>
      </c>
      <c r="EL59" s="13">
        <f t="shared" si="76"/>
        <v>1541722.96</v>
      </c>
      <c r="EM59" s="13">
        <f t="shared" si="77"/>
        <v>-9200</v>
      </c>
      <c r="EN59" s="226">
        <f t="shared" si="78"/>
        <v>-0.00596734967221348</v>
      </c>
      <c r="EO59" s="224">
        <f>(EK59-EK64)/EK64</f>
        <v>-0.0107157407311296</v>
      </c>
      <c r="EP59" s="224"/>
      <c r="ER59" s="9" t="str">
        <f t="shared" si="79"/>
        <v>2026//4/3</v>
      </c>
      <c r="ES59" s="264">
        <v>535247.02</v>
      </c>
      <c r="ET59" s="13">
        <f t="shared" si="80"/>
        <v>535847.02</v>
      </c>
      <c r="EU59" s="13">
        <f t="shared" si="81"/>
        <v>-600</v>
      </c>
      <c r="EV59" s="226">
        <f t="shared" si="82"/>
        <v>-0.00111972256559344</v>
      </c>
      <c r="EW59" s="224">
        <f>(ES59-ES64)/ES64</f>
        <v>-0.00223694037856711</v>
      </c>
      <c r="EX59" s="224"/>
      <c r="EZ59" s="9" t="str">
        <f t="shared" si="83"/>
        <v>2026//4/3</v>
      </c>
      <c r="FA59" s="264">
        <v>738008</v>
      </c>
      <c r="FB59" s="13">
        <f t="shared" si="84"/>
        <v>722608</v>
      </c>
      <c r="FC59" s="13">
        <f t="shared" si="85"/>
        <v>15400</v>
      </c>
      <c r="FD59" s="226">
        <f t="shared" si="86"/>
        <v>0.021311693200186</v>
      </c>
      <c r="FE59" s="224">
        <f>(FA59-FA64)/FA64</f>
        <v>-0.0123125020074732</v>
      </c>
      <c r="FF59" s="224"/>
      <c r="FG59" s="224"/>
      <c r="FH59" s="9" t="str">
        <f t="shared" si="87"/>
        <v>2026//4/3</v>
      </c>
      <c r="FI59" s="261">
        <v>1091695.33</v>
      </c>
      <c r="FJ59" s="13">
        <f t="shared" si="88"/>
        <v>1095195.33</v>
      </c>
      <c r="FK59" s="13">
        <f t="shared" si="89"/>
        <v>-3500</v>
      </c>
      <c r="FL59" s="226">
        <f t="shared" si="90"/>
        <v>-0.0031957769578875</v>
      </c>
      <c r="FM59" s="228">
        <f>(FI59-FI64)/FI64</f>
        <v>0.000916846320411035</v>
      </c>
      <c r="FN59" s="228"/>
      <c r="FP59" s="9" t="str">
        <f t="shared" si="91"/>
        <v>2026//4/3</v>
      </c>
      <c r="FQ59" s="264">
        <v>2270218.73</v>
      </c>
      <c r="FR59" s="13">
        <f t="shared" si="92"/>
        <v>2267668.73</v>
      </c>
      <c r="FS59" s="13">
        <f t="shared" si="93"/>
        <v>2550</v>
      </c>
      <c r="FT59" s="226">
        <f t="shared" si="94"/>
        <v>0.00112450287216334</v>
      </c>
      <c r="FU59" s="224">
        <f>(FQ59-FQ64)/FQ64</f>
        <v>-0.0106551327781418</v>
      </c>
      <c r="FV59" s="224"/>
      <c r="FX59" s="9" t="str">
        <f t="shared" si="95"/>
        <v>2026//4/3</v>
      </c>
      <c r="FY59" s="264">
        <v>8361682.05</v>
      </c>
      <c r="FZ59" s="13">
        <f t="shared" si="96"/>
        <v>8344982.05</v>
      </c>
      <c r="GA59" s="13">
        <f t="shared" si="97"/>
        <v>16700</v>
      </c>
      <c r="GB59" s="226">
        <f t="shared" si="98"/>
        <v>0.00200120262691278</v>
      </c>
      <c r="GC59" s="224">
        <f>(FY59-FY64)/FY64</f>
        <v>-0.0210043644294461</v>
      </c>
      <c r="GD59" s="224"/>
      <c r="GF59" s="9" t="str">
        <f t="shared" si="99"/>
        <v>2026//4/3</v>
      </c>
      <c r="GG59" s="264">
        <v>4628069.49</v>
      </c>
      <c r="GH59" s="13">
        <f t="shared" si="100"/>
        <v>4628169.49</v>
      </c>
      <c r="GI59" s="13">
        <f t="shared" si="101"/>
        <v>-100</v>
      </c>
      <c r="GJ59" s="226">
        <f t="shared" si="102"/>
        <v>-2.16068145767064e-5</v>
      </c>
      <c r="GK59" s="224">
        <f>(GG59-GG64)/GG64</f>
        <v>-0.0273628890237572</v>
      </c>
      <c r="GL59" s="224"/>
      <c r="GN59" s="9" t="str">
        <f t="shared" si="103"/>
        <v>2026//4/3</v>
      </c>
      <c r="GO59" s="261">
        <v>1762678.12</v>
      </c>
      <c r="GP59" s="13">
        <f t="shared" si="104"/>
        <v>1761058.12</v>
      </c>
      <c r="GQ59" s="13">
        <f t="shared" si="105"/>
        <v>1620</v>
      </c>
      <c r="GR59" s="226">
        <f t="shared" si="106"/>
        <v>0.000919901496493483</v>
      </c>
      <c r="GS59" s="224">
        <f>(GO59-GO64)/GO64</f>
        <v>-0.0418759804355245</v>
      </c>
      <c r="GT59" s="224"/>
      <c r="GV59" s="9" t="str">
        <f t="shared" si="107"/>
        <v>2026//4/3</v>
      </c>
      <c r="GW59" s="264">
        <v>1000149.4</v>
      </c>
      <c r="GX59" s="13">
        <f t="shared" si="108"/>
        <v>1018549.4</v>
      </c>
      <c r="GY59" s="13">
        <f t="shared" si="109"/>
        <v>-18400</v>
      </c>
      <c r="GZ59" s="226">
        <f t="shared" si="110"/>
        <v>-0.0180649068174798</v>
      </c>
      <c r="HA59" s="224">
        <f>(GW59-GW64)/GW64</f>
        <v>-0.0508659838857321</v>
      </c>
      <c r="HB59" s="224"/>
      <c r="HD59" s="9" t="str">
        <f t="shared" si="111"/>
        <v>2026//4/3</v>
      </c>
      <c r="HE59" s="261">
        <v>1105764.67</v>
      </c>
      <c r="HF59" s="13">
        <f t="shared" si="112"/>
        <v>1106664.67</v>
      </c>
      <c r="HG59" s="13">
        <f t="shared" si="113"/>
        <v>-900</v>
      </c>
      <c r="HH59" s="226">
        <f t="shared" si="114"/>
        <v>-0.000813254479335642</v>
      </c>
      <c r="HI59" s="228">
        <f>(HE59-HE64)/HE64</f>
        <v>0.0375317376583707</v>
      </c>
      <c r="HJ59" s="224"/>
      <c r="HL59" s="9" t="str">
        <f t="shared" si="115"/>
        <v>2026//4/3</v>
      </c>
      <c r="HM59" s="264">
        <v>152204.25</v>
      </c>
      <c r="HN59" s="13">
        <f t="shared" si="116"/>
        <v>152954.25</v>
      </c>
      <c r="HO59" s="13">
        <f t="shared" si="117"/>
        <v>-750</v>
      </c>
      <c r="HP59" s="226">
        <f t="shared" si="118"/>
        <v>-0.00490342700513389</v>
      </c>
      <c r="HQ59" s="224">
        <f>(HM59-HM64)/HM64</f>
        <v>-0.0430670667398073</v>
      </c>
      <c r="HR59" s="224"/>
      <c r="HT59" s="9" t="str">
        <f t="shared" si="119"/>
        <v>2026//4/3</v>
      </c>
      <c r="HU59" s="261">
        <v>260668.82</v>
      </c>
      <c r="HV59" s="13">
        <f t="shared" si="120"/>
        <v>261568.82</v>
      </c>
      <c r="HW59" s="13">
        <f t="shared" si="121"/>
        <v>-900</v>
      </c>
      <c r="HX59" s="226">
        <f t="shared" si="122"/>
        <v>-0.00344077707732902</v>
      </c>
      <c r="HY59" s="224">
        <f>(HU59-HU64)/HU64</f>
        <v>0.0958511502264147</v>
      </c>
      <c r="HZ59" s="224"/>
      <c r="IB59" s="9" t="str">
        <f t="shared" si="123"/>
        <v>2026//4/3</v>
      </c>
      <c r="IC59" s="264">
        <v>399934.79</v>
      </c>
      <c r="ID59" s="13">
        <f t="shared" si="124"/>
        <v>400234.79</v>
      </c>
      <c r="IE59" s="13">
        <f t="shared" si="125"/>
        <v>-300</v>
      </c>
      <c r="IF59" s="226">
        <f t="shared" si="126"/>
        <v>-0.00074956002700315</v>
      </c>
      <c r="IG59" s="228">
        <f>(IC59-IC64)/IC64</f>
        <v>-0.125222888539227</v>
      </c>
      <c r="IH59" s="224"/>
      <c r="IJ59" s="9" t="str">
        <f t="shared" si="127"/>
        <v>2026//4/3</v>
      </c>
      <c r="IK59" s="261">
        <v>569596.29</v>
      </c>
      <c r="IL59" s="13">
        <f t="shared" si="128"/>
        <v>582396.29</v>
      </c>
      <c r="IM59" s="13">
        <f t="shared" si="129"/>
        <v>-12800</v>
      </c>
      <c r="IN59" s="226">
        <f t="shared" si="130"/>
        <v>-0.0219781619831404</v>
      </c>
      <c r="IO59" s="224">
        <f>(IK59-IK64)/IK64</f>
        <v>-0.0762848388310068</v>
      </c>
      <c r="IP59" s="224"/>
      <c r="IR59" s="9" t="str">
        <f t="shared" si="131"/>
        <v>2026//4/3</v>
      </c>
      <c r="IS59" s="264">
        <v>142089</v>
      </c>
      <c r="IT59" s="13">
        <f t="shared" si="132"/>
        <v>141989</v>
      </c>
      <c r="IU59" s="13">
        <f t="shared" si="133"/>
        <v>100</v>
      </c>
      <c r="IV59" s="226">
        <f t="shared" si="134"/>
        <v>0.000704279909007036</v>
      </c>
      <c r="IW59" s="224">
        <f>(IS59-IS64)/IS64</f>
        <v>-0.00490233841542416</v>
      </c>
      <c r="IX59" s="224"/>
      <c r="IZ59" s="9" t="str">
        <f t="shared" si="135"/>
        <v>2026//4/3</v>
      </c>
      <c r="JA59" s="264">
        <v>5028829.15</v>
      </c>
      <c r="JB59" s="13">
        <f t="shared" si="136"/>
        <v>5026729.15</v>
      </c>
      <c r="JC59" s="13">
        <f t="shared" si="137"/>
        <v>2100</v>
      </c>
      <c r="JD59" s="226">
        <f t="shared" si="138"/>
        <v>0.000417766690294025</v>
      </c>
      <c r="JE59" s="224">
        <f>(JA59-JA64)/JA64</f>
        <v>-0.00253886186769608</v>
      </c>
      <c r="JF59" s="224"/>
      <c r="JH59" s="9" t="str">
        <f t="shared" si="139"/>
        <v>2026//4/3</v>
      </c>
      <c r="JI59" s="264">
        <v>1503207.99</v>
      </c>
      <c r="JJ59" s="13">
        <f t="shared" si="140"/>
        <v>1493067.99</v>
      </c>
      <c r="JK59" s="13">
        <f t="shared" si="141"/>
        <v>10140</v>
      </c>
      <c r="JL59" s="226">
        <f t="shared" si="142"/>
        <v>0.00679138530054482</v>
      </c>
      <c r="JM59" s="224">
        <f>(JI59-JI64)/JI64</f>
        <v>-0.0189525456646218</v>
      </c>
      <c r="JN59" s="224"/>
      <c r="JO59" s="224"/>
      <c r="JP59" s="9" t="str">
        <f t="shared" si="143"/>
        <v>2026//4/3</v>
      </c>
      <c r="JQ59" s="261">
        <v>1045890.41</v>
      </c>
      <c r="JR59" s="13">
        <f t="shared" si="144"/>
        <v>1045890.41</v>
      </c>
      <c r="JS59" s="13">
        <f t="shared" si="145"/>
        <v>0</v>
      </c>
      <c r="JT59" s="226">
        <f t="shared" si="146"/>
        <v>0</v>
      </c>
      <c r="JU59" s="224">
        <f>(JQ59-JQ64)/JQ64</f>
        <v>-0.00815559811492253</v>
      </c>
      <c r="JV59" s="224"/>
      <c r="JW59" s="228"/>
      <c r="JX59" s="9" t="str">
        <f t="shared" si="147"/>
        <v>2026//4/3</v>
      </c>
      <c r="JY59" s="264">
        <v>1244648.8</v>
      </c>
      <c r="JZ59" s="13">
        <f t="shared" si="148"/>
        <v>1244648.8</v>
      </c>
      <c r="KA59" s="13">
        <f t="shared" si="149"/>
        <v>0</v>
      </c>
      <c r="KB59" s="226">
        <f t="shared" si="150"/>
        <v>0</v>
      </c>
      <c r="KC59" s="224">
        <f>(JY59-JY64)/JY64</f>
        <v>-0.0176401114192058</v>
      </c>
      <c r="KD59" s="224"/>
      <c r="KE59" s="228"/>
      <c r="KF59" s="9" t="str">
        <f t="shared" si="151"/>
        <v>2026//4/3</v>
      </c>
      <c r="KG59" s="261">
        <v>732555.92</v>
      </c>
      <c r="KH59" s="13">
        <f t="shared" si="152"/>
        <v>732555.92</v>
      </c>
      <c r="KI59" s="13">
        <f t="shared" si="153"/>
        <v>0</v>
      </c>
      <c r="KJ59" s="226">
        <f t="shared" si="154"/>
        <v>0</v>
      </c>
      <c r="KK59" s="228">
        <f>(KG59-KG64)/KG64</f>
        <v>0</v>
      </c>
      <c r="KL59" s="228"/>
      <c r="KN59" s="9" t="str">
        <f t="shared" si="155"/>
        <v>2026//4/3</v>
      </c>
      <c r="KO59" s="264">
        <v>8320675.95</v>
      </c>
      <c r="KP59" s="13">
        <f t="shared" si="156"/>
        <v>8320675.95</v>
      </c>
      <c r="KQ59" s="13">
        <f t="shared" si="157"/>
        <v>0</v>
      </c>
      <c r="KR59" s="226">
        <f t="shared" si="158"/>
        <v>0</v>
      </c>
      <c r="KS59" s="224">
        <f>(KO59-KO64)/KO64</f>
        <v>0.0166039975718578</v>
      </c>
      <c r="KT59" s="224"/>
      <c r="KV59" s="9" t="str">
        <f t="shared" si="159"/>
        <v>2026//4/3</v>
      </c>
      <c r="KW59" s="261">
        <v>969572.97</v>
      </c>
      <c r="KX59" s="13">
        <f t="shared" si="160"/>
        <v>969572.97</v>
      </c>
      <c r="KY59" s="13">
        <f t="shared" si="161"/>
        <v>0</v>
      </c>
      <c r="KZ59" s="226">
        <f t="shared" si="162"/>
        <v>0</v>
      </c>
      <c r="LA59" s="228">
        <f>(KW59-KW64)/KW64</f>
        <v>-0.0437881495006716</v>
      </c>
      <c r="LB59" s="224"/>
      <c r="LD59" s="9" t="str">
        <f t="shared" si="163"/>
        <v>2026//4/3</v>
      </c>
      <c r="LE59" s="264">
        <v>445607.7</v>
      </c>
      <c r="LF59" s="13">
        <f t="shared" si="164"/>
        <v>443607.7</v>
      </c>
      <c r="LG59" s="13">
        <f t="shared" si="165"/>
        <v>2000</v>
      </c>
      <c r="LH59" s="226">
        <f t="shared" si="166"/>
        <v>0.00450848801767868</v>
      </c>
      <c r="LI59" s="224">
        <f>(LE59-LE64)/LE64</f>
        <v>-0.0087864138463205</v>
      </c>
      <c r="LJ59" s="224"/>
      <c r="LL59" s="9" t="str">
        <f t="shared" si="167"/>
        <v>2026//4/3</v>
      </c>
      <c r="LM59" s="264">
        <v>3524875.02</v>
      </c>
      <c r="LN59" s="13">
        <f t="shared" si="168"/>
        <v>3529375.02</v>
      </c>
      <c r="LO59" s="13">
        <f t="shared" si="169"/>
        <v>-4500</v>
      </c>
      <c r="LP59" s="226">
        <f t="shared" si="170"/>
        <v>-0.0012750132741632</v>
      </c>
      <c r="LQ59" s="224">
        <f>(LM59-LM64)/LM64</f>
        <v>-0.0196248853358501</v>
      </c>
      <c r="LR59" s="224"/>
      <c r="LT59" s="9" t="str">
        <f t="shared" si="171"/>
        <v>2026//4/3</v>
      </c>
      <c r="LU59" s="261">
        <v>2673862.9</v>
      </c>
      <c r="LV59" s="13">
        <f t="shared" si="172"/>
        <v>2676262.9</v>
      </c>
      <c r="LW59" s="13">
        <f t="shared" si="173"/>
        <v>-2400</v>
      </c>
      <c r="LX59" s="226">
        <f t="shared" si="174"/>
        <v>-0.00089677288430819</v>
      </c>
      <c r="LY59" s="224">
        <f>(LU59-LU64)/LU64</f>
        <v>-0.0145212614671435</v>
      </c>
      <c r="LZ59" s="224"/>
      <c r="MB59" s="9" t="str">
        <f t="shared" si="175"/>
        <v>2026//4/3</v>
      </c>
      <c r="MC59" s="264">
        <v>783317.69</v>
      </c>
      <c r="MD59" s="13">
        <f t="shared" si="176"/>
        <v>792467.69</v>
      </c>
      <c r="ME59" s="13">
        <f t="shared" si="177"/>
        <v>-9150</v>
      </c>
      <c r="MF59" s="226">
        <f t="shared" si="178"/>
        <v>-0.0115462120607087</v>
      </c>
      <c r="MG59" s="224">
        <f>(MC59-MC64)/MC64</f>
        <v>-0.0855690944229742</v>
      </c>
      <c r="MH59" s="224"/>
      <c r="MI59" s="9"/>
      <c r="MJ59" s="9"/>
      <c r="MK59" s="9" t="str">
        <f t="shared" si="179"/>
        <v>2026//4/3</v>
      </c>
      <c r="ML59" s="261">
        <v>220665.53</v>
      </c>
      <c r="MM59" s="13">
        <f t="shared" si="180"/>
        <v>221025.53</v>
      </c>
      <c r="MN59" s="13">
        <f t="shared" si="181"/>
        <v>-360</v>
      </c>
      <c r="MO59" s="226">
        <f t="shared" si="182"/>
        <v>-0.00162877111978874</v>
      </c>
      <c r="MP59" s="224">
        <f>(ML59-ML64)/ML64</f>
        <v>-0.00648340453297133</v>
      </c>
      <c r="MQ59" s="228"/>
      <c r="MR59" s="228"/>
      <c r="MT59" s="9" t="str">
        <f t="shared" si="183"/>
        <v>2026//4/3</v>
      </c>
      <c r="MU59" s="264">
        <v>283414.8</v>
      </c>
      <c r="MV59" s="231">
        <f t="shared" si="184"/>
        <v>284014.8</v>
      </c>
      <c r="MW59" s="9">
        <f t="shared" si="185"/>
        <v>-600</v>
      </c>
      <c r="MX59" s="224">
        <f t="shared" si="186"/>
        <v>-0.00211256596487225</v>
      </c>
      <c r="MY59" s="224">
        <f>(MU59-MU64)/MU64</f>
        <v>-0.0774702260437974</v>
      </c>
      <c r="MZ59" s="224"/>
      <c r="NA59" s="224"/>
      <c r="NC59" s="9" t="str">
        <f t="shared" si="187"/>
        <v>2026//4/3</v>
      </c>
      <c r="ND59" s="264">
        <v>44491.48</v>
      </c>
      <c r="NE59" s="231">
        <f t="shared" si="188"/>
        <v>44491.48</v>
      </c>
      <c r="NF59" s="9">
        <f t="shared" si="189"/>
        <v>0</v>
      </c>
      <c r="NG59" s="224">
        <f t="shared" si="190"/>
        <v>0</v>
      </c>
      <c r="NH59" s="224">
        <f>(ND59-ND64)/ND64</f>
        <v>0.00907204747946769</v>
      </c>
      <c r="NI59" s="224"/>
      <c r="NJ59" s="224"/>
      <c r="NK59" s="224"/>
      <c r="NM59" s="9" t="str">
        <f t="shared" si="191"/>
        <v>2026//4/3</v>
      </c>
      <c r="NN59" s="264">
        <v>2642711.08</v>
      </c>
      <c r="NO59" s="9">
        <f t="shared" si="192"/>
        <v>2624211.08</v>
      </c>
      <c r="NP59" s="9">
        <f t="shared" si="193"/>
        <v>18500</v>
      </c>
      <c r="NQ59" s="224">
        <f t="shared" si="194"/>
        <v>0.00704973778252624</v>
      </c>
      <c r="NR59" s="224">
        <f>(NN59-NN64)/NN64</f>
        <v>0.0112114011546932</v>
      </c>
      <c r="NU59" s="9" t="str">
        <f t="shared" si="195"/>
        <v>2026//4/3</v>
      </c>
      <c r="NV59" s="264">
        <v>251676.5</v>
      </c>
      <c r="NW59" s="232">
        <f t="shared" si="196"/>
        <v>252826.5</v>
      </c>
      <c r="NX59" s="9">
        <f t="shared" si="197"/>
        <v>-1150</v>
      </c>
      <c r="NY59" s="224">
        <f t="shared" si="198"/>
        <v>-0.00454857382434199</v>
      </c>
      <c r="NZ59" s="228">
        <f>(NV59-NV64)/NV64</f>
        <v>0.0134903040956161</v>
      </c>
      <c r="OA59" s="227"/>
      <c r="OC59" s="9" t="str">
        <f t="shared" si="199"/>
        <v>2026//4/3</v>
      </c>
      <c r="OD59" s="264">
        <v>11945.97</v>
      </c>
      <c r="OE59" s="13">
        <f t="shared" si="200"/>
        <v>11750.97</v>
      </c>
      <c r="OF59" s="13">
        <f t="shared" si="201"/>
        <v>195</v>
      </c>
      <c r="OG59" s="226">
        <f t="shared" si="202"/>
        <v>0.0165943747622537</v>
      </c>
      <c r="OH59" s="224">
        <f>(OD59-OD64)/OD64</f>
        <v>0.0576362752623513</v>
      </c>
      <c r="OI59" s="224"/>
      <c r="OK59" s="9" t="str">
        <f t="shared" si="203"/>
        <v>2026//4/3</v>
      </c>
      <c r="OL59" s="264">
        <v>11344.65</v>
      </c>
      <c r="OM59" s="13">
        <f t="shared" si="204"/>
        <v>11053.65</v>
      </c>
      <c r="ON59" s="13">
        <f t="shared" si="205"/>
        <v>291</v>
      </c>
      <c r="OO59" s="226">
        <f t="shared" si="206"/>
        <v>0.0263261456622925</v>
      </c>
      <c r="OP59" s="224">
        <f>(OL59-OL64)/OL64</f>
        <v>0.028279697080937</v>
      </c>
      <c r="OQ59" s="224"/>
      <c r="OT59" s="234" t="str">
        <f t="shared" si="207"/>
        <v>2026//4/3</v>
      </c>
      <c r="OU59" s="206">
        <v>144072.4066</v>
      </c>
      <c r="OV59" s="8">
        <f t="shared" si="208"/>
        <v>143952.4066</v>
      </c>
      <c r="OW59" s="191">
        <f t="shared" si="209"/>
        <v>120</v>
      </c>
      <c r="OX59" s="192">
        <f t="shared" si="210"/>
        <v>0.000833608849162512</v>
      </c>
    </row>
    <row r="60" s="8" customFormat="1" ht="17" customHeight="1" spans="1:414">
      <c r="A60" s="15"/>
      <c r="B60" s="15"/>
      <c r="C60" s="15" t="s">
        <v>488</v>
      </c>
      <c r="D60" s="262">
        <v>4471878.77</v>
      </c>
      <c r="E60" s="19">
        <f t="shared" si="8"/>
        <v>4481238.77</v>
      </c>
      <c r="F60" s="19">
        <f t="shared" si="9"/>
        <v>-9360</v>
      </c>
      <c r="G60" s="172">
        <f t="shared" si="10"/>
        <v>-0.00208870816316712</v>
      </c>
      <c r="H60" s="18"/>
      <c r="I60" s="172"/>
      <c r="J60" s="172"/>
      <c r="K60" s="8" t="str">
        <f t="shared" si="11"/>
        <v>2026//4/2</v>
      </c>
      <c r="L60" s="262">
        <v>3163384.4</v>
      </c>
      <c r="M60" s="19">
        <f t="shared" si="12"/>
        <v>3167344.4</v>
      </c>
      <c r="N60" s="19">
        <f t="shared" si="13"/>
        <v>-3960</v>
      </c>
      <c r="O60" s="172">
        <f t="shared" si="14"/>
        <v>-0.00125025873409914</v>
      </c>
      <c r="P60" s="18"/>
      <c r="Q60" s="172"/>
      <c r="R60" s="19"/>
      <c r="S60" s="8" t="str">
        <f t="shared" si="15"/>
        <v>2026//4/2</v>
      </c>
      <c r="T60" s="262">
        <v>2286246.68</v>
      </c>
      <c r="U60" s="19">
        <f t="shared" si="16"/>
        <v>2301006.68</v>
      </c>
      <c r="V60" s="19">
        <f t="shared" si="17"/>
        <v>-14760</v>
      </c>
      <c r="W60" s="172">
        <f t="shared" si="18"/>
        <v>-0.00641458372472</v>
      </c>
      <c r="X60" s="18"/>
      <c r="Y60" s="172"/>
      <c r="Z60" s="19"/>
      <c r="AA60" s="8" t="str">
        <f t="shared" si="19"/>
        <v>2026//4/2</v>
      </c>
      <c r="AB60" s="262">
        <v>931536.86</v>
      </c>
      <c r="AC60" s="19">
        <f t="shared" si="20"/>
        <v>960696.86</v>
      </c>
      <c r="AD60" s="19">
        <f t="shared" si="21"/>
        <v>-29160</v>
      </c>
      <c r="AE60" s="172">
        <f t="shared" si="22"/>
        <v>-0.0303529669077923</v>
      </c>
      <c r="AF60" s="18"/>
      <c r="AG60" s="172"/>
      <c r="AH60" s="19"/>
      <c r="AI60" s="8" t="str">
        <f t="shared" si="23"/>
        <v>2026//4/2</v>
      </c>
      <c r="AJ60" s="262">
        <v>741921.76</v>
      </c>
      <c r="AK60" s="19">
        <f t="shared" si="24"/>
        <v>765121.76</v>
      </c>
      <c r="AL60" s="19">
        <f t="shared" si="25"/>
        <v>-23200</v>
      </c>
      <c r="AM60" s="172">
        <f t="shared" si="26"/>
        <v>-0.0303219712376237</v>
      </c>
      <c r="AN60" s="18"/>
      <c r="AO60" s="18"/>
      <c r="AP60" s="19"/>
      <c r="AQ60" s="8" t="str">
        <f t="shared" si="27"/>
        <v>2026//4/2</v>
      </c>
      <c r="AR60" s="263">
        <v>1591745.49</v>
      </c>
      <c r="AS60" s="19">
        <f t="shared" si="28"/>
        <v>1577745.49</v>
      </c>
      <c r="AT60" s="19">
        <f t="shared" si="29"/>
        <v>14000</v>
      </c>
      <c r="AU60" s="172">
        <f t="shared" si="30"/>
        <v>0.0088734210230574</v>
      </c>
      <c r="AV60" s="18"/>
      <c r="AW60" s="18"/>
      <c r="AX60" s="17"/>
      <c r="AY60" s="17"/>
      <c r="AZ60" s="8" t="str">
        <f t="shared" si="31"/>
        <v>2026//4/2</v>
      </c>
      <c r="BA60" s="263">
        <v>1983981.66</v>
      </c>
      <c r="BB60" s="129">
        <f t="shared" si="32"/>
        <v>1994331.66</v>
      </c>
      <c r="BC60" s="17">
        <f t="shared" si="33"/>
        <v>-10350</v>
      </c>
      <c r="BD60" s="18">
        <f t="shared" si="34"/>
        <v>-0.00518970851618532</v>
      </c>
      <c r="BE60" s="18"/>
      <c r="BF60" s="18"/>
      <c r="BG60" s="74"/>
      <c r="BH60" s="8" t="str">
        <f t="shared" si="35"/>
        <v>2026//4/2</v>
      </c>
      <c r="BI60" s="263">
        <v>1620226.55</v>
      </c>
      <c r="BJ60" s="195">
        <f t="shared" si="36"/>
        <v>1629126.55</v>
      </c>
      <c r="BK60" s="195">
        <f t="shared" si="37"/>
        <v>-8900</v>
      </c>
      <c r="BL60" s="196">
        <f t="shared" si="38"/>
        <v>-0.00546305012339281</v>
      </c>
      <c r="BM60" s="197"/>
      <c r="BN60" s="192"/>
      <c r="BP60" s="8" t="str">
        <f t="shared" si="39"/>
        <v>2026//4/2</v>
      </c>
      <c r="BQ60" s="263">
        <v>1133162.39</v>
      </c>
      <c r="BR60" s="12">
        <f t="shared" si="40"/>
        <v>1148862.39</v>
      </c>
      <c r="BS60" s="12">
        <f t="shared" si="41"/>
        <v>-15700</v>
      </c>
      <c r="BT60" s="199">
        <f t="shared" si="42"/>
        <v>-0.0136656923724346</v>
      </c>
      <c r="BU60" s="192"/>
      <c r="BV60" s="192"/>
      <c r="BX60" s="8" t="str">
        <f t="shared" si="43"/>
        <v>2026//4/2</v>
      </c>
      <c r="BY60" s="263">
        <v>3135010.7</v>
      </c>
      <c r="BZ60" s="12">
        <f t="shared" si="44"/>
        <v>3153460.7</v>
      </c>
      <c r="CA60" s="12">
        <f t="shared" si="45"/>
        <v>-18450</v>
      </c>
      <c r="CB60" s="199">
        <f t="shared" si="46"/>
        <v>-0.00585071505727025</v>
      </c>
      <c r="CC60" s="192"/>
      <c r="CD60" s="201"/>
      <c r="CF60" s="8" t="str">
        <f t="shared" si="47"/>
        <v>2026//4/2</v>
      </c>
      <c r="CG60" s="262">
        <v>1402903.9</v>
      </c>
      <c r="CH60" s="12">
        <f t="shared" si="48"/>
        <v>1402653.9</v>
      </c>
      <c r="CI60" s="12">
        <f t="shared" si="49"/>
        <v>250</v>
      </c>
      <c r="CJ60" s="199">
        <f t="shared" si="50"/>
        <v>0.000178233561393869</v>
      </c>
      <c r="CK60" s="192"/>
      <c r="CL60" s="201"/>
      <c r="CN60" s="8" t="str">
        <f t="shared" si="51"/>
        <v>2026//4/2</v>
      </c>
      <c r="CO60" s="262">
        <v>675046.48</v>
      </c>
      <c r="CP60" s="12">
        <f t="shared" si="52"/>
        <v>672346.48</v>
      </c>
      <c r="CQ60" s="12">
        <f t="shared" si="53"/>
        <v>2700</v>
      </c>
      <c r="CR60" s="199">
        <f t="shared" si="54"/>
        <v>0.00401578662239743</v>
      </c>
      <c r="CS60" s="201"/>
      <c r="CT60" s="201"/>
      <c r="CV60" s="8" t="str">
        <f t="shared" si="55"/>
        <v>2026//4/2</v>
      </c>
      <c r="CW60" s="262">
        <v>585590.4</v>
      </c>
      <c r="CX60" s="12">
        <f t="shared" si="56"/>
        <v>565690.4</v>
      </c>
      <c r="CY60" s="12">
        <f t="shared" si="57"/>
        <v>19900</v>
      </c>
      <c r="CZ60" s="199">
        <f t="shared" si="58"/>
        <v>0.0351782529807824</v>
      </c>
      <c r="DA60" s="192"/>
      <c r="DB60" s="192"/>
      <c r="DC60" s="277"/>
      <c r="DD60" s="8" t="str">
        <f t="shared" si="59"/>
        <v>2026//4/2</v>
      </c>
      <c r="DE60" s="263">
        <v>2394717.99</v>
      </c>
      <c r="DF60" s="12">
        <f t="shared" si="60"/>
        <v>2349917.99</v>
      </c>
      <c r="DG60" s="12">
        <f t="shared" si="61"/>
        <v>44800</v>
      </c>
      <c r="DH60" s="199">
        <f t="shared" si="62"/>
        <v>0.0190644950975502</v>
      </c>
      <c r="DI60" s="192"/>
      <c r="DJ60" s="192"/>
      <c r="DL60" s="8" t="str">
        <f t="shared" si="63"/>
        <v>2026//4/2</v>
      </c>
      <c r="DM60" s="262">
        <v>1394700.36</v>
      </c>
      <c r="DN60" s="12">
        <f t="shared" si="64"/>
        <v>1367700.36</v>
      </c>
      <c r="DO60" s="12">
        <f t="shared" si="65"/>
        <v>27000</v>
      </c>
      <c r="DP60" s="199">
        <f t="shared" si="66"/>
        <v>0.0197411661133145</v>
      </c>
      <c r="DQ60" s="192"/>
      <c r="DR60" s="192"/>
      <c r="DT60" s="8" t="str">
        <f t="shared" si="67"/>
        <v>2026//4/2</v>
      </c>
      <c r="DU60" s="262">
        <v>1664789.48</v>
      </c>
      <c r="DV60" s="12">
        <f t="shared" si="68"/>
        <v>1651289.48</v>
      </c>
      <c r="DW60" s="12">
        <f t="shared" si="69"/>
        <v>13500</v>
      </c>
      <c r="DX60" s="199">
        <f t="shared" si="70"/>
        <v>0.00817542905923436</v>
      </c>
      <c r="DY60" s="192"/>
      <c r="DZ60" s="192"/>
      <c r="EB60" s="8" t="str">
        <f t="shared" si="71"/>
        <v>2026//4/2</v>
      </c>
      <c r="EC60" s="262">
        <v>5156666.82</v>
      </c>
      <c r="ED60" s="12">
        <f t="shared" si="72"/>
        <v>5059466.82</v>
      </c>
      <c r="EE60" s="12">
        <f t="shared" si="73"/>
        <v>97200</v>
      </c>
      <c r="EF60" s="199">
        <f t="shared" si="74"/>
        <v>0.0192115105124852</v>
      </c>
      <c r="EG60" s="192"/>
      <c r="EH60" s="192"/>
      <c r="EJ60" s="8" t="str">
        <f t="shared" si="75"/>
        <v>2026//4/2</v>
      </c>
      <c r="EK60" s="263">
        <v>1541722.96</v>
      </c>
      <c r="EL60" s="12">
        <f t="shared" si="76"/>
        <v>1532322.96</v>
      </c>
      <c r="EM60" s="12">
        <f t="shared" si="77"/>
        <v>9400</v>
      </c>
      <c r="EN60" s="199">
        <f t="shared" si="78"/>
        <v>0.00613447702956823</v>
      </c>
      <c r="EO60" s="192"/>
      <c r="EP60" s="192"/>
      <c r="ER60" s="8" t="str">
        <f t="shared" si="79"/>
        <v>2026//4/2</v>
      </c>
      <c r="ES60" s="262">
        <v>535847.02</v>
      </c>
      <c r="ET60" s="12">
        <f t="shared" si="80"/>
        <v>533297.02</v>
      </c>
      <c r="EU60" s="12">
        <f t="shared" si="81"/>
        <v>2550</v>
      </c>
      <c r="EV60" s="199">
        <f t="shared" si="82"/>
        <v>0.00478157556552632</v>
      </c>
      <c r="EW60" s="192"/>
      <c r="EX60" s="192"/>
      <c r="EZ60" s="8" t="str">
        <f t="shared" si="83"/>
        <v>2026//4/2</v>
      </c>
      <c r="FA60" s="262">
        <v>722608</v>
      </c>
      <c r="FB60" s="12">
        <f t="shared" si="84"/>
        <v>720608</v>
      </c>
      <c r="FC60" s="12">
        <f t="shared" si="85"/>
        <v>2000</v>
      </c>
      <c r="FD60" s="199">
        <f t="shared" si="86"/>
        <v>0.00277543407788978</v>
      </c>
      <c r="FE60" s="192"/>
      <c r="FF60" s="192"/>
      <c r="FG60" s="192"/>
      <c r="FH60" s="8" t="str">
        <f t="shared" si="87"/>
        <v>2026//4/2</v>
      </c>
      <c r="FI60" s="263">
        <v>1095195.33</v>
      </c>
      <c r="FJ60" s="12">
        <f t="shared" si="88"/>
        <v>1100195.33</v>
      </c>
      <c r="FK60" s="12">
        <f t="shared" si="89"/>
        <v>-5000</v>
      </c>
      <c r="FL60" s="199">
        <f t="shared" si="90"/>
        <v>-0.00454464753999637</v>
      </c>
      <c r="FM60" s="201"/>
      <c r="FN60" s="201"/>
      <c r="FP60" s="8" t="str">
        <f t="shared" si="91"/>
        <v>2026//4/2</v>
      </c>
      <c r="FQ60" s="262">
        <v>2267668.73</v>
      </c>
      <c r="FR60" s="12">
        <f t="shared" si="92"/>
        <v>2263168.73</v>
      </c>
      <c r="FS60" s="12">
        <f t="shared" si="93"/>
        <v>4500</v>
      </c>
      <c r="FT60" s="199">
        <f t="shared" si="94"/>
        <v>0.00198836257339063</v>
      </c>
      <c r="FU60" s="192"/>
      <c r="FV60" s="192"/>
      <c r="FX60" s="8" t="str">
        <f t="shared" si="95"/>
        <v>2026//4/2</v>
      </c>
      <c r="FY60" s="262">
        <v>8344982.05</v>
      </c>
      <c r="FZ60" s="12">
        <f t="shared" si="96"/>
        <v>8417082.05</v>
      </c>
      <c r="GA60" s="12">
        <f t="shared" si="97"/>
        <v>-72100.0000000009</v>
      </c>
      <c r="GB60" s="199">
        <f t="shared" si="98"/>
        <v>-0.00856591388461051</v>
      </c>
      <c r="GC60" s="192"/>
      <c r="GD60" s="192"/>
      <c r="GF60" s="8" t="str">
        <f t="shared" si="99"/>
        <v>2026//4/2</v>
      </c>
      <c r="GG60" s="262">
        <v>4628169.49</v>
      </c>
      <c r="GH60" s="12">
        <f t="shared" si="100"/>
        <v>4672269.49</v>
      </c>
      <c r="GI60" s="12">
        <f t="shared" si="101"/>
        <v>-44100</v>
      </c>
      <c r="GJ60" s="199">
        <f t="shared" si="102"/>
        <v>-0.00943866788814016</v>
      </c>
      <c r="GK60" s="192"/>
      <c r="GL60" s="192"/>
      <c r="GN60" s="8" t="str">
        <f t="shared" si="103"/>
        <v>2026//4/2</v>
      </c>
      <c r="GO60" s="263">
        <v>1761058.12</v>
      </c>
      <c r="GP60" s="12">
        <f t="shared" si="104"/>
        <v>1803598.12</v>
      </c>
      <c r="GQ60" s="12">
        <f t="shared" si="105"/>
        <v>-42540</v>
      </c>
      <c r="GR60" s="199">
        <f t="shared" si="106"/>
        <v>-0.0235861855966006</v>
      </c>
      <c r="GS60" s="192"/>
      <c r="GT60" s="192"/>
      <c r="GV60" s="8" t="str">
        <f t="shared" si="107"/>
        <v>2026//4/2</v>
      </c>
      <c r="GW60" s="262">
        <v>1018549.4</v>
      </c>
      <c r="GX60" s="12">
        <f t="shared" si="108"/>
        <v>1026349.4</v>
      </c>
      <c r="GY60" s="12">
        <f t="shared" si="109"/>
        <v>-7800</v>
      </c>
      <c r="GZ60" s="199">
        <f t="shared" si="110"/>
        <v>-0.00759975111789416</v>
      </c>
      <c r="HA60" s="192"/>
      <c r="HB60" s="192"/>
      <c r="HD60" s="8" t="str">
        <f t="shared" si="111"/>
        <v>2026//4/2</v>
      </c>
      <c r="HE60" s="263">
        <v>1106664.67</v>
      </c>
      <c r="HF60" s="12">
        <f t="shared" si="112"/>
        <v>1103264.67</v>
      </c>
      <c r="HG60" s="12">
        <f t="shared" si="113"/>
        <v>3400</v>
      </c>
      <c r="HH60" s="199">
        <f t="shared" si="114"/>
        <v>0.00308176278317695</v>
      </c>
      <c r="HI60" s="201"/>
      <c r="HJ60" s="192"/>
      <c r="HL60" s="8" t="str">
        <f t="shared" si="115"/>
        <v>2026//4/2</v>
      </c>
      <c r="HM60" s="262">
        <v>152954.25</v>
      </c>
      <c r="HN60" s="12">
        <f t="shared" si="116"/>
        <v>152754.25</v>
      </c>
      <c r="HO60" s="12">
        <f t="shared" si="117"/>
        <v>200</v>
      </c>
      <c r="HP60" s="199">
        <f t="shared" si="118"/>
        <v>0.00130929254014209</v>
      </c>
      <c r="HQ60" s="192"/>
      <c r="HR60" s="192"/>
      <c r="HT60" s="8" t="str">
        <f t="shared" si="119"/>
        <v>2026//4/2</v>
      </c>
      <c r="HU60" s="263">
        <v>261568.82</v>
      </c>
      <c r="HV60" s="12">
        <f t="shared" si="120"/>
        <v>256268.82</v>
      </c>
      <c r="HW60" s="12">
        <f t="shared" si="121"/>
        <v>5300</v>
      </c>
      <c r="HX60" s="199">
        <f t="shared" si="122"/>
        <v>0.0206814079059637</v>
      </c>
      <c r="HY60" s="192"/>
      <c r="HZ60" s="192"/>
      <c r="IB60" s="8" t="str">
        <f t="shared" si="123"/>
        <v>2026//4/2</v>
      </c>
      <c r="IC60" s="262">
        <v>400234.79</v>
      </c>
      <c r="ID60" s="12">
        <f t="shared" si="124"/>
        <v>435384.79</v>
      </c>
      <c r="IE60" s="12">
        <f t="shared" si="125"/>
        <v>-35150</v>
      </c>
      <c r="IF60" s="199">
        <f t="shared" si="126"/>
        <v>-0.080733183168847</v>
      </c>
      <c r="IG60" s="201"/>
      <c r="IH60" s="192"/>
      <c r="IJ60" s="8" t="str">
        <f t="shared" si="127"/>
        <v>2026//4/2</v>
      </c>
      <c r="IK60" s="263">
        <v>582396.29</v>
      </c>
      <c r="IL60" s="12">
        <f t="shared" si="128"/>
        <v>597836.29</v>
      </c>
      <c r="IM60" s="12">
        <f t="shared" si="129"/>
        <v>-15440</v>
      </c>
      <c r="IN60" s="199">
        <f t="shared" si="130"/>
        <v>-0.0258264683129223</v>
      </c>
      <c r="IO60" s="192"/>
      <c r="IP60" s="192"/>
      <c r="IR60" s="8" t="str">
        <f t="shared" si="131"/>
        <v>2026//4/2</v>
      </c>
      <c r="IS60" s="262">
        <v>141989</v>
      </c>
      <c r="IT60" s="12">
        <f t="shared" si="132"/>
        <v>141289</v>
      </c>
      <c r="IU60" s="12">
        <f t="shared" si="133"/>
        <v>700</v>
      </c>
      <c r="IV60" s="199">
        <f t="shared" si="134"/>
        <v>0.00495438427619985</v>
      </c>
      <c r="IW60" s="192"/>
      <c r="IX60" s="192"/>
      <c r="IZ60" s="8" t="str">
        <f t="shared" si="135"/>
        <v>2026//4/2</v>
      </c>
      <c r="JA60" s="262">
        <v>5026729.15</v>
      </c>
      <c r="JB60" s="12">
        <f t="shared" si="136"/>
        <v>5006429.15</v>
      </c>
      <c r="JC60" s="12">
        <f t="shared" si="137"/>
        <v>20300</v>
      </c>
      <c r="JD60" s="199">
        <f t="shared" si="138"/>
        <v>0.00405478623421646</v>
      </c>
      <c r="JE60" s="192"/>
      <c r="JF60" s="192"/>
      <c r="JH60" s="8" t="str">
        <f t="shared" si="139"/>
        <v>2026//4/2</v>
      </c>
      <c r="JI60" s="262">
        <v>1493067.99</v>
      </c>
      <c r="JJ60" s="12">
        <f t="shared" si="140"/>
        <v>1481427.99</v>
      </c>
      <c r="JK60" s="12">
        <f t="shared" si="141"/>
        <v>11640</v>
      </c>
      <c r="JL60" s="199">
        <f t="shared" si="142"/>
        <v>0.00785728370097827</v>
      </c>
      <c r="JM60" s="192"/>
      <c r="JN60" s="192"/>
      <c r="JO60" s="192"/>
      <c r="JP60" s="8" t="str">
        <f t="shared" si="143"/>
        <v>2026//4/2</v>
      </c>
      <c r="JQ60" s="263">
        <v>1045890.41</v>
      </c>
      <c r="JR60" s="12">
        <f t="shared" si="144"/>
        <v>1040190.41</v>
      </c>
      <c r="JS60" s="12">
        <f t="shared" si="145"/>
        <v>5700</v>
      </c>
      <c r="JT60" s="199">
        <f t="shared" si="146"/>
        <v>0.00547976595938815</v>
      </c>
      <c r="JU60" s="192"/>
      <c r="JV60" s="192"/>
      <c r="JW60" s="201"/>
      <c r="JX60" s="8" t="str">
        <f t="shared" si="147"/>
        <v>2026//4/2</v>
      </c>
      <c r="JY60" s="262">
        <v>1244648.8</v>
      </c>
      <c r="JZ60" s="12">
        <f t="shared" si="148"/>
        <v>1244848.8</v>
      </c>
      <c r="KA60" s="12">
        <f t="shared" si="149"/>
        <v>-200</v>
      </c>
      <c r="KB60" s="199">
        <f t="shared" si="150"/>
        <v>-0.000160662082013494</v>
      </c>
      <c r="KC60" s="192"/>
      <c r="KD60" s="192"/>
      <c r="KE60" s="201"/>
      <c r="KF60" s="8" t="str">
        <f t="shared" si="151"/>
        <v>2026//4/2</v>
      </c>
      <c r="KG60" s="263">
        <v>732555.92</v>
      </c>
      <c r="KH60" s="12">
        <f t="shared" si="152"/>
        <v>732555.92</v>
      </c>
      <c r="KI60" s="12">
        <f t="shared" si="153"/>
        <v>0</v>
      </c>
      <c r="KJ60" s="199">
        <f t="shared" si="154"/>
        <v>0</v>
      </c>
      <c r="KK60" s="201"/>
      <c r="KL60" s="201"/>
      <c r="KN60" s="8" t="str">
        <f t="shared" si="155"/>
        <v>2026//4/2</v>
      </c>
      <c r="KO60" s="262">
        <v>8320675.95</v>
      </c>
      <c r="KP60" s="12">
        <f t="shared" si="156"/>
        <v>8253975.95</v>
      </c>
      <c r="KQ60" s="12">
        <f t="shared" si="157"/>
        <v>66700</v>
      </c>
      <c r="KR60" s="199">
        <f t="shared" si="158"/>
        <v>0.00808095400374895</v>
      </c>
      <c r="KS60" s="192"/>
      <c r="KT60" s="192"/>
      <c r="KV60" s="8" t="str">
        <f t="shared" si="159"/>
        <v>2026//4/2</v>
      </c>
      <c r="KW60" s="263">
        <v>969572.97</v>
      </c>
      <c r="KX60" s="12">
        <f t="shared" si="160"/>
        <v>971772.97</v>
      </c>
      <c r="KY60" s="12">
        <f t="shared" si="161"/>
        <v>-2200</v>
      </c>
      <c r="KZ60" s="199">
        <f t="shared" si="162"/>
        <v>-0.00226390326538924</v>
      </c>
      <c r="LA60" s="201"/>
      <c r="LB60" s="192"/>
      <c r="LD60" s="8" t="str">
        <f t="shared" si="163"/>
        <v>2026//4/2</v>
      </c>
      <c r="LE60" s="262">
        <v>443607.7</v>
      </c>
      <c r="LF60" s="12">
        <f t="shared" si="164"/>
        <v>446207.7</v>
      </c>
      <c r="LG60" s="12">
        <f t="shared" si="165"/>
        <v>-2600</v>
      </c>
      <c r="LH60" s="199">
        <f t="shared" si="166"/>
        <v>-0.00582688286194971</v>
      </c>
      <c r="LI60" s="192"/>
      <c r="LJ60" s="192"/>
      <c r="LL60" s="8" t="str">
        <f t="shared" si="167"/>
        <v>2026//4/2</v>
      </c>
      <c r="LM60" s="262">
        <v>3529375.02</v>
      </c>
      <c r="LN60" s="12">
        <f t="shared" si="168"/>
        <v>3556915.02</v>
      </c>
      <c r="LO60" s="12">
        <f t="shared" si="169"/>
        <v>-27540</v>
      </c>
      <c r="LP60" s="199">
        <f t="shared" si="170"/>
        <v>-0.00774266459703049</v>
      </c>
      <c r="LQ60" s="192"/>
      <c r="LR60" s="192"/>
      <c r="LT60" s="8" t="str">
        <f t="shared" si="171"/>
        <v>2026//4/2</v>
      </c>
      <c r="LU60" s="263">
        <v>2676262.9</v>
      </c>
      <c r="LV60" s="12">
        <f t="shared" si="172"/>
        <v>2682062.9</v>
      </c>
      <c r="LW60" s="12">
        <f t="shared" si="173"/>
        <v>-5800</v>
      </c>
      <c r="LX60" s="199">
        <f t="shared" si="174"/>
        <v>-0.00216251453312299</v>
      </c>
      <c r="LY60" s="192"/>
      <c r="LZ60" s="192"/>
      <c r="MB60" s="8" t="str">
        <f t="shared" si="175"/>
        <v>2026//4/2</v>
      </c>
      <c r="MC60" s="262">
        <v>792467.69</v>
      </c>
      <c r="MD60" s="12">
        <f t="shared" si="176"/>
        <v>802417.69</v>
      </c>
      <c r="ME60" s="12">
        <f t="shared" si="177"/>
        <v>-9950</v>
      </c>
      <c r="MF60" s="199">
        <f t="shared" si="178"/>
        <v>-0.0124000257272494</v>
      </c>
      <c r="MG60" s="192"/>
      <c r="MH60" s="192"/>
      <c r="MI60" s="8"/>
      <c r="MJ60" s="8"/>
      <c r="MK60" s="8" t="str">
        <f t="shared" si="179"/>
        <v>2026//4/2</v>
      </c>
      <c r="ML60" s="263">
        <v>221025.53</v>
      </c>
      <c r="MM60" s="12">
        <f t="shared" si="180"/>
        <v>220905.53</v>
      </c>
      <c r="MN60" s="12">
        <f t="shared" si="181"/>
        <v>120</v>
      </c>
      <c r="MO60" s="199">
        <f t="shared" si="182"/>
        <v>0.000543218632869897</v>
      </c>
      <c r="MP60" s="192"/>
      <c r="MQ60" s="201"/>
      <c r="MR60" s="201"/>
      <c r="MT60" s="8" t="str">
        <f t="shared" si="183"/>
        <v>2026//4/2</v>
      </c>
      <c r="MU60" s="262">
        <v>284014.8</v>
      </c>
      <c r="MV60" s="204">
        <f t="shared" si="184"/>
        <v>291814.8</v>
      </c>
      <c r="MW60" s="8">
        <f t="shared" si="185"/>
        <v>-7800</v>
      </c>
      <c r="MX60" s="192">
        <f t="shared" si="186"/>
        <v>-0.0267292817225172</v>
      </c>
      <c r="MY60" s="192"/>
      <c r="MZ60" s="192"/>
      <c r="NA60" s="192"/>
      <c r="NC60" s="8" t="str">
        <f t="shared" si="187"/>
        <v>2026//4/2</v>
      </c>
      <c r="ND60" s="262">
        <v>44491.48</v>
      </c>
      <c r="NE60" s="204">
        <f t="shared" si="188"/>
        <v>45091.48</v>
      </c>
      <c r="NF60" s="8">
        <f t="shared" si="189"/>
        <v>-600</v>
      </c>
      <c r="NG60" s="192">
        <f t="shared" si="190"/>
        <v>-0.0133062831381893</v>
      </c>
      <c r="NH60" s="192"/>
      <c r="NI60" s="192"/>
      <c r="NJ60" s="192"/>
      <c r="NK60" s="192"/>
      <c r="NM60" s="8" t="str">
        <f t="shared" si="191"/>
        <v>2026//4/2</v>
      </c>
      <c r="NN60" s="262">
        <v>2624211.08</v>
      </c>
      <c r="NO60" s="8">
        <f t="shared" si="192"/>
        <v>2613411.08</v>
      </c>
      <c r="NP60" s="210">
        <f t="shared" si="193"/>
        <v>10800</v>
      </c>
      <c r="NQ60" s="211">
        <f t="shared" si="194"/>
        <v>0.00413253011845347</v>
      </c>
      <c r="NR60" s="192"/>
      <c r="NU60" s="8" t="str">
        <f t="shared" si="195"/>
        <v>2026//4/2</v>
      </c>
      <c r="NV60" s="262">
        <v>252826.5</v>
      </c>
      <c r="NW60" s="205">
        <f t="shared" si="196"/>
        <v>254526.5</v>
      </c>
      <c r="NX60" s="210">
        <f t="shared" si="197"/>
        <v>-1700</v>
      </c>
      <c r="NY60" s="211">
        <f t="shared" si="198"/>
        <v>-0.00667906878065742</v>
      </c>
      <c r="NZ60" s="201"/>
      <c r="OA60" s="200"/>
      <c r="OC60" s="8" t="str">
        <f t="shared" si="199"/>
        <v>2026//4/2</v>
      </c>
      <c r="OD60" s="262">
        <v>11750.97</v>
      </c>
      <c r="OE60" s="12">
        <f t="shared" si="200"/>
        <v>11614.97</v>
      </c>
      <c r="OF60" s="12">
        <f t="shared" si="201"/>
        <v>136</v>
      </c>
      <c r="OG60" s="199">
        <f t="shared" si="202"/>
        <v>0.011709027229515</v>
      </c>
      <c r="OH60" s="192"/>
      <c r="OI60" s="192"/>
      <c r="OK60" s="8" t="str">
        <f t="shared" si="203"/>
        <v>2026//4/2</v>
      </c>
      <c r="OL60" s="262">
        <v>11053.65</v>
      </c>
      <c r="OM60" s="12">
        <f t="shared" si="204"/>
        <v>11043.65</v>
      </c>
      <c r="ON60" s="12">
        <f t="shared" si="205"/>
        <v>10</v>
      </c>
      <c r="OO60" s="199">
        <f t="shared" si="206"/>
        <v>0.000905497729464443</v>
      </c>
      <c r="OP60" s="192"/>
      <c r="OQ60" s="192"/>
      <c r="OT60" s="234" t="str">
        <f t="shared" si="207"/>
        <v>2026//4/2</v>
      </c>
      <c r="OU60" s="206">
        <v>143952.4066</v>
      </c>
      <c r="OV60" s="8">
        <f t="shared" si="208"/>
        <v>143832.4066</v>
      </c>
      <c r="OW60" s="191">
        <f t="shared" si="209"/>
        <v>120</v>
      </c>
      <c r="OX60" s="192">
        <f t="shared" si="210"/>
        <v>0.000834304332637093</v>
      </c>
    </row>
    <row r="61" s="8" customFormat="1" ht="17" customHeight="1" spans="1:414">
      <c r="A61" s="15"/>
      <c r="B61" s="15"/>
      <c r="C61" s="15" t="s">
        <v>489</v>
      </c>
      <c r="D61" s="262">
        <v>4481238.77</v>
      </c>
      <c r="E61" s="19">
        <f t="shared" si="8"/>
        <v>4482858.77</v>
      </c>
      <c r="F61" s="19">
        <f t="shared" si="9"/>
        <v>-1620</v>
      </c>
      <c r="G61" s="172">
        <f t="shared" si="10"/>
        <v>-0.000361376541871293</v>
      </c>
      <c r="H61" s="18"/>
      <c r="I61" s="172"/>
      <c r="J61" s="172"/>
      <c r="K61" s="8" t="str">
        <f t="shared" si="11"/>
        <v>2026//4/1</v>
      </c>
      <c r="L61" s="262">
        <v>3167344.4</v>
      </c>
      <c r="M61" s="19">
        <f t="shared" si="12"/>
        <v>3169954.4</v>
      </c>
      <c r="N61" s="19">
        <f t="shared" si="13"/>
        <v>-2610</v>
      </c>
      <c r="O61" s="172">
        <f t="shared" si="14"/>
        <v>-0.000823355692435197</v>
      </c>
      <c r="P61" s="18"/>
      <c r="Q61" s="172"/>
      <c r="R61" s="19"/>
      <c r="S61" s="8" t="str">
        <f t="shared" si="15"/>
        <v>2026//4/1</v>
      </c>
      <c r="T61" s="262">
        <v>2301006.68</v>
      </c>
      <c r="U61" s="19">
        <f t="shared" si="16"/>
        <v>2302266.68</v>
      </c>
      <c r="V61" s="19">
        <f t="shared" si="17"/>
        <v>-1260</v>
      </c>
      <c r="W61" s="172">
        <f t="shared" si="18"/>
        <v>-0.000547286728746819</v>
      </c>
      <c r="X61" s="18"/>
      <c r="Y61" s="172"/>
      <c r="Z61" s="19"/>
      <c r="AA61" s="8" t="str">
        <f t="shared" si="19"/>
        <v>2026//4/1</v>
      </c>
      <c r="AB61" s="262">
        <v>960696.86</v>
      </c>
      <c r="AC61" s="19">
        <f t="shared" si="20"/>
        <v>943656.86</v>
      </c>
      <c r="AD61" s="19">
        <f t="shared" si="21"/>
        <v>17040</v>
      </c>
      <c r="AE61" s="172">
        <f t="shared" si="22"/>
        <v>0.0180574112501021</v>
      </c>
      <c r="AF61" s="18"/>
      <c r="AG61" s="172"/>
      <c r="AH61" s="19"/>
      <c r="AI61" s="8" t="str">
        <f t="shared" si="23"/>
        <v>2026//4/1</v>
      </c>
      <c r="AJ61" s="262">
        <v>765121.76</v>
      </c>
      <c r="AK61" s="19">
        <f t="shared" si="24"/>
        <v>756521.76</v>
      </c>
      <c r="AL61" s="19">
        <f t="shared" si="25"/>
        <v>8600</v>
      </c>
      <c r="AM61" s="172">
        <f t="shared" si="26"/>
        <v>0.0113678157783591</v>
      </c>
      <c r="AN61" s="18"/>
      <c r="AO61" s="18"/>
      <c r="AP61" s="19"/>
      <c r="AQ61" s="8" t="str">
        <f t="shared" si="27"/>
        <v>2026//4/1</v>
      </c>
      <c r="AR61" s="263">
        <v>1577745.49</v>
      </c>
      <c r="AS61" s="19">
        <f t="shared" si="28"/>
        <v>1605845.49</v>
      </c>
      <c r="AT61" s="19">
        <f t="shared" si="29"/>
        <v>-28100</v>
      </c>
      <c r="AU61" s="172">
        <f t="shared" si="30"/>
        <v>-0.0174985701768854</v>
      </c>
      <c r="AV61" s="18"/>
      <c r="AW61" s="18"/>
      <c r="AX61" s="17"/>
      <c r="AY61" s="17"/>
      <c r="AZ61" s="8" t="str">
        <f t="shared" si="31"/>
        <v>2026//4/1</v>
      </c>
      <c r="BA61" s="263">
        <v>1994331.66</v>
      </c>
      <c r="BB61" s="129">
        <f t="shared" si="32"/>
        <v>1996491.66</v>
      </c>
      <c r="BC61" s="17">
        <f t="shared" si="33"/>
        <v>-2160</v>
      </c>
      <c r="BD61" s="18">
        <f t="shared" si="34"/>
        <v>-0.00108189783272122</v>
      </c>
      <c r="BE61" s="18"/>
      <c r="BF61" s="18"/>
      <c r="BG61" s="74"/>
      <c r="BH61" s="8" t="str">
        <f t="shared" si="35"/>
        <v>2026//4/1</v>
      </c>
      <c r="BI61" s="263">
        <v>1629126.55</v>
      </c>
      <c r="BJ61" s="195">
        <f t="shared" si="36"/>
        <v>1635226.55</v>
      </c>
      <c r="BK61" s="195">
        <f t="shared" si="37"/>
        <v>-6100</v>
      </c>
      <c r="BL61" s="196">
        <f t="shared" si="38"/>
        <v>-0.00373036996005232</v>
      </c>
      <c r="BM61" s="197"/>
      <c r="BN61" s="192"/>
      <c r="BP61" s="8" t="str">
        <f t="shared" si="39"/>
        <v>2026//4/1</v>
      </c>
      <c r="BQ61" s="263">
        <v>1148862.39</v>
      </c>
      <c r="BR61" s="12">
        <f t="shared" si="40"/>
        <v>1162862.39</v>
      </c>
      <c r="BS61" s="12">
        <f t="shared" si="41"/>
        <v>-14000</v>
      </c>
      <c r="BT61" s="199">
        <f t="shared" si="42"/>
        <v>-0.0120392577147499</v>
      </c>
      <c r="BU61" s="192"/>
      <c r="BV61" s="192"/>
      <c r="BX61" s="8" t="str">
        <f t="shared" si="43"/>
        <v>2026//4/1</v>
      </c>
      <c r="BY61" s="263">
        <v>3153460.7</v>
      </c>
      <c r="BZ61" s="12">
        <f t="shared" si="44"/>
        <v>3108060.7</v>
      </c>
      <c r="CA61" s="12">
        <f t="shared" si="45"/>
        <v>45400</v>
      </c>
      <c r="CB61" s="199">
        <f t="shared" si="46"/>
        <v>0.0146071793256805</v>
      </c>
      <c r="CC61" s="192"/>
      <c r="CD61" s="201"/>
      <c r="CF61" s="8" t="str">
        <f t="shared" si="47"/>
        <v>2026//4/1</v>
      </c>
      <c r="CG61" s="262">
        <v>1402653.9</v>
      </c>
      <c r="CH61" s="12">
        <f t="shared" si="48"/>
        <v>1393853.9</v>
      </c>
      <c r="CI61" s="12">
        <f t="shared" si="49"/>
        <v>8800</v>
      </c>
      <c r="CJ61" s="199">
        <f t="shared" si="50"/>
        <v>0.00631343069743536</v>
      </c>
      <c r="CK61" s="192"/>
      <c r="CL61" s="201"/>
      <c r="CN61" s="8" t="str">
        <f t="shared" si="51"/>
        <v>2026//4/1</v>
      </c>
      <c r="CO61" s="262">
        <v>672346.48</v>
      </c>
      <c r="CP61" s="12">
        <f t="shared" si="52"/>
        <v>666046.48</v>
      </c>
      <c r="CQ61" s="12">
        <f t="shared" si="53"/>
        <v>6300</v>
      </c>
      <c r="CR61" s="199">
        <f t="shared" si="54"/>
        <v>0.00945879933184243</v>
      </c>
      <c r="CS61" s="201"/>
      <c r="CT61" s="201"/>
      <c r="CV61" s="8" t="str">
        <f t="shared" si="55"/>
        <v>2026//4/1</v>
      </c>
      <c r="CW61" s="262">
        <v>565690.4</v>
      </c>
      <c r="CX61" s="12">
        <f t="shared" si="56"/>
        <v>569640.4</v>
      </c>
      <c r="CY61" s="12">
        <f t="shared" si="57"/>
        <v>-3950</v>
      </c>
      <c r="CZ61" s="199">
        <f t="shared" si="58"/>
        <v>-0.00693419918952378</v>
      </c>
      <c r="DA61" s="192"/>
      <c r="DB61" s="192"/>
      <c r="DC61" s="277"/>
      <c r="DD61" s="8" t="str">
        <f t="shared" si="59"/>
        <v>2026//4/1</v>
      </c>
      <c r="DE61" s="263">
        <v>2349917.99</v>
      </c>
      <c r="DF61" s="12">
        <f t="shared" si="60"/>
        <v>2364517.99</v>
      </c>
      <c r="DG61" s="12">
        <f t="shared" si="61"/>
        <v>-14600</v>
      </c>
      <c r="DH61" s="199">
        <f t="shared" si="62"/>
        <v>-0.00617461996979773</v>
      </c>
      <c r="DI61" s="192"/>
      <c r="DJ61" s="192"/>
      <c r="DL61" s="8" t="str">
        <f t="shared" si="63"/>
        <v>2026//4/1</v>
      </c>
      <c r="DM61" s="262">
        <v>1367700.36</v>
      </c>
      <c r="DN61" s="12">
        <f t="shared" si="64"/>
        <v>1407900.36</v>
      </c>
      <c r="DO61" s="12">
        <f t="shared" si="65"/>
        <v>-40200</v>
      </c>
      <c r="DP61" s="199">
        <f t="shared" si="66"/>
        <v>-0.0285531569861947</v>
      </c>
      <c r="DQ61" s="192"/>
      <c r="DR61" s="192"/>
      <c r="DT61" s="8" t="str">
        <f t="shared" si="67"/>
        <v>2026//4/1</v>
      </c>
      <c r="DU61" s="262">
        <v>1651289.48</v>
      </c>
      <c r="DV61" s="12">
        <f t="shared" si="68"/>
        <v>1685189.48</v>
      </c>
      <c r="DW61" s="12">
        <f t="shared" si="69"/>
        <v>-33900</v>
      </c>
      <c r="DX61" s="199">
        <f t="shared" si="70"/>
        <v>-0.020116432248319</v>
      </c>
      <c r="DY61" s="192"/>
      <c r="DZ61" s="192"/>
      <c r="EB61" s="8" t="str">
        <f t="shared" si="71"/>
        <v>2026//4/1</v>
      </c>
      <c r="EC61" s="262">
        <v>5059466.82</v>
      </c>
      <c r="ED61" s="12">
        <f t="shared" si="72"/>
        <v>5178866.82</v>
      </c>
      <c r="EE61" s="12">
        <f t="shared" si="73"/>
        <v>-119400</v>
      </c>
      <c r="EF61" s="199">
        <f t="shared" si="74"/>
        <v>-0.0230552366280004</v>
      </c>
      <c r="EG61" s="192"/>
      <c r="EH61" s="192"/>
      <c r="EJ61" s="8" t="str">
        <f t="shared" si="75"/>
        <v>2026//4/1</v>
      </c>
      <c r="EK61" s="263">
        <v>1532322.96</v>
      </c>
      <c r="EL61" s="12">
        <f t="shared" si="76"/>
        <v>1544722.96</v>
      </c>
      <c r="EM61" s="12">
        <f t="shared" si="77"/>
        <v>-12400</v>
      </c>
      <c r="EN61" s="199">
        <f t="shared" si="78"/>
        <v>-0.00802732937950246</v>
      </c>
      <c r="EO61" s="192"/>
      <c r="EP61" s="192"/>
      <c r="ER61" s="8" t="str">
        <f t="shared" si="79"/>
        <v>2026//4/1</v>
      </c>
      <c r="ES61" s="262">
        <v>533297.02</v>
      </c>
      <c r="ET61" s="12">
        <f t="shared" si="80"/>
        <v>536597.02</v>
      </c>
      <c r="EU61" s="12">
        <f t="shared" si="81"/>
        <v>-3300</v>
      </c>
      <c r="EV61" s="199">
        <f t="shared" si="82"/>
        <v>-0.00614986643049192</v>
      </c>
      <c r="EW61" s="192"/>
      <c r="EX61" s="192"/>
      <c r="EZ61" s="8" t="str">
        <f t="shared" si="83"/>
        <v>2026//4/1</v>
      </c>
      <c r="FA61" s="262">
        <v>720608</v>
      </c>
      <c r="FB61" s="12">
        <f t="shared" si="84"/>
        <v>722408</v>
      </c>
      <c r="FC61" s="12">
        <f t="shared" si="85"/>
        <v>-1800</v>
      </c>
      <c r="FD61" s="199">
        <f t="shared" si="86"/>
        <v>-0.00249166675895062</v>
      </c>
      <c r="FE61" s="192"/>
      <c r="FF61" s="192"/>
      <c r="FG61" s="192"/>
      <c r="FH61" s="8" t="str">
        <f t="shared" si="87"/>
        <v>2026//4/1</v>
      </c>
      <c r="FI61" s="263">
        <v>1100195.33</v>
      </c>
      <c r="FJ61" s="12">
        <f t="shared" si="88"/>
        <v>1088695.33</v>
      </c>
      <c r="FK61" s="12">
        <f t="shared" si="89"/>
        <v>11500</v>
      </c>
      <c r="FL61" s="199">
        <f t="shared" si="90"/>
        <v>0.0105631021674356</v>
      </c>
      <c r="FM61" s="201"/>
      <c r="FN61" s="201"/>
      <c r="FP61" s="8" t="str">
        <f t="shared" si="91"/>
        <v>2026//4/1</v>
      </c>
      <c r="FQ61" s="262">
        <v>2263168.73</v>
      </c>
      <c r="FR61" s="12">
        <f t="shared" si="92"/>
        <v>2283568.73</v>
      </c>
      <c r="FS61" s="12">
        <f t="shared" si="93"/>
        <v>-20400</v>
      </c>
      <c r="FT61" s="199">
        <f t="shared" si="94"/>
        <v>-0.0089333855959746</v>
      </c>
      <c r="FU61" s="192"/>
      <c r="FV61" s="192"/>
      <c r="FX61" s="8" t="str">
        <f t="shared" si="95"/>
        <v>2026//4/1</v>
      </c>
      <c r="FY61" s="262">
        <v>8417082.05</v>
      </c>
      <c r="FZ61" s="12">
        <f t="shared" si="96"/>
        <v>8497482.05</v>
      </c>
      <c r="GA61" s="12">
        <f t="shared" si="97"/>
        <v>-80400</v>
      </c>
      <c r="GB61" s="199">
        <f t="shared" si="98"/>
        <v>-0.00946162634141722</v>
      </c>
      <c r="GC61" s="192"/>
      <c r="GD61" s="192"/>
      <c r="GF61" s="8" t="str">
        <f t="shared" si="99"/>
        <v>2026//4/1</v>
      </c>
      <c r="GG61" s="262">
        <v>4672269.49</v>
      </c>
      <c r="GH61" s="12">
        <f t="shared" si="100"/>
        <v>4735369.49</v>
      </c>
      <c r="GI61" s="12">
        <f t="shared" si="101"/>
        <v>-63100</v>
      </c>
      <c r="GJ61" s="199">
        <f t="shared" si="102"/>
        <v>-0.013325253738542</v>
      </c>
      <c r="GK61" s="192"/>
      <c r="GL61" s="192"/>
      <c r="GN61" s="8" t="str">
        <f t="shared" si="103"/>
        <v>2026//4/1</v>
      </c>
      <c r="GO61" s="263">
        <v>1803598.12</v>
      </c>
      <c r="GP61" s="12">
        <f t="shared" si="104"/>
        <v>1850698.12</v>
      </c>
      <c r="GQ61" s="12">
        <f t="shared" si="105"/>
        <v>-47100</v>
      </c>
      <c r="GR61" s="199">
        <f t="shared" si="106"/>
        <v>-0.0254498556469058</v>
      </c>
      <c r="GS61" s="192"/>
      <c r="GT61" s="192"/>
      <c r="GV61" s="8" t="str">
        <f t="shared" si="107"/>
        <v>2026//4/1</v>
      </c>
      <c r="GW61" s="262">
        <v>1026349.4</v>
      </c>
      <c r="GX61" s="12">
        <f t="shared" si="108"/>
        <v>1030949.4</v>
      </c>
      <c r="GY61" s="12">
        <f t="shared" si="109"/>
        <v>-4600</v>
      </c>
      <c r="GZ61" s="199">
        <f t="shared" si="110"/>
        <v>-0.00446190666583636</v>
      </c>
      <c r="HA61" s="192"/>
      <c r="HB61" s="192"/>
      <c r="HD61" s="8" t="str">
        <f t="shared" si="111"/>
        <v>2026//4/1</v>
      </c>
      <c r="HE61" s="263">
        <v>1103264.67</v>
      </c>
      <c r="HF61" s="12">
        <f t="shared" si="112"/>
        <v>1102164.67</v>
      </c>
      <c r="HG61" s="12">
        <f t="shared" si="113"/>
        <v>1100</v>
      </c>
      <c r="HH61" s="199">
        <f t="shared" si="114"/>
        <v>0.000998035983134898</v>
      </c>
      <c r="HI61" s="201"/>
      <c r="HJ61" s="192"/>
      <c r="HL61" s="8" t="str">
        <f t="shared" si="115"/>
        <v>2026//4/1</v>
      </c>
      <c r="HM61" s="262">
        <v>152754.25</v>
      </c>
      <c r="HN61" s="12">
        <f t="shared" si="116"/>
        <v>152604.25</v>
      </c>
      <c r="HO61" s="12">
        <f t="shared" si="117"/>
        <v>150</v>
      </c>
      <c r="HP61" s="199">
        <f t="shared" si="118"/>
        <v>0.000982934616827513</v>
      </c>
      <c r="HQ61" s="192"/>
      <c r="HR61" s="192"/>
      <c r="HT61" s="8" t="str">
        <f t="shared" si="119"/>
        <v>2026//4/1</v>
      </c>
      <c r="HU61" s="263">
        <v>256268.82</v>
      </c>
      <c r="HV61" s="12">
        <f t="shared" si="120"/>
        <v>254068.82</v>
      </c>
      <c r="HW61" s="12">
        <f t="shared" si="121"/>
        <v>2200</v>
      </c>
      <c r="HX61" s="199">
        <f t="shared" si="122"/>
        <v>0.0086590711918133</v>
      </c>
      <c r="HY61" s="192"/>
      <c r="HZ61" s="192"/>
      <c r="IB61" s="8" t="str">
        <f t="shared" si="123"/>
        <v>2026//4/1</v>
      </c>
      <c r="IC61" s="262">
        <v>435384.79</v>
      </c>
      <c r="ID61" s="12">
        <f t="shared" si="124"/>
        <v>436534.79</v>
      </c>
      <c r="IE61" s="12">
        <f t="shared" si="125"/>
        <v>-1150</v>
      </c>
      <c r="IF61" s="199">
        <f t="shared" si="126"/>
        <v>-0.00263438339015317</v>
      </c>
      <c r="IG61" s="201"/>
      <c r="IH61" s="192"/>
      <c r="IJ61" s="8" t="str">
        <f t="shared" si="127"/>
        <v>2026//4/1</v>
      </c>
      <c r="IK61" s="263">
        <v>597836.29</v>
      </c>
      <c r="IL61" s="12">
        <f t="shared" si="128"/>
        <v>605836.29</v>
      </c>
      <c r="IM61" s="12">
        <f t="shared" si="129"/>
        <v>-8000</v>
      </c>
      <c r="IN61" s="199">
        <f t="shared" si="130"/>
        <v>-0.0132048874127365</v>
      </c>
      <c r="IO61" s="192"/>
      <c r="IP61" s="192"/>
      <c r="IR61" s="8" t="str">
        <f t="shared" si="131"/>
        <v>2026//4/1</v>
      </c>
      <c r="IS61" s="262">
        <v>141289</v>
      </c>
      <c r="IT61" s="12">
        <f t="shared" si="132"/>
        <v>142689</v>
      </c>
      <c r="IU61" s="12">
        <f t="shared" si="133"/>
        <v>-1400</v>
      </c>
      <c r="IV61" s="199">
        <f t="shared" si="134"/>
        <v>-0.00981154819222224</v>
      </c>
      <c r="IW61" s="192"/>
      <c r="IX61" s="192"/>
      <c r="IZ61" s="8" t="str">
        <f t="shared" si="135"/>
        <v>2026//4/1</v>
      </c>
      <c r="JA61" s="262">
        <v>5006429.15</v>
      </c>
      <c r="JB61" s="12">
        <f t="shared" si="136"/>
        <v>5020729.15</v>
      </c>
      <c r="JC61" s="12">
        <f t="shared" si="137"/>
        <v>-14300</v>
      </c>
      <c r="JD61" s="199">
        <f t="shared" si="138"/>
        <v>-0.00284819188065542</v>
      </c>
      <c r="JE61" s="192"/>
      <c r="JF61" s="192"/>
      <c r="JH61" s="8" t="str">
        <f t="shared" si="139"/>
        <v>2026//4/1</v>
      </c>
      <c r="JI61" s="262">
        <v>1481427.99</v>
      </c>
      <c r="JJ61" s="12">
        <f t="shared" si="140"/>
        <v>1495467.99</v>
      </c>
      <c r="JK61" s="12">
        <f t="shared" si="141"/>
        <v>-14040</v>
      </c>
      <c r="JL61" s="199">
        <f t="shared" si="142"/>
        <v>-0.00938836544405073</v>
      </c>
      <c r="JM61" s="192"/>
      <c r="JN61" s="192"/>
      <c r="JO61" s="192"/>
      <c r="JP61" s="8" t="str">
        <f t="shared" si="143"/>
        <v>2026//4/1</v>
      </c>
      <c r="JQ61" s="263">
        <v>1040190.41</v>
      </c>
      <c r="JR61" s="12">
        <f t="shared" si="144"/>
        <v>1042790.41</v>
      </c>
      <c r="JS61" s="12">
        <f t="shared" si="145"/>
        <v>-2600</v>
      </c>
      <c r="JT61" s="199">
        <f t="shared" si="146"/>
        <v>-0.00249331023287796</v>
      </c>
      <c r="JU61" s="192"/>
      <c r="JV61" s="192"/>
      <c r="JW61" s="201"/>
      <c r="JX61" s="8" t="str">
        <f t="shared" si="147"/>
        <v>2026//4/1</v>
      </c>
      <c r="JY61" s="262">
        <v>1244848.8</v>
      </c>
      <c r="JZ61" s="12">
        <f t="shared" si="148"/>
        <v>1266448.8</v>
      </c>
      <c r="KA61" s="12">
        <f t="shared" si="149"/>
        <v>-21600</v>
      </c>
      <c r="KB61" s="199">
        <f t="shared" si="150"/>
        <v>-0.0170555651361508</v>
      </c>
      <c r="KC61" s="192"/>
      <c r="KD61" s="192"/>
      <c r="KE61" s="201"/>
      <c r="KF61" s="8" t="str">
        <f t="shared" si="151"/>
        <v>2026//4/1</v>
      </c>
      <c r="KG61" s="263">
        <v>732555.92</v>
      </c>
      <c r="KH61" s="12">
        <f t="shared" si="152"/>
        <v>732555.92</v>
      </c>
      <c r="KI61" s="12">
        <f t="shared" si="153"/>
        <v>0</v>
      </c>
      <c r="KJ61" s="199">
        <f t="shared" si="154"/>
        <v>0</v>
      </c>
      <c r="KK61" s="201"/>
      <c r="KL61" s="201"/>
      <c r="KN61" s="8" t="str">
        <f t="shared" si="155"/>
        <v>2026//4/1</v>
      </c>
      <c r="KO61" s="262">
        <v>8253975.95</v>
      </c>
      <c r="KP61" s="12">
        <f t="shared" si="156"/>
        <v>8254875.95</v>
      </c>
      <c r="KQ61" s="12">
        <f t="shared" si="157"/>
        <v>-900</v>
      </c>
      <c r="KR61" s="199">
        <f t="shared" si="158"/>
        <v>-0.000109026471803008</v>
      </c>
      <c r="KS61" s="192"/>
      <c r="KT61" s="192"/>
      <c r="KV61" s="8" t="str">
        <f t="shared" si="159"/>
        <v>2026//4/1</v>
      </c>
      <c r="KW61" s="263">
        <v>971772.97</v>
      </c>
      <c r="KX61" s="12">
        <f t="shared" si="160"/>
        <v>1006772.97</v>
      </c>
      <c r="KY61" s="12">
        <f t="shared" si="161"/>
        <v>-35000</v>
      </c>
      <c r="KZ61" s="199">
        <f t="shared" si="162"/>
        <v>-0.0347645408080434</v>
      </c>
      <c r="LA61" s="201"/>
      <c r="LB61" s="192"/>
      <c r="LD61" s="8" t="str">
        <f t="shared" si="163"/>
        <v>2026//4/1</v>
      </c>
      <c r="LE61" s="262">
        <v>446207.7</v>
      </c>
      <c r="LF61" s="12">
        <f t="shared" si="164"/>
        <v>444757.7</v>
      </c>
      <c r="LG61" s="12">
        <f t="shared" si="165"/>
        <v>1450</v>
      </c>
      <c r="LH61" s="199">
        <f t="shared" si="166"/>
        <v>0.00326020212803511</v>
      </c>
      <c r="LI61" s="192"/>
      <c r="LJ61" s="192"/>
      <c r="LL61" s="8" t="str">
        <f t="shared" si="167"/>
        <v>2026//4/1</v>
      </c>
      <c r="LM61" s="262">
        <v>3556915.02</v>
      </c>
      <c r="LN61" s="12">
        <f t="shared" si="168"/>
        <v>3561055.02</v>
      </c>
      <c r="LO61" s="12">
        <f t="shared" si="169"/>
        <v>-4140</v>
      </c>
      <c r="LP61" s="199">
        <f t="shared" si="170"/>
        <v>-0.00116257681410382</v>
      </c>
      <c r="LQ61" s="192"/>
      <c r="LR61" s="192"/>
      <c r="LT61" s="8" t="str">
        <f t="shared" si="171"/>
        <v>2026//4/1</v>
      </c>
      <c r="LU61" s="263">
        <v>2682062.9</v>
      </c>
      <c r="LV61" s="12">
        <f t="shared" si="172"/>
        <v>2686062.9</v>
      </c>
      <c r="LW61" s="12">
        <f t="shared" si="173"/>
        <v>-4000</v>
      </c>
      <c r="LX61" s="199">
        <f t="shared" si="174"/>
        <v>-0.00148916840331624</v>
      </c>
      <c r="LY61" s="192"/>
      <c r="LZ61" s="192"/>
      <c r="MB61" s="8" t="str">
        <f t="shared" si="175"/>
        <v>2026//4/1</v>
      </c>
      <c r="MC61" s="262">
        <v>802417.69</v>
      </c>
      <c r="MD61" s="12">
        <f t="shared" si="176"/>
        <v>829767.69</v>
      </c>
      <c r="ME61" s="12">
        <f t="shared" si="177"/>
        <v>-27350</v>
      </c>
      <c r="MF61" s="199">
        <f t="shared" si="178"/>
        <v>-0.0329610327439961</v>
      </c>
      <c r="MG61" s="192"/>
      <c r="MH61" s="192"/>
      <c r="MI61" s="8"/>
      <c r="MJ61" s="8"/>
      <c r="MK61" s="8" t="str">
        <f t="shared" si="179"/>
        <v>2026//4/1</v>
      </c>
      <c r="ML61" s="263">
        <v>220905.53</v>
      </c>
      <c r="MM61" s="12">
        <f t="shared" si="180"/>
        <v>221265.53</v>
      </c>
      <c r="MN61" s="12">
        <f t="shared" si="181"/>
        <v>-360</v>
      </c>
      <c r="MO61" s="199">
        <f t="shared" si="182"/>
        <v>-0.00162700444122498</v>
      </c>
      <c r="MP61" s="192"/>
      <c r="MQ61" s="201"/>
      <c r="MR61" s="201"/>
      <c r="MT61" s="8" t="str">
        <f t="shared" si="183"/>
        <v>2026//4/1</v>
      </c>
      <c r="MU61" s="262">
        <v>291814.8</v>
      </c>
      <c r="MV61" s="204">
        <f t="shared" si="184"/>
        <v>301214.8</v>
      </c>
      <c r="MW61" s="8">
        <f t="shared" si="185"/>
        <v>-9400</v>
      </c>
      <c r="MX61" s="192">
        <f t="shared" si="186"/>
        <v>-0.0312069659259771</v>
      </c>
      <c r="MY61" s="192"/>
      <c r="MZ61" s="192"/>
      <c r="NA61" s="192"/>
      <c r="NC61" s="8" t="str">
        <f t="shared" si="187"/>
        <v>2026//4/1</v>
      </c>
      <c r="ND61" s="262">
        <v>45091.48</v>
      </c>
      <c r="NE61" s="204">
        <f t="shared" si="188"/>
        <v>45291.48</v>
      </c>
      <c r="NF61" s="8">
        <f t="shared" si="189"/>
        <v>-200</v>
      </c>
      <c r="NG61" s="192">
        <f t="shared" si="190"/>
        <v>-0.00441584156666993</v>
      </c>
      <c r="NH61" s="192"/>
      <c r="NI61" s="192"/>
      <c r="NJ61" s="192"/>
      <c r="NK61" s="192"/>
      <c r="NM61" s="8" t="str">
        <f t="shared" si="191"/>
        <v>2026//4/1</v>
      </c>
      <c r="NN61" s="262">
        <v>2613411.08</v>
      </c>
      <c r="NO61" s="8">
        <f t="shared" si="192"/>
        <v>2607011.08</v>
      </c>
      <c r="NP61" s="210">
        <f t="shared" si="193"/>
        <v>6400</v>
      </c>
      <c r="NQ61" s="211">
        <f t="shared" si="194"/>
        <v>0.00245491860356804</v>
      </c>
      <c r="NR61" s="192"/>
      <c r="NU61" s="8" t="str">
        <f t="shared" si="195"/>
        <v>2026//4/1</v>
      </c>
      <c r="NV61" s="262">
        <v>254526.5</v>
      </c>
      <c r="NW61" s="205">
        <f t="shared" si="196"/>
        <v>248526.5</v>
      </c>
      <c r="NX61" s="210">
        <f t="shared" si="197"/>
        <v>6000</v>
      </c>
      <c r="NY61" s="211">
        <f t="shared" si="198"/>
        <v>0.0241422946848726</v>
      </c>
      <c r="NZ61" s="201"/>
      <c r="OA61" s="200"/>
      <c r="OC61" s="8" t="str">
        <f t="shared" si="199"/>
        <v>2026//4/1</v>
      </c>
      <c r="OD61" s="262">
        <v>11614.97</v>
      </c>
      <c r="OE61" s="12">
        <f t="shared" si="200"/>
        <v>11630.97</v>
      </c>
      <c r="OF61" s="12">
        <f t="shared" si="201"/>
        <v>-16</v>
      </c>
      <c r="OG61" s="199">
        <f t="shared" si="202"/>
        <v>-0.00137563762953563</v>
      </c>
      <c r="OH61" s="192"/>
      <c r="OI61" s="192"/>
      <c r="OK61" s="8" t="str">
        <f t="shared" si="203"/>
        <v>2026//4/1</v>
      </c>
      <c r="OL61" s="262">
        <v>11043.65</v>
      </c>
      <c r="OM61" s="12">
        <f t="shared" si="204"/>
        <v>11043.65</v>
      </c>
      <c r="ON61" s="12">
        <f t="shared" si="205"/>
        <v>0</v>
      </c>
      <c r="OO61" s="199">
        <f t="shared" si="206"/>
        <v>0</v>
      </c>
      <c r="OP61" s="192"/>
      <c r="OQ61" s="192"/>
      <c r="OT61" s="234" t="str">
        <f t="shared" si="207"/>
        <v>2026//4/1</v>
      </c>
      <c r="OU61" s="206">
        <v>143832.4066</v>
      </c>
      <c r="OV61" s="8">
        <f t="shared" si="208"/>
        <v>143712.4066</v>
      </c>
      <c r="OW61" s="191">
        <f t="shared" si="209"/>
        <v>120</v>
      </c>
      <c r="OX61" s="192">
        <f t="shared" si="210"/>
        <v>0.000835000977570436</v>
      </c>
    </row>
    <row r="62" s="10" customFormat="1" ht="17" customHeight="1" spans="1:414">
      <c r="A62" s="100"/>
      <c r="B62" s="100"/>
      <c r="C62" s="100" t="s">
        <v>490</v>
      </c>
      <c r="D62" s="88">
        <v>4482858.77</v>
      </c>
      <c r="E62" s="88">
        <f t="shared" si="8"/>
        <v>4491318.77</v>
      </c>
      <c r="F62" s="88">
        <f t="shared" si="9"/>
        <v>-8460</v>
      </c>
      <c r="G62" s="236">
        <f t="shared" si="10"/>
        <v>-0.00188363383523544</v>
      </c>
      <c r="H62" s="87">
        <f>(D62-D84)/D84</f>
        <v>-0.0171860830120871</v>
      </c>
      <c r="I62" s="236"/>
      <c r="J62" s="236"/>
      <c r="K62" s="10" t="str">
        <f t="shared" si="11"/>
        <v>2026//3/31</v>
      </c>
      <c r="L62" s="88">
        <v>3169954.4</v>
      </c>
      <c r="M62" s="88">
        <f t="shared" si="12"/>
        <v>3179764.4</v>
      </c>
      <c r="N62" s="88">
        <f t="shared" si="13"/>
        <v>-9810</v>
      </c>
      <c r="O62" s="236">
        <f t="shared" si="14"/>
        <v>-0.00308513423195756</v>
      </c>
      <c r="P62" s="87">
        <f>(L62-L84)/L84</f>
        <v>-0.00844553804083036</v>
      </c>
      <c r="Q62" s="236"/>
      <c r="R62" s="88"/>
      <c r="S62" s="10" t="str">
        <f t="shared" si="15"/>
        <v>2026//3/31</v>
      </c>
      <c r="T62" s="88">
        <v>2302266.68</v>
      </c>
      <c r="U62" s="88">
        <f t="shared" si="16"/>
        <v>2326386.68</v>
      </c>
      <c r="V62" s="88">
        <f t="shared" si="17"/>
        <v>-24120</v>
      </c>
      <c r="W62" s="236">
        <f t="shared" si="18"/>
        <v>-0.010368009844348</v>
      </c>
      <c r="X62" s="87">
        <f>(T62-T84)/T84</f>
        <v>-0.0281885538870007</v>
      </c>
      <c r="Y62" s="236"/>
      <c r="Z62" s="88"/>
      <c r="AA62" s="10" t="str">
        <f t="shared" si="19"/>
        <v>2026//3/31</v>
      </c>
      <c r="AB62" s="88">
        <v>943656.86</v>
      </c>
      <c r="AC62" s="88">
        <f t="shared" si="20"/>
        <v>938336.86</v>
      </c>
      <c r="AD62" s="88">
        <f t="shared" si="21"/>
        <v>5320</v>
      </c>
      <c r="AE62" s="236">
        <f t="shared" si="22"/>
        <v>0.00566960568936832</v>
      </c>
      <c r="AF62" s="87">
        <f>(AB62-AB84)/AB84</f>
        <v>-0.0841278259228734</v>
      </c>
      <c r="AG62" s="236"/>
      <c r="AH62" s="88"/>
      <c r="AI62" s="10" t="str">
        <f t="shared" si="23"/>
        <v>2026//3/31</v>
      </c>
      <c r="AJ62" s="88">
        <v>756521.76</v>
      </c>
      <c r="AK62" s="88">
        <f t="shared" si="24"/>
        <v>752721.76</v>
      </c>
      <c r="AL62" s="88">
        <f t="shared" si="25"/>
        <v>3800</v>
      </c>
      <c r="AM62" s="236">
        <f t="shared" si="26"/>
        <v>0.00504834615117278</v>
      </c>
      <c r="AN62" s="87">
        <f>(AJ62-AJ84)/AJ84</f>
        <v>-0.153704726910328</v>
      </c>
      <c r="AO62" s="87"/>
      <c r="AP62" s="88"/>
      <c r="AQ62" s="10" t="str">
        <f t="shared" si="27"/>
        <v>2026//3/31</v>
      </c>
      <c r="AR62" s="90">
        <v>1605845.49</v>
      </c>
      <c r="AS62" s="88">
        <f t="shared" si="28"/>
        <v>1580145.49</v>
      </c>
      <c r="AT62" s="88">
        <f t="shared" si="29"/>
        <v>25700</v>
      </c>
      <c r="AU62" s="236">
        <f t="shared" si="30"/>
        <v>0.0162643251286943</v>
      </c>
      <c r="AV62" s="87">
        <f>(AR62-AR84)/AR84</f>
        <v>-0.124901535819692</v>
      </c>
      <c r="AW62" s="87"/>
      <c r="AX62" s="85"/>
      <c r="AY62" s="85"/>
      <c r="AZ62" s="10" t="str">
        <f t="shared" si="31"/>
        <v>2026//3/31</v>
      </c>
      <c r="BA62" s="278">
        <v>1996491.66</v>
      </c>
      <c r="BB62" s="237">
        <f t="shared" si="32"/>
        <v>1999821.66</v>
      </c>
      <c r="BC62" s="85">
        <f t="shared" si="33"/>
        <v>-3330</v>
      </c>
      <c r="BD62" s="87">
        <f t="shared" si="34"/>
        <v>-0.00166514848129008</v>
      </c>
      <c r="BE62" s="87">
        <f>(BA62-BA84)/BA84</f>
        <v>-0.00618262024419192</v>
      </c>
      <c r="BF62" s="87"/>
      <c r="BG62" s="84"/>
      <c r="BH62" s="10" t="str">
        <f t="shared" si="35"/>
        <v>2026//3/31</v>
      </c>
      <c r="BI62" s="279">
        <v>1635226.55</v>
      </c>
      <c r="BJ62" s="195">
        <f t="shared" si="36"/>
        <v>1645626.55</v>
      </c>
      <c r="BK62" s="195">
        <f t="shared" si="37"/>
        <v>-10400</v>
      </c>
      <c r="BL62" s="196">
        <f t="shared" si="38"/>
        <v>-0.0063197813623024</v>
      </c>
      <c r="BM62" s="241"/>
      <c r="BN62" s="242">
        <f>(BI62-BI84)/BI84</f>
        <v>0.3632266413778</v>
      </c>
      <c r="BP62" s="10" t="str">
        <f t="shared" si="39"/>
        <v>2026//3/31</v>
      </c>
      <c r="BQ62" s="243">
        <v>1162862.39</v>
      </c>
      <c r="BR62" s="12">
        <f t="shared" si="40"/>
        <v>1166962.39</v>
      </c>
      <c r="BS62" s="12">
        <f t="shared" si="41"/>
        <v>-4100</v>
      </c>
      <c r="BT62" s="199">
        <f t="shared" si="42"/>
        <v>-0.00351339514892164</v>
      </c>
      <c r="BU62" s="242"/>
      <c r="BV62" s="242">
        <f>(BQ62-BQ84)/BQ84</f>
        <v>-0.148374646920887</v>
      </c>
      <c r="BX62" s="10" t="str">
        <f t="shared" si="43"/>
        <v>2026//3/31</v>
      </c>
      <c r="BY62" s="280">
        <v>3108060.7</v>
      </c>
      <c r="BZ62" s="12">
        <f t="shared" si="44"/>
        <v>3113260.7</v>
      </c>
      <c r="CA62" s="12">
        <f t="shared" si="45"/>
        <v>-5200</v>
      </c>
      <c r="CB62" s="199">
        <f t="shared" si="46"/>
        <v>-0.00167027451314951</v>
      </c>
      <c r="CC62" s="242"/>
      <c r="CD62" s="247">
        <f>(BY62-BY84)/BY84</f>
        <v>-0.176391369905489</v>
      </c>
      <c r="CF62" s="10" t="str">
        <f t="shared" si="47"/>
        <v>2026//3/31</v>
      </c>
      <c r="CG62" s="246">
        <v>1393853.9</v>
      </c>
      <c r="CH62" s="244">
        <f t="shared" si="48"/>
        <v>1389753.9</v>
      </c>
      <c r="CI62" s="244">
        <f t="shared" si="49"/>
        <v>4100</v>
      </c>
      <c r="CJ62" s="245">
        <f t="shared" si="50"/>
        <v>0.002950162615122</v>
      </c>
      <c r="CK62" s="242"/>
      <c r="CL62" s="247">
        <f>(CG62-CG84)/CG84</f>
        <v>-0.168197973400909</v>
      </c>
      <c r="CN62" s="10" t="str">
        <f t="shared" si="51"/>
        <v>2026//3/31</v>
      </c>
      <c r="CO62" s="246">
        <v>666046.48</v>
      </c>
      <c r="CP62" s="244">
        <f t="shared" si="52"/>
        <v>661946.48</v>
      </c>
      <c r="CQ62" s="244">
        <f t="shared" si="53"/>
        <v>4100</v>
      </c>
      <c r="CR62" s="245">
        <f t="shared" si="54"/>
        <v>0.00619385422217216</v>
      </c>
      <c r="CS62" s="247"/>
      <c r="CT62" s="247">
        <f>(CO62-CO84)/CO84</f>
        <v>-0.101208226506926</v>
      </c>
      <c r="CV62" s="10" t="str">
        <f t="shared" si="55"/>
        <v>2026//3/31</v>
      </c>
      <c r="CW62" s="246">
        <v>569640.4</v>
      </c>
      <c r="CX62" s="244">
        <f t="shared" si="56"/>
        <v>545940.4</v>
      </c>
      <c r="CY62" s="244">
        <f t="shared" si="57"/>
        <v>23700</v>
      </c>
      <c r="CZ62" s="245">
        <f t="shared" si="58"/>
        <v>0.0434113320794724</v>
      </c>
      <c r="DA62" s="242"/>
      <c r="DB62" s="242">
        <f>(CW62-CW84)/CW84</f>
        <v>-0.039376691427045</v>
      </c>
      <c r="DC62" s="281"/>
      <c r="DD62" s="10" t="str">
        <f t="shared" si="59"/>
        <v>2026//3/31</v>
      </c>
      <c r="DE62" s="280">
        <v>2364517.99</v>
      </c>
      <c r="DF62" s="244">
        <f t="shared" si="60"/>
        <v>2361517.99</v>
      </c>
      <c r="DG62" s="244">
        <f t="shared" si="61"/>
        <v>3000</v>
      </c>
      <c r="DH62" s="245">
        <f t="shared" si="62"/>
        <v>0.00127036931867709</v>
      </c>
      <c r="DI62" s="242"/>
      <c r="DJ62" s="242">
        <f>(DE62-DE84)/DE84</f>
        <v>-0.00755502797926409</v>
      </c>
      <c r="DL62" s="10" t="str">
        <f t="shared" si="63"/>
        <v>2026//3/31</v>
      </c>
      <c r="DM62" s="262">
        <v>1407900.36</v>
      </c>
      <c r="DN62" s="244">
        <f t="shared" si="64"/>
        <v>1392300.36</v>
      </c>
      <c r="DO62" s="244">
        <f t="shared" si="65"/>
        <v>15600</v>
      </c>
      <c r="DP62" s="245">
        <f t="shared" si="66"/>
        <v>0.0112044788956314</v>
      </c>
      <c r="DQ62" s="242"/>
      <c r="DR62" s="242">
        <f>(DM62-DM84)/DM84</f>
        <v>0.0394241312715487</v>
      </c>
      <c r="DT62" s="10" t="str">
        <f t="shared" si="67"/>
        <v>2026//3/31</v>
      </c>
      <c r="DU62" s="262">
        <v>1685189.48</v>
      </c>
      <c r="DV62" s="244">
        <f t="shared" si="68"/>
        <v>1676489.48</v>
      </c>
      <c r="DW62" s="244">
        <f t="shared" si="69"/>
        <v>8700</v>
      </c>
      <c r="DX62" s="245">
        <f t="shared" si="70"/>
        <v>0.00518941520587412</v>
      </c>
      <c r="DY62" s="242"/>
      <c r="DZ62" s="242">
        <f>(DU62-DU84)/DU84</f>
        <v>-0.0535777623486802</v>
      </c>
      <c r="EB62" s="10" t="str">
        <f t="shared" si="71"/>
        <v>2026//3/31</v>
      </c>
      <c r="EC62" s="262">
        <v>5178866.82</v>
      </c>
      <c r="ED62" s="244">
        <f t="shared" si="72"/>
        <v>5144366.82</v>
      </c>
      <c r="EE62" s="244">
        <f t="shared" si="73"/>
        <v>34500</v>
      </c>
      <c r="EF62" s="245">
        <f t="shared" si="74"/>
        <v>0.00670636469115552</v>
      </c>
      <c r="EG62" s="242"/>
      <c r="EH62" s="242">
        <f>(EC62-EC84)/EC84</f>
        <v>0.0550025107423876</v>
      </c>
      <c r="EJ62" s="10" t="str">
        <f t="shared" si="75"/>
        <v>2026//3/31</v>
      </c>
      <c r="EK62" s="280">
        <v>1544722.96</v>
      </c>
      <c r="EL62" s="244">
        <f t="shared" si="76"/>
        <v>1545122.96</v>
      </c>
      <c r="EM62" s="244">
        <f t="shared" si="77"/>
        <v>-400</v>
      </c>
      <c r="EN62" s="245">
        <f t="shared" si="78"/>
        <v>-0.000258879073287475</v>
      </c>
      <c r="EO62" s="242"/>
      <c r="EP62" s="242">
        <f>(EK62-EK84)/EK84</f>
        <v>-0.0566709611204474</v>
      </c>
      <c r="ER62" s="10" t="str">
        <f t="shared" si="79"/>
        <v>2026//3/31</v>
      </c>
      <c r="ES62" s="262">
        <v>536597.02</v>
      </c>
      <c r="ET62" s="244">
        <f t="shared" si="80"/>
        <v>535547.02</v>
      </c>
      <c r="EU62" s="244">
        <f t="shared" si="81"/>
        <v>1050</v>
      </c>
      <c r="EV62" s="245">
        <f t="shared" si="82"/>
        <v>0.00196061216062784</v>
      </c>
      <c r="EW62" s="242"/>
      <c r="EX62" s="242">
        <f>(ES62-ES84)/ES84</f>
        <v>-0.0282507862863874</v>
      </c>
      <c r="EZ62" s="10" t="str">
        <f t="shared" si="83"/>
        <v>2026//3/31</v>
      </c>
      <c r="FA62" s="262">
        <v>722408</v>
      </c>
      <c r="FB62" s="244">
        <f t="shared" si="84"/>
        <v>731108</v>
      </c>
      <c r="FC62" s="244">
        <f t="shared" si="85"/>
        <v>-8700</v>
      </c>
      <c r="FD62" s="245">
        <f t="shared" si="86"/>
        <v>-0.0118997466858522</v>
      </c>
      <c r="FE62" s="242"/>
      <c r="FF62" s="242">
        <f>(FA62-FA84)/FA84</f>
        <v>0.0104908603624522</v>
      </c>
      <c r="FH62" s="10" t="str">
        <f t="shared" si="87"/>
        <v>2026//3/31</v>
      </c>
      <c r="FI62" s="243">
        <v>1088695.33</v>
      </c>
      <c r="FJ62" s="244">
        <f t="shared" si="88"/>
        <v>1076295.33</v>
      </c>
      <c r="FK62" s="244">
        <f t="shared" si="89"/>
        <v>12400</v>
      </c>
      <c r="FL62" s="245">
        <f t="shared" si="90"/>
        <v>0.0115210013965219</v>
      </c>
      <c r="FM62" s="247"/>
      <c r="FN62" s="247">
        <f>(FI62-FI84)/FI84</f>
        <v>0.000919375097436522</v>
      </c>
      <c r="FP62" s="10" t="str">
        <f t="shared" si="91"/>
        <v>2026//3/31</v>
      </c>
      <c r="FQ62" s="262">
        <v>2283568.73</v>
      </c>
      <c r="FR62" s="244">
        <f t="shared" si="92"/>
        <v>2288818.73</v>
      </c>
      <c r="FS62" s="244">
        <f t="shared" si="93"/>
        <v>-5250</v>
      </c>
      <c r="FT62" s="245">
        <f t="shared" si="94"/>
        <v>-0.00229375962857487</v>
      </c>
      <c r="FU62" s="242"/>
      <c r="FV62" s="242">
        <f>(FQ62-FQ84)/FQ84</f>
        <v>-0.0590278945143958</v>
      </c>
      <c r="FX62" s="10" t="str">
        <f t="shared" si="95"/>
        <v>2026//3/31</v>
      </c>
      <c r="FY62" s="262">
        <v>8497482.05</v>
      </c>
      <c r="FZ62" s="244">
        <f t="shared" si="96"/>
        <v>8530682.05</v>
      </c>
      <c r="GA62" s="244">
        <f t="shared" si="97"/>
        <v>-33200</v>
      </c>
      <c r="GB62" s="245">
        <f t="shared" si="98"/>
        <v>-0.00389183418223869</v>
      </c>
      <c r="GC62" s="242"/>
      <c r="GD62" s="242">
        <f>(FY62-FY84)/FY84</f>
        <v>0.0789792924485176</v>
      </c>
      <c r="GF62" s="10" t="str">
        <f t="shared" si="99"/>
        <v>2026//3/31</v>
      </c>
      <c r="GG62" s="262">
        <v>4735369.49</v>
      </c>
      <c r="GH62" s="244">
        <f t="shared" si="100"/>
        <v>4750669.49</v>
      </c>
      <c r="GI62" s="244">
        <f t="shared" si="101"/>
        <v>-15300</v>
      </c>
      <c r="GJ62" s="245">
        <f t="shared" si="102"/>
        <v>-0.00322059870344716</v>
      </c>
      <c r="GK62" s="242"/>
      <c r="GL62" s="242">
        <f>(GG62-GG84)/GG84</f>
        <v>0.0223893350386709</v>
      </c>
      <c r="GN62" s="10" t="str">
        <f t="shared" si="103"/>
        <v>2026//3/31</v>
      </c>
      <c r="GO62" s="280">
        <v>1850698.12</v>
      </c>
      <c r="GP62" s="244">
        <f t="shared" si="104"/>
        <v>1850818.12</v>
      </c>
      <c r="GQ62" s="244">
        <f t="shared" si="105"/>
        <v>-120</v>
      </c>
      <c r="GR62" s="245">
        <f t="shared" si="106"/>
        <v>-6.48361925481905e-5</v>
      </c>
      <c r="GS62" s="242"/>
      <c r="GT62" s="242">
        <f>(GO62-GO84)/GO84</f>
        <v>0.0323995386145042</v>
      </c>
      <c r="GV62" s="10" t="str">
        <f t="shared" si="107"/>
        <v>2026//3/31</v>
      </c>
      <c r="GW62" s="262">
        <v>1030949.4</v>
      </c>
      <c r="GX62" s="244">
        <f t="shared" si="108"/>
        <v>1047749.4</v>
      </c>
      <c r="GY62" s="244">
        <f t="shared" si="109"/>
        <v>-16800</v>
      </c>
      <c r="GZ62" s="245">
        <f t="shared" si="110"/>
        <v>-0.0160343685236183</v>
      </c>
      <c r="HA62" s="242"/>
      <c r="HB62" s="242">
        <f>(GW62-GW84)/GW84</f>
        <v>0.0097948047180399</v>
      </c>
      <c r="HD62" s="10" t="str">
        <f t="shared" si="111"/>
        <v>2026//3/31</v>
      </c>
      <c r="HE62" s="280">
        <v>1102164.67</v>
      </c>
      <c r="HF62" s="244">
        <f t="shared" si="112"/>
        <v>1087064.67</v>
      </c>
      <c r="HG62" s="244">
        <f t="shared" si="113"/>
        <v>15100</v>
      </c>
      <c r="HH62" s="245">
        <f t="shared" si="114"/>
        <v>0.0138906179335218</v>
      </c>
      <c r="HI62" s="247"/>
      <c r="HJ62" s="242">
        <f>(HE62-HE84)/HE84</f>
        <v>-0.0230462810008046</v>
      </c>
      <c r="HL62" s="10" t="str">
        <f t="shared" si="115"/>
        <v>2026//3/31</v>
      </c>
      <c r="HM62" s="262">
        <v>152604.25</v>
      </c>
      <c r="HN62" s="244">
        <f t="shared" si="116"/>
        <v>156404.25</v>
      </c>
      <c r="HO62" s="244">
        <f t="shared" si="117"/>
        <v>-3800</v>
      </c>
      <c r="HP62" s="245">
        <f t="shared" si="118"/>
        <v>-0.0242960149740176</v>
      </c>
      <c r="HQ62" s="242"/>
      <c r="HR62" s="242">
        <f>(HM62-HM84)/HM84</f>
        <v>-0.0301866648025077</v>
      </c>
      <c r="HT62" s="10" t="str">
        <f t="shared" si="119"/>
        <v>2026//3/31</v>
      </c>
      <c r="HU62" s="280">
        <v>254068.82</v>
      </c>
      <c r="HV62" s="244">
        <f t="shared" si="120"/>
        <v>252768.82</v>
      </c>
      <c r="HW62" s="244">
        <f t="shared" si="121"/>
        <v>1300</v>
      </c>
      <c r="HX62" s="245">
        <f t="shared" si="122"/>
        <v>0.00514303939860937</v>
      </c>
      <c r="HY62" s="242"/>
      <c r="HZ62" s="242">
        <f>(HU62-HU84)/HU84</f>
        <v>-0.291436383118867</v>
      </c>
      <c r="IB62" s="10" t="str">
        <f t="shared" si="123"/>
        <v>2026//3/31</v>
      </c>
      <c r="IC62" s="262">
        <v>436534.79</v>
      </c>
      <c r="ID62" s="244">
        <f t="shared" si="124"/>
        <v>440559.79</v>
      </c>
      <c r="IE62" s="244">
        <f t="shared" si="125"/>
        <v>-4025</v>
      </c>
      <c r="IF62" s="245">
        <f t="shared" si="126"/>
        <v>-0.00913610386458555</v>
      </c>
      <c r="IG62" s="247"/>
      <c r="IH62" s="242">
        <f>(IC62-IC84)/IC84</f>
        <v>-0.125285589528261</v>
      </c>
      <c r="IJ62" s="10" t="str">
        <f t="shared" si="127"/>
        <v>2026//3/31</v>
      </c>
      <c r="IK62" s="280">
        <v>605836.29</v>
      </c>
      <c r="IL62" s="244">
        <f t="shared" si="128"/>
        <v>617836.29</v>
      </c>
      <c r="IM62" s="244">
        <f t="shared" si="129"/>
        <v>-12000</v>
      </c>
      <c r="IN62" s="245">
        <f t="shared" si="130"/>
        <v>-0.0194226208369858</v>
      </c>
      <c r="IO62" s="242"/>
      <c r="IP62" s="242">
        <f>(IK62-IK84)/IK84</f>
        <v>0.515514089847092</v>
      </c>
      <c r="IR62" s="10" t="str">
        <f t="shared" si="131"/>
        <v>2026//3/31</v>
      </c>
      <c r="IS62" s="262">
        <v>142689</v>
      </c>
      <c r="IT62" s="244">
        <f t="shared" si="132"/>
        <v>142389</v>
      </c>
      <c r="IU62" s="244">
        <f t="shared" si="133"/>
        <v>300</v>
      </c>
      <c r="IV62" s="245">
        <f t="shared" si="134"/>
        <v>0.00210690432547458</v>
      </c>
      <c r="IW62" s="242"/>
      <c r="IX62" s="242">
        <f>(IS62-IS84)/IS84</f>
        <v>-0.0823209358861399</v>
      </c>
      <c r="IZ62" s="10" t="str">
        <f t="shared" si="135"/>
        <v>2026//3/31</v>
      </c>
      <c r="JA62" s="262">
        <v>5020729.15</v>
      </c>
      <c r="JB62" s="244">
        <f t="shared" si="136"/>
        <v>5034329.15</v>
      </c>
      <c r="JC62" s="244">
        <f t="shared" si="137"/>
        <v>-13600</v>
      </c>
      <c r="JD62" s="245">
        <f t="shared" si="138"/>
        <v>-0.00270145228783859</v>
      </c>
      <c r="JE62" s="242"/>
      <c r="JF62" s="242">
        <f>(JA62-JA84)/JA84</f>
        <v>0.0238385140314279</v>
      </c>
      <c r="JH62" s="10" t="str">
        <f t="shared" si="139"/>
        <v>2026//3/31</v>
      </c>
      <c r="JI62" s="262">
        <v>1495467.99</v>
      </c>
      <c r="JJ62" s="244">
        <f t="shared" si="140"/>
        <v>1508007.99</v>
      </c>
      <c r="JK62" s="244">
        <f t="shared" si="141"/>
        <v>-12540</v>
      </c>
      <c r="JL62" s="245">
        <f t="shared" si="142"/>
        <v>-0.00831560580789761</v>
      </c>
      <c r="JM62" s="242"/>
      <c r="JN62" s="242">
        <f>(JI62-JI84)/JI84</f>
        <v>0.00992728104556069</v>
      </c>
      <c r="JP62" s="10" t="str">
        <f t="shared" si="143"/>
        <v>2026//3/31</v>
      </c>
      <c r="JQ62" s="280">
        <v>1042790.41</v>
      </c>
      <c r="JR62" s="244">
        <f t="shared" si="144"/>
        <v>1044090.41</v>
      </c>
      <c r="JS62" s="244">
        <f t="shared" si="145"/>
        <v>-1300</v>
      </c>
      <c r="JT62" s="245">
        <f t="shared" si="146"/>
        <v>-0.00124510290253504</v>
      </c>
      <c r="JU62" s="242"/>
      <c r="JV62" s="247">
        <f>(JQ62-JQ84)/JQ84</f>
        <v>-0.152540806880405</v>
      </c>
      <c r="JX62" s="10" t="str">
        <f t="shared" si="147"/>
        <v>2026//3/31</v>
      </c>
      <c r="JY62" s="262">
        <v>1266448.8</v>
      </c>
      <c r="JZ62" s="244">
        <f t="shared" si="148"/>
        <v>1266448.8</v>
      </c>
      <c r="KA62" s="244">
        <f t="shared" si="149"/>
        <v>0</v>
      </c>
      <c r="KB62" s="245">
        <f t="shared" si="150"/>
        <v>0</v>
      </c>
      <c r="KC62" s="242"/>
      <c r="KD62" s="247">
        <f>(JY62-JY84)/JY84</f>
        <v>-0.0320990779310585</v>
      </c>
      <c r="KF62" s="10" t="str">
        <f t="shared" si="151"/>
        <v>2026//3/31</v>
      </c>
      <c r="KG62" s="280">
        <v>732555.92</v>
      </c>
      <c r="KH62" s="244">
        <f t="shared" si="152"/>
        <v>732555.92</v>
      </c>
      <c r="KI62" s="244">
        <f t="shared" si="153"/>
        <v>0</v>
      </c>
      <c r="KJ62" s="245">
        <f t="shared" si="154"/>
        <v>0</v>
      </c>
      <c r="KK62" s="247"/>
      <c r="KL62" s="247">
        <f>(KG62-KG84)/KG84</f>
        <v>-0.0844835341591924</v>
      </c>
      <c r="KN62" s="10" t="str">
        <f t="shared" si="155"/>
        <v>2026//3/31</v>
      </c>
      <c r="KO62" s="262">
        <v>8254875.95</v>
      </c>
      <c r="KP62" s="244">
        <f t="shared" si="156"/>
        <v>8201775.95</v>
      </c>
      <c r="KQ62" s="244">
        <f t="shared" si="157"/>
        <v>53100</v>
      </c>
      <c r="KR62" s="245">
        <f t="shared" si="158"/>
        <v>0.00647420757695777</v>
      </c>
      <c r="KS62" s="242"/>
      <c r="KT62" s="242">
        <f>(KO62-KO84)/KO84</f>
        <v>0.0612868625066266</v>
      </c>
      <c r="KV62" s="10" t="str">
        <f t="shared" si="159"/>
        <v>2026//3/31</v>
      </c>
      <c r="KW62" s="280">
        <v>1006772.97</v>
      </c>
      <c r="KX62" s="244">
        <f t="shared" si="160"/>
        <v>1012372.97</v>
      </c>
      <c r="KY62" s="244">
        <f t="shared" si="161"/>
        <v>-5600</v>
      </c>
      <c r="KZ62" s="245">
        <f t="shared" si="162"/>
        <v>-0.0055315581963829</v>
      </c>
      <c r="LA62" s="247"/>
      <c r="LB62" s="242">
        <f>(KW62-KW84)/KW84</f>
        <v>-0.00621870308118082</v>
      </c>
      <c r="LD62" s="10" t="str">
        <f t="shared" si="163"/>
        <v>2026//3/31</v>
      </c>
      <c r="LE62" s="262">
        <v>444757.7</v>
      </c>
      <c r="LF62" s="244">
        <f t="shared" si="164"/>
        <v>442407.7</v>
      </c>
      <c r="LG62" s="244">
        <f t="shared" si="165"/>
        <v>2350</v>
      </c>
      <c r="LH62" s="245">
        <f t="shared" si="166"/>
        <v>0.0053118424475885</v>
      </c>
      <c r="LI62" s="242"/>
      <c r="LJ62" s="242">
        <f>(LE62-LE84)/LE84</f>
        <v>-0.0553304459548984</v>
      </c>
      <c r="LL62" s="10" t="str">
        <f t="shared" si="167"/>
        <v>2026//3/31</v>
      </c>
      <c r="LM62" s="262">
        <v>3561055.02</v>
      </c>
      <c r="LN62" s="12">
        <f t="shared" si="168"/>
        <v>3574735.02</v>
      </c>
      <c r="LO62" s="12">
        <f t="shared" si="169"/>
        <v>-13680</v>
      </c>
      <c r="LP62" s="199">
        <f t="shared" si="170"/>
        <v>-0.00382685707429022</v>
      </c>
      <c r="LQ62" s="242"/>
      <c r="LR62" s="242">
        <f>(LM62-LM84)/LM84</f>
        <v>0.0357579660031269</v>
      </c>
      <c r="LT62" s="10" t="str">
        <f t="shared" si="171"/>
        <v>2026//3/31</v>
      </c>
      <c r="LU62" s="280">
        <v>2686062.9</v>
      </c>
      <c r="LV62" s="244">
        <f t="shared" si="172"/>
        <v>2708062.9</v>
      </c>
      <c r="LW62" s="244">
        <f t="shared" si="173"/>
        <v>-22000</v>
      </c>
      <c r="LX62" s="245">
        <f t="shared" si="174"/>
        <v>-0.00812388811205235</v>
      </c>
      <c r="LY62" s="242"/>
      <c r="LZ62" s="242">
        <f>(LU62-LU84)/LU84</f>
        <v>-0.0465023340444404</v>
      </c>
      <c r="MB62" s="10" t="str">
        <f t="shared" si="175"/>
        <v>2026//3/31</v>
      </c>
      <c r="MC62" s="262">
        <v>829767.69</v>
      </c>
      <c r="MD62" s="244">
        <f t="shared" si="176"/>
        <v>861217.69</v>
      </c>
      <c r="ME62" s="244">
        <f t="shared" si="177"/>
        <v>-31450</v>
      </c>
      <c r="MF62" s="245">
        <f t="shared" si="178"/>
        <v>-0.0365180608401112</v>
      </c>
      <c r="MG62" s="242"/>
      <c r="MH62" s="242">
        <f>(MC62-MC84)/MC84</f>
        <v>0.0603820215233729</v>
      </c>
      <c r="MK62" s="10" t="str">
        <f t="shared" si="179"/>
        <v>2026//3/31</v>
      </c>
      <c r="ML62" s="282">
        <v>221265.53</v>
      </c>
      <c r="MM62" s="244">
        <f t="shared" si="180"/>
        <v>221625.53</v>
      </c>
      <c r="MN62" s="244">
        <f t="shared" si="181"/>
        <v>-360</v>
      </c>
      <c r="MO62" s="245">
        <f t="shared" si="182"/>
        <v>-0.00162436159769139</v>
      </c>
      <c r="MP62" s="242"/>
      <c r="MQ62" s="247">
        <f>(ML62-ML84)/ML84</f>
        <v>-0.131834226464442</v>
      </c>
      <c r="MR62" s="247"/>
      <c r="MT62" s="10" t="str">
        <f t="shared" si="183"/>
        <v>2026//3/31</v>
      </c>
      <c r="MU62" s="262">
        <v>301214.8</v>
      </c>
      <c r="MV62" s="204">
        <f t="shared" si="184"/>
        <v>304114.8</v>
      </c>
      <c r="MW62" s="8">
        <f t="shared" si="185"/>
        <v>-2900</v>
      </c>
      <c r="MX62" s="192">
        <f t="shared" si="186"/>
        <v>-0.00953587263756976</v>
      </c>
      <c r="MY62" s="242"/>
      <c r="MZ62" s="242">
        <f>(MU62-MU84)/MU84</f>
        <v>0.47354548345278</v>
      </c>
      <c r="NA62" s="242"/>
      <c r="NC62" s="10" t="str">
        <f t="shared" si="187"/>
        <v>2026//3/31</v>
      </c>
      <c r="ND62" s="262">
        <v>45291.48</v>
      </c>
      <c r="NE62" s="204">
        <f t="shared" si="188"/>
        <v>44491.48</v>
      </c>
      <c r="NF62" s="8">
        <f t="shared" si="189"/>
        <v>800</v>
      </c>
      <c r="NG62" s="192">
        <f t="shared" si="190"/>
        <v>0.0179809707386673</v>
      </c>
      <c r="NH62" s="242"/>
      <c r="NI62" s="242">
        <f>(ND62-ND84)/ND84</f>
        <v>-0.0130639994770216</v>
      </c>
      <c r="NJ62" s="242"/>
      <c r="NK62" s="242"/>
      <c r="NM62" s="10" t="str">
        <f t="shared" si="191"/>
        <v>2026//3/31</v>
      </c>
      <c r="NN62" s="262">
        <v>2607011.08</v>
      </c>
      <c r="NO62" s="8">
        <f t="shared" si="192"/>
        <v>2603811.08</v>
      </c>
      <c r="NP62" s="210">
        <f t="shared" si="193"/>
        <v>3200</v>
      </c>
      <c r="NQ62" s="211">
        <f t="shared" si="194"/>
        <v>0.00122896780975369</v>
      </c>
      <c r="NR62" s="242"/>
      <c r="NS62" s="242">
        <f>(NN62-NN84)/NN84</f>
        <v>0.0258931981641824</v>
      </c>
      <c r="NU62" s="10" t="str">
        <f t="shared" si="195"/>
        <v>2026//3/31</v>
      </c>
      <c r="NV62" s="262">
        <v>248526.5</v>
      </c>
      <c r="NW62" s="205">
        <f t="shared" si="196"/>
        <v>248726.5</v>
      </c>
      <c r="NX62" s="210">
        <f t="shared" si="197"/>
        <v>-200</v>
      </c>
      <c r="NY62" s="211">
        <f t="shared" si="198"/>
        <v>-0.000804096065356928</v>
      </c>
      <c r="NZ62" s="247"/>
      <c r="OA62" s="247">
        <f>(NV62-NV84)/NV84</f>
        <v>0.0260108328585701</v>
      </c>
      <c r="OC62" s="10" t="str">
        <f t="shared" si="199"/>
        <v>2026//3/31</v>
      </c>
      <c r="OD62" s="262">
        <v>11630.97</v>
      </c>
      <c r="OE62" s="244">
        <f t="shared" si="200"/>
        <v>11553.97</v>
      </c>
      <c r="OF62" s="244">
        <f t="shared" si="201"/>
        <v>77</v>
      </c>
      <c r="OG62" s="245">
        <f t="shared" si="202"/>
        <v>0.00666437596774096</v>
      </c>
      <c r="OH62" s="242"/>
      <c r="OI62" s="242">
        <f>(OD62-OD84)/OD84</f>
        <v>-0.0821498156955864</v>
      </c>
      <c r="OK62" s="10" t="str">
        <f t="shared" si="203"/>
        <v>2026//3/31</v>
      </c>
      <c r="OL62" s="262">
        <v>11043.65</v>
      </c>
      <c r="OM62" s="244">
        <f t="shared" si="204"/>
        <v>11042.65</v>
      </c>
      <c r="ON62" s="244">
        <f t="shared" si="205"/>
        <v>1</v>
      </c>
      <c r="OO62" s="245">
        <f t="shared" si="206"/>
        <v>9.05579729503335e-5</v>
      </c>
      <c r="OP62" s="242"/>
      <c r="OQ62" s="242">
        <f>(OL62-OL84)/OL84</f>
        <v>-0.0102172052358696</v>
      </c>
      <c r="OT62" s="234" t="str">
        <f t="shared" si="207"/>
        <v>2026//3/31</v>
      </c>
      <c r="OU62" s="206">
        <v>143712.4066</v>
      </c>
      <c r="OV62" s="8">
        <f t="shared" si="208"/>
        <v>143592.4066</v>
      </c>
      <c r="OW62" s="191">
        <f t="shared" si="209"/>
        <v>120</v>
      </c>
      <c r="OX62" s="192">
        <f t="shared" si="210"/>
        <v>0.000835698786874431</v>
      </c>
    </row>
    <row r="63" s="8" customFormat="1" ht="17" customHeight="1" spans="1:414">
      <c r="A63" s="15"/>
      <c r="B63" s="15"/>
      <c r="C63" s="15" t="s">
        <v>491</v>
      </c>
      <c r="D63" s="19">
        <v>4491318.77</v>
      </c>
      <c r="E63" s="19">
        <f t="shared" si="8"/>
        <v>4516068.77</v>
      </c>
      <c r="F63" s="19">
        <f t="shared" si="9"/>
        <v>-24750</v>
      </c>
      <c r="G63" s="172">
        <f t="shared" si="10"/>
        <v>-0.00548043027254432</v>
      </c>
      <c r="H63" s="18"/>
      <c r="I63" s="172"/>
      <c r="J63" s="172"/>
      <c r="K63" s="8" t="str">
        <f t="shared" si="11"/>
        <v>2026//3/30</v>
      </c>
      <c r="L63" s="19">
        <v>3179764.4</v>
      </c>
      <c r="M63" s="19">
        <f t="shared" si="12"/>
        <v>3183994.4</v>
      </c>
      <c r="N63" s="19">
        <f t="shared" si="13"/>
        <v>-4230</v>
      </c>
      <c r="O63" s="172">
        <f t="shared" si="14"/>
        <v>-0.00132851992453253</v>
      </c>
      <c r="P63" s="18"/>
      <c r="Q63" s="172"/>
      <c r="R63" s="19"/>
      <c r="S63" s="8" t="str">
        <f t="shared" si="15"/>
        <v>2026//3/30</v>
      </c>
      <c r="T63" s="19">
        <v>2326386.68</v>
      </c>
      <c r="U63" s="19">
        <f t="shared" si="16"/>
        <v>2344206.68</v>
      </c>
      <c r="V63" s="19">
        <f t="shared" si="17"/>
        <v>-17820</v>
      </c>
      <c r="W63" s="172">
        <f t="shared" si="18"/>
        <v>-0.00760171880407746</v>
      </c>
      <c r="X63" s="18"/>
      <c r="Y63" s="172"/>
      <c r="Z63" s="19"/>
      <c r="AA63" s="8" t="str">
        <f t="shared" si="19"/>
        <v>2026//3/30</v>
      </c>
      <c r="AB63" s="19">
        <v>938336.86</v>
      </c>
      <c r="AC63" s="19">
        <f t="shared" si="20"/>
        <v>961296.86</v>
      </c>
      <c r="AD63" s="19">
        <f t="shared" si="21"/>
        <v>-22960</v>
      </c>
      <c r="AE63" s="172">
        <f t="shared" si="22"/>
        <v>-0.0238844013284304</v>
      </c>
      <c r="AF63" s="18"/>
      <c r="AG63" s="172"/>
      <c r="AH63" s="19"/>
      <c r="AI63" s="8" t="str">
        <f t="shared" si="23"/>
        <v>2026//3/30</v>
      </c>
      <c r="AJ63" s="19">
        <v>752721.76</v>
      </c>
      <c r="AK63" s="19">
        <f t="shared" si="24"/>
        <v>773721.76</v>
      </c>
      <c r="AL63" s="19">
        <f t="shared" si="25"/>
        <v>-21000</v>
      </c>
      <c r="AM63" s="172">
        <f t="shared" si="26"/>
        <v>-0.0271415398734553</v>
      </c>
      <c r="AN63" s="18"/>
      <c r="AO63" s="18"/>
      <c r="AP63" s="19"/>
      <c r="AQ63" s="8" t="str">
        <f t="shared" si="27"/>
        <v>2026//3/30</v>
      </c>
      <c r="AR63" s="21">
        <v>1580145.49</v>
      </c>
      <c r="AS63" s="19">
        <f t="shared" si="28"/>
        <v>1561845.49</v>
      </c>
      <c r="AT63" s="19">
        <f t="shared" si="29"/>
        <v>18300</v>
      </c>
      <c r="AU63" s="172">
        <f t="shared" si="30"/>
        <v>0.0117169080534336</v>
      </c>
      <c r="AV63" s="18"/>
      <c r="AW63" s="18"/>
      <c r="AX63" s="17"/>
      <c r="AY63" s="17"/>
      <c r="AZ63" s="8" t="str">
        <f t="shared" si="31"/>
        <v>2026//3/30</v>
      </c>
      <c r="BA63" s="255">
        <v>1999821.66</v>
      </c>
      <c r="BB63" s="129">
        <f t="shared" si="32"/>
        <v>2003511.66</v>
      </c>
      <c r="BC63" s="17">
        <f t="shared" si="33"/>
        <v>-3690</v>
      </c>
      <c r="BD63" s="18">
        <f t="shared" si="34"/>
        <v>-0.00184176617170274</v>
      </c>
      <c r="BE63" s="18"/>
      <c r="BF63" s="18"/>
      <c r="BG63" s="74"/>
      <c r="BH63" s="8" t="str">
        <f t="shared" si="35"/>
        <v>2026//3/30</v>
      </c>
      <c r="BI63" s="263">
        <v>1645626.55</v>
      </c>
      <c r="BJ63" s="195">
        <f t="shared" si="36"/>
        <v>1651826.55</v>
      </c>
      <c r="BK63" s="195">
        <f t="shared" si="37"/>
        <v>-6200</v>
      </c>
      <c r="BL63" s="196">
        <f t="shared" si="38"/>
        <v>-0.00375342072083779</v>
      </c>
      <c r="BM63" s="197"/>
      <c r="BN63" s="192"/>
      <c r="BP63" s="8" t="str">
        <f t="shared" si="39"/>
        <v>2026//3/30</v>
      </c>
      <c r="BQ63" s="263">
        <v>1166962.39</v>
      </c>
      <c r="BR63" s="12">
        <f t="shared" si="40"/>
        <v>1173862.39</v>
      </c>
      <c r="BS63" s="12">
        <f t="shared" si="41"/>
        <v>-6900</v>
      </c>
      <c r="BT63" s="199">
        <f t="shared" si="42"/>
        <v>-0.00587803141047904</v>
      </c>
      <c r="BU63" s="192"/>
      <c r="BV63" s="192"/>
      <c r="BX63" s="8" t="str">
        <f t="shared" si="43"/>
        <v>2026//3/30</v>
      </c>
      <c r="BY63" s="263">
        <v>3113260.7</v>
      </c>
      <c r="BZ63" s="12">
        <f t="shared" si="44"/>
        <v>3116110.7</v>
      </c>
      <c r="CA63" s="12">
        <f t="shared" si="45"/>
        <v>-2850</v>
      </c>
      <c r="CB63" s="199">
        <f t="shared" si="46"/>
        <v>-0.000914601653914285</v>
      </c>
      <c r="CC63" s="192"/>
      <c r="CD63" s="201"/>
      <c r="CF63" s="8" t="str">
        <f t="shared" si="47"/>
        <v>2026//3/30</v>
      </c>
      <c r="CG63" s="262">
        <v>1389753.9</v>
      </c>
      <c r="CH63" s="12">
        <f t="shared" si="48"/>
        <v>1397803.9</v>
      </c>
      <c r="CI63" s="12">
        <f t="shared" si="49"/>
        <v>-8050</v>
      </c>
      <c r="CJ63" s="199">
        <f t="shared" si="50"/>
        <v>-0.00575903386734005</v>
      </c>
      <c r="CK63" s="192"/>
      <c r="CL63" s="201"/>
      <c r="CN63" s="8" t="str">
        <f t="shared" si="51"/>
        <v>2026//3/30</v>
      </c>
      <c r="CO63" s="262">
        <v>661946.48</v>
      </c>
      <c r="CP63" s="12">
        <f t="shared" si="52"/>
        <v>661346.48</v>
      </c>
      <c r="CQ63" s="12">
        <f t="shared" si="53"/>
        <v>600</v>
      </c>
      <c r="CR63" s="199">
        <f t="shared" si="54"/>
        <v>0.000907240029462318</v>
      </c>
      <c r="CS63" s="201"/>
      <c r="CT63" s="201"/>
      <c r="CV63" s="8" t="str">
        <f t="shared" si="55"/>
        <v>2026//3/30</v>
      </c>
      <c r="CW63" s="262">
        <v>545940.4</v>
      </c>
      <c r="CX63" s="12">
        <f t="shared" si="56"/>
        <v>545040.4</v>
      </c>
      <c r="CY63" s="12">
        <f t="shared" si="57"/>
        <v>900</v>
      </c>
      <c r="CZ63" s="199">
        <f t="shared" si="58"/>
        <v>0.00165125374192445</v>
      </c>
      <c r="DA63" s="192"/>
      <c r="DB63" s="192"/>
      <c r="DC63" s="277"/>
      <c r="DD63" s="8" t="str">
        <f t="shared" si="59"/>
        <v>2026//3/30</v>
      </c>
      <c r="DE63" s="263">
        <v>2361517.99</v>
      </c>
      <c r="DF63" s="12">
        <f t="shared" si="60"/>
        <v>2357117.99</v>
      </c>
      <c r="DG63" s="12">
        <f t="shared" si="61"/>
        <v>4400</v>
      </c>
      <c r="DH63" s="199">
        <f t="shared" si="62"/>
        <v>0.0018666863596421</v>
      </c>
      <c r="DI63" s="192"/>
      <c r="DJ63" s="192"/>
      <c r="DL63" s="8" t="str">
        <f t="shared" si="63"/>
        <v>2026//3/30</v>
      </c>
      <c r="DM63" s="262">
        <v>1392300.36</v>
      </c>
      <c r="DN63" s="12">
        <f t="shared" si="64"/>
        <v>1399500.36</v>
      </c>
      <c r="DO63" s="12">
        <f t="shared" si="65"/>
        <v>-7200</v>
      </c>
      <c r="DP63" s="199">
        <f t="shared" si="66"/>
        <v>-0.00514469321036831</v>
      </c>
      <c r="DQ63" s="192"/>
      <c r="DR63" s="192"/>
      <c r="DT63" s="8" t="str">
        <f t="shared" si="67"/>
        <v>2026//3/30</v>
      </c>
      <c r="DU63" s="262">
        <v>1676489.48</v>
      </c>
      <c r="DV63" s="12">
        <f t="shared" si="68"/>
        <v>1680089.48</v>
      </c>
      <c r="DW63" s="12">
        <f t="shared" si="69"/>
        <v>-3600</v>
      </c>
      <c r="DX63" s="199">
        <f t="shared" si="70"/>
        <v>-0.00214274301628268</v>
      </c>
      <c r="DY63" s="192"/>
      <c r="DZ63" s="192"/>
      <c r="EB63" s="8" t="str">
        <f t="shared" si="71"/>
        <v>2026//3/30</v>
      </c>
      <c r="EC63" s="262">
        <v>5144366.82</v>
      </c>
      <c r="ED63" s="12">
        <f t="shared" si="72"/>
        <v>5140766.82</v>
      </c>
      <c r="EE63" s="12">
        <f t="shared" si="73"/>
        <v>3600</v>
      </c>
      <c r="EF63" s="199">
        <f t="shared" si="74"/>
        <v>0.000700284631855759</v>
      </c>
      <c r="EG63" s="192"/>
      <c r="EH63" s="192"/>
      <c r="EJ63" s="8" t="str">
        <f t="shared" si="75"/>
        <v>2026//3/30</v>
      </c>
      <c r="EK63" s="263">
        <v>1545122.96</v>
      </c>
      <c r="EL63" s="12">
        <f t="shared" si="76"/>
        <v>1549122.96</v>
      </c>
      <c r="EM63" s="12">
        <f t="shared" si="77"/>
        <v>-4000</v>
      </c>
      <c r="EN63" s="199">
        <f t="shared" si="78"/>
        <v>-0.00258210620027218</v>
      </c>
      <c r="EO63" s="192"/>
      <c r="EP63" s="192"/>
      <c r="ER63" s="8" t="str">
        <f t="shared" si="79"/>
        <v>2026//3/30</v>
      </c>
      <c r="ES63" s="262">
        <v>535547.02</v>
      </c>
      <c r="ET63" s="12">
        <f t="shared" si="80"/>
        <v>536447.02</v>
      </c>
      <c r="EU63" s="12">
        <f t="shared" si="81"/>
        <v>-900</v>
      </c>
      <c r="EV63" s="199">
        <f t="shared" si="82"/>
        <v>-0.00167770528392534</v>
      </c>
      <c r="EW63" s="192"/>
      <c r="EX63" s="192"/>
      <c r="EZ63" s="8" t="str">
        <f t="shared" si="83"/>
        <v>2026//3/30</v>
      </c>
      <c r="FA63" s="262">
        <v>731108</v>
      </c>
      <c r="FB63" s="12">
        <f t="shared" si="84"/>
        <v>747208</v>
      </c>
      <c r="FC63" s="12">
        <f t="shared" si="85"/>
        <v>-16100</v>
      </c>
      <c r="FD63" s="199">
        <f t="shared" si="86"/>
        <v>-0.021546878513078</v>
      </c>
      <c r="FE63" s="192"/>
      <c r="FF63" s="192"/>
      <c r="FH63" s="8" t="str">
        <f t="shared" si="87"/>
        <v>2026//3/30</v>
      </c>
      <c r="FI63" s="263">
        <v>1076295.33</v>
      </c>
      <c r="FJ63" s="12">
        <f t="shared" si="88"/>
        <v>1090695.33</v>
      </c>
      <c r="FK63" s="12">
        <f t="shared" si="89"/>
        <v>-14400</v>
      </c>
      <c r="FL63" s="199">
        <f t="shared" si="90"/>
        <v>-0.0132025870139189</v>
      </c>
      <c r="FM63" s="201"/>
      <c r="FN63" s="201"/>
      <c r="FP63" s="8" t="str">
        <f t="shared" si="91"/>
        <v>2026//3/30</v>
      </c>
      <c r="FQ63" s="262">
        <v>2288818.73</v>
      </c>
      <c r="FR63" s="12">
        <f t="shared" si="92"/>
        <v>2294668.73</v>
      </c>
      <c r="FS63" s="12">
        <f t="shared" si="93"/>
        <v>-5850</v>
      </c>
      <c r="FT63" s="199">
        <f t="shared" si="94"/>
        <v>-0.00254938759722411</v>
      </c>
      <c r="FU63" s="192"/>
      <c r="FV63" s="192"/>
      <c r="FX63" s="8" t="str">
        <f t="shared" si="95"/>
        <v>2026//3/30</v>
      </c>
      <c r="FY63" s="262">
        <v>8530682.05</v>
      </c>
      <c r="FZ63" s="12">
        <f t="shared" si="96"/>
        <v>8541082.05</v>
      </c>
      <c r="GA63" s="12">
        <f t="shared" si="97"/>
        <v>-10400</v>
      </c>
      <c r="GB63" s="199">
        <f t="shared" si="98"/>
        <v>-0.00121764431475049</v>
      </c>
      <c r="GC63" s="192"/>
      <c r="GD63" s="192"/>
      <c r="GF63" s="8" t="str">
        <f t="shared" si="99"/>
        <v>2026//3/30</v>
      </c>
      <c r="GG63" s="262">
        <v>4750669.49</v>
      </c>
      <c r="GH63" s="12">
        <f t="shared" si="100"/>
        <v>4758269.49</v>
      </c>
      <c r="GI63" s="12">
        <f t="shared" si="101"/>
        <v>-7600</v>
      </c>
      <c r="GJ63" s="199">
        <f t="shared" si="102"/>
        <v>-0.00159721932857569</v>
      </c>
      <c r="GK63" s="192"/>
      <c r="GL63" s="192"/>
      <c r="GN63" s="8" t="str">
        <f t="shared" si="103"/>
        <v>2026//3/30</v>
      </c>
      <c r="GO63" s="263">
        <v>1850818.12</v>
      </c>
      <c r="GP63" s="12">
        <f t="shared" si="104"/>
        <v>1839718.12</v>
      </c>
      <c r="GQ63" s="12">
        <f t="shared" si="105"/>
        <v>11100</v>
      </c>
      <c r="GR63" s="199">
        <f t="shared" si="106"/>
        <v>0.00603353300667604</v>
      </c>
      <c r="GS63" s="192"/>
      <c r="GT63" s="192"/>
      <c r="GV63" s="8" t="str">
        <f t="shared" si="107"/>
        <v>2026//3/30</v>
      </c>
      <c r="GW63" s="262">
        <v>1047749.4</v>
      </c>
      <c r="GX63" s="12">
        <f t="shared" si="108"/>
        <v>1053749.4</v>
      </c>
      <c r="GY63" s="12">
        <f t="shared" si="109"/>
        <v>-5999.99999999988</v>
      </c>
      <c r="GZ63" s="199">
        <f t="shared" si="110"/>
        <v>-0.00569395342004454</v>
      </c>
      <c r="HA63" s="192"/>
      <c r="HB63" s="192"/>
      <c r="HD63" s="8" t="str">
        <f t="shared" si="111"/>
        <v>2026//3/30</v>
      </c>
      <c r="HE63" s="263">
        <v>1087064.67</v>
      </c>
      <c r="HF63" s="12">
        <f t="shared" si="112"/>
        <v>1065764.67</v>
      </c>
      <c r="HG63" s="12">
        <f t="shared" si="113"/>
        <v>21300</v>
      </c>
      <c r="HH63" s="199">
        <f t="shared" si="114"/>
        <v>0.0199856503030824</v>
      </c>
      <c r="HI63" s="201"/>
      <c r="HJ63" s="192"/>
      <c r="HL63" s="8" t="str">
        <f t="shared" si="115"/>
        <v>2026//3/30</v>
      </c>
      <c r="HM63" s="262">
        <v>156404.25</v>
      </c>
      <c r="HN63" s="12">
        <f t="shared" si="116"/>
        <v>159054.25</v>
      </c>
      <c r="HO63" s="12">
        <f t="shared" si="117"/>
        <v>-2650</v>
      </c>
      <c r="HP63" s="199">
        <f t="shared" si="118"/>
        <v>-0.0166609820234291</v>
      </c>
      <c r="HQ63" s="192"/>
      <c r="HR63" s="192"/>
      <c r="HT63" s="8" t="str">
        <f t="shared" si="119"/>
        <v>2026//3/30</v>
      </c>
      <c r="HU63" s="263">
        <v>252768.82</v>
      </c>
      <c r="HV63" s="12">
        <f t="shared" si="120"/>
        <v>237868.82</v>
      </c>
      <c r="HW63" s="12">
        <f t="shared" si="121"/>
        <v>14900</v>
      </c>
      <c r="HX63" s="199">
        <f t="shared" si="122"/>
        <v>0.0626395674725254</v>
      </c>
      <c r="HY63" s="192"/>
      <c r="HZ63" s="192"/>
      <c r="IB63" s="8" t="str">
        <f t="shared" si="123"/>
        <v>2026//3/30</v>
      </c>
      <c r="IC63" s="262">
        <v>440559.79</v>
      </c>
      <c r="ID63" s="12">
        <f t="shared" si="124"/>
        <v>457184.79</v>
      </c>
      <c r="IE63" s="12">
        <f t="shared" si="125"/>
        <v>-16625</v>
      </c>
      <c r="IF63" s="199">
        <f t="shared" si="126"/>
        <v>-0.0363638519120463</v>
      </c>
      <c r="IG63" s="201"/>
      <c r="IH63" s="192"/>
      <c r="IJ63" s="8" t="str">
        <f t="shared" si="127"/>
        <v>2026//3/30</v>
      </c>
      <c r="IK63" s="263">
        <v>617836.29</v>
      </c>
      <c r="IL63" s="12">
        <f t="shared" si="128"/>
        <v>616636.29</v>
      </c>
      <c r="IM63" s="12">
        <f t="shared" si="129"/>
        <v>1200</v>
      </c>
      <c r="IN63" s="199">
        <f t="shared" si="130"/>
        <v>0.00194604180691344</v>
      </c>
      <c r="IO63" s="192"/>
      <c r="IP63" s="192"/>
      <c r="IR63" s="8" t="str">
        <f t="shared" si="131"/>
        <v>2026//3/30</v>
      </c>
      <c r="IS63" s="262">
        <v>142389</v>
      </c>
      <c r="IT63" s="12">
        <f t="shared" si="132"/>
        <v>142789</v>
      </c>
      <c r="IU63" s="12">
        <f t="shared" si="133"/>
        <v>-400</v>
      </c>
      <c r="IV63" s="199">
        <f t="shared" si="134"/>
        <v>-0.00280133623738523</v>
      </c>
      <c r="IW63" s="192"/>
      <c r="IX63" s="192"/>
      <c r="IZ63" s="8" t="str">
        <f t="shared" si="135"/>
        <v>2026//3/30</v>
      </c>
      <c r="JA63" s="262">
        <v>5034329.15</v>
      </c>
      <c r="JB63" s="12">
        <f t="shared" si="136"/>
        <v>5041629.15</v>
      </c>
      <c r="JC63" s="12">
        <f t="shared" si="137"/>
        <v>-7300</v>
      </c>
      <c r="JD63" s="199">
        <f t="shared" si="138"/>
        <v>-0.00144794465892042</v>
      </c>
      <c r="JE63" s="192"/>
      <c r="JF63" s="192"/>
      <c r="JH63" s="8" t="str">
        <f t="shared" si="139"/>
        <v>2026//3/30</v>
      </c>
      <c r="JI63" s="262">
        <v>1508007.99</v>
      </c>
      <c r="JJ63" s="12">
        <f t="shared" si="140"/>
        <v>1532247.99</v>
      </c>
      <c r="JK63" s="12">
        <f t="shared" si="141"/>
        <v>-24240</v>
      </c>
      <c r="JL63" s="199">
        <f t="shared" si="142"/>
        <v>-0.0158198934886513</v>
      </c>
      <c r="JM63" s="192"/>
      <c r="JN63" s="192"/>
      <c r="JP63" s="8" t="str">
        <f t="shared" si="143"/>
        <v>2026//3/30</v>
      </c>
      <c r="JQ63" s="263">
        <v>1044090.41</v>
      </c>
      <c r="JR63" s="12">
        <f t="shared" si="144"/>
        <v>1054490.41</v>
      </c>
      <c r="JS63" s="12">
        <f t="shared" si="145"/>
        <v>-10399.9999999999</v>
      </c>
      <c r="JT63" s="199">
        <f t="shared" si="146"/>
        <v>-0.00986258376688308</v>
      </c>
      <c r="JU63" s="192"/>
      <c r="JV63" s="201"/>
      <c r="JX63" s="8" t="str">
        <f t="shared" si="147"/>
        <v>2026//3/30</v>
      </c>
      <c r="JY63" s="262">
        <v>1266448.8</v>
      </c>
      <c r="JZ63" s="12">
        <f t="shared" si="148"/>
        <v>1266998.8</v>
      </c>
      <c r="KA63" s="12">
        <f t="shared" si="149"/>
        <v>-550</v>
      </c>
      <c r="KB63" s="199">
        <f t="shared" si="150"/>
        <v>-0.000434096701591193</v>
      </c>
      <c r="KC63" s="192"/>
      <c r="KD63" s="201"/>
      <c r="KF63" s="8" t="str">
        <f t="shared" si="151"/>
        <v>2026//3/30</v>
      </c>
      <c r="KG63" s="263">
        <v>732555.92</v>
      </c>
      <c r="KH63" s="12">
        <f t="shared" si="152"/>
        <v>732555.92</v>
      </c>
      <c r="KI63" s="12">
        <f t="shared" si="153"/>
        <v>0</v>
      </c>
      <c r="KJ63" s="199">
        <f t="shared" si="154"/>
        <v>0</v>
      </c>
      <c r="KK63" s="201"/>
      <c r="KL63" s="201"/>
      <c r="KN63" s="8" t="str">
        <f t="shared" si="155"/>
        <v>2026//3/30</v>
      </c>
      <c r="KO63" s="262">
        <v>8201775.95</v>
      </c>
      <c r="KP63" s="12">
        <f t="shared" si="156"/>
        <v>8184775.95</v>
      </c>
      <c r="KQ63" s="12">
        <f t="shared" si="157"/>
        <v>17000</v>
      </c>
      <c r="KR63" s="199">
        <f t="shared" si="158"/>
        <v>0.00207702692216028</v>
      </c>
      <c r="KS63" s="192"/>
      <c r="KT63" s="192"/>
      <c r="KV63" s="8" t="str">
        <f t="shared" si="159"/>
        <v>2026//3/30</v>
      </c>
      <c r="KW63" s="263">
        <v>1012372.97</v>
      </c>
      <c r="KX63" s="12">
        <f t="shared" si="160"/>
        <v>1013972.97</v>
      </c>
      <c r="KY63" s="12">
        <f t="shared" si="161"/>
        <v>-1600</v>
      </c>
      <c r="KZ63" s="199">
        <f t="shared" si="162"/>
        <v>-0.00157795133335754</v>
      </c>
      <c r="LA63" s="201"/>
      <c r="LB63" s="192"/>
      <c r="LD63" s="8" t="str">
        <f t="shared" si="163"/>
        <v>2026//3/30</v>
      </c>
      <c r="LE63" s="262">
        <v>442407.7</v>
      </c>
      <c r="LF63" s="12">
        <f t="shared" si="164"/>
        <v>449557.7</v>
      </c>
      <c r="LG63" s="12">
        <f t="shared" si="165"/>
        <v>-7150</v>
      </c>
      <c r="LH63" s="199">
        <f t="shared" si="166"/>
        <v>-0.0159045212661245</v>
      </c>
      <c r="LI63" s="192"/>
      <c r="LJ63" s="192"/>
      <c r="LL63" s="8" t="str">
        <f t="shared" si="167"/>
        <v>2026//3/30</v>
      </c>
      <c r="LM63" s="262">
        <v>3574735.02</v>
      </c>
      <c r="LN63" s="12">
        <f t="shared" si="168"/>
        <v>3595435.02</v>
      </c>
      <c r="LO63" s="12">
        <f t="shared" si="169"/>
        <v>-20700</v>
      </c>
      <c r="LP63" s="199">
        <f t="shared" si="170"/>
        <v>-0.00575730054495603</v>
      </c>
      <c r="LQ63" s="192"/>
      <c r="LR63" s="192"/>
      <c r="LT63" s="8" t="str">
        <f t="shared" si="171"/>
        <v>2026//3/30</v>
      </c>
      <c r="LU63" s="263">
        <v>2708062.9</v>
      </c>
      <c r="LV63" s="12">
        <f t="shared" si="172"/>
        <v>2713262.9</v>
      </c>
      <c r="LW63" s="12">
        <f t="shared" si="173"/>
        <v>-5200</v>
      </c>
      <c r="LX63" s="199">
        <f t="shared" si="174"/>
        <v>-0.00191651166571437</v>
      </c>
      <c r="LY63" s="192"/>
      <c r="LZ63" s="192"/>
      <c r="MB63" s="8" t="str">
        <f t="shared" si="175"/>
        <v>2026//3/30</v>
      </c>
      <c r="MC63" s="262">
        <v>861217.69</v>
      </c>
      <c r="MD63" s="12">
        <f t="shared" si="176"/>
        <v>856617.69</v>
      </c>
      <c r="ME63" s="12">
        <f t="shared" si="177"/>
        <v>4600</v>
      </c>
      <c r="MF63" s="199">
        <f t="shared" si="178"/>
        <v>0.00536995681235581</v>
      </c>
      <c r="MG63" s="192"/>
      <c r="MH63" s="192"/>
      <c r="MI63" s="8"/>
      <c r="MJ63" s="8"/>
      <c r="MK63" s="8" t="str">
        <f t="shared" si="179"/>
        <v>2026//3/30</v>
      </c>
      <c r="ML63" s="263">
        <v>221625.53</v>
      </c>
      <c r="MM63" s="12">
        <f t="shared" si="180"/>
        <v>222105.53</v>
      </c>
      <c r="MN63" s="12">
        <f t="shared" si="181"/>
        <v>-480</v>
      </c>
      <c r="MO63" s="199">
        <f t="shared" si="182"/>
        <v>-0.00216113484432378</v>
      </c>
      <c r="MP63" s="192"/>
      <c r="MQ63" s="201"/>
      <c r="MR63" s="201"/>
      <c r="MT63" s="8" t="str">
        <f t="shared" si="183"/>
        <v>2026//3/30</v>
      </c>
      <c r="MU63" s="262">
        <v>304114.8</v>
      </c>
      <c r="MV63" s="204">
        <f t="shared" si="184"/>
        <v>307214.8</v>
      </c>
      <c r="MW63" s="8">
        <f t="shared" si="185"/>
        <v>-3100</v>
      </c>
      <c r="MX63" s="192">
        <f t="shared" si="186"/>
        <v>-0.0100906596947803</v>
      </c>
      <c r="MY63" s="192"/>
      <c r="MZ63" s="192"/>
      <c r="NA63" s="192"/>
      <c r="NC63" s="8" t="str">
        <f t="shared" si="187"/>
        <v>2026//3/30</v>
      </c>
      <c r="ND63" s="262">
        <v>44491.48</v>
      </c>
      <c r="NE63" s="204">
        <f t="shared" si="188"/>
        <v>44091.48</v>
      </c>
      <c r="NF63" s="8">
        <f t="shared" si="189"/>
        <v>400</v>
      </c>
      <c r="NG63" s="192">
        <f t="shared" si="190"/>
        <v>0.00907204747946769</v>
      </c>
      <c r="NH63" s="192"/>
      <c r="NI63" s="192"/>
      <c r="NJ63" s="192"/>
      <c r="NK63" s="192"/>
      <c r="NM63" s="8" t="str">
        <f t="shared" si="191"/>
        <v>2026//3/30</v>
      </c>
      <c r="NN63" s="262">
        <v>2603811.08</v>
      </c>
      <c r="NO63" s="8">
        <f t="shared" si="192"/>
        <v>2613411.08</v>
      </c>
      <c r="NP63" s="210">
        <f t="shared" si="193"/>
        <v>-9600</v>
      </c>
      <c r="NQ63" s="211">
        <f t="shared" si="194"/>
        <v>-0.00367336010529197</v>
      </c>
      <c r="NR63" s="192"/>
      <c r="NU63" s="8" t="str">
        <f t="shared" si="195"/>
        <v>2026//3/30</v>
      </c>
      <c r="NV63" s="262">
        <v>248726.5</v>
      </c>
      <c r="NW63" s="205">
        <f t="shared" si="196"/>
        <v>248326.5</v>
      </c>
      <c r="NX63" s="210">
        <f t="shared" si="197"/>
        <v>400</v>
      </c>
      <c r="NY63" s="211">
        <f t="shared" si="198"/>
        <v>0.00161078257858102</v>
      </c>
      <c r="NZ63" s="201"/>
      <c r="OA63" s="200"/>
      <c r="OC63" s="8" t="str">
        <f t="shared" si="199"/>
        <v>2026//3/30</v>
      </c>
      <c r="OD63" s="262">
        <v>11553.97</v>
      </c>
      <c r="OE63" s="12">
        <f t="shared" si="200"/>
        <v>11294.97</v>
      </c>
      <c r="OF63" s="12">
        <f t="shared" si="201"/>
        <v>259</v>
      </c>
      <c r="OG63" s="199">
        <f t="shared" si="202"/>
        <v>0.0229305611258817</v>
      </c>
      <c r="OH63" s="192"/>
      <c r="OI63" s="192"/>
      <c r="OK63" s="8" t="str">
        <f t="shared" si="203"/>
        <v>2026//3/30</v>
      </c>
      <c r="OL63" s="262">
        <v>11042.65</v>
      </c>
      <c r="OM63" s="12">
        <f t="shared" si="204"/>
        <v>11032.65</v>
      </c>
      <c r="ON63" s="12">
        <f t="shared" si="205"/>
        <v>10</v>
      </c>
      <c r="OO63" s="199">
        <f t="shared" si="206"/>
        <v>0.000906400547465931</v>
      </c>
      <c r="OP63" s="192"/>
      <c r="OQ63" s="192"/>
      <c r="OT63" s="234" t="str">
        <f t="shared" si="207"/>
        <v>2026//3/30</v>
      </c>
      <c r="OU63" s="206">
        <v>143592.4066</v>
      </c>
      <c r="OV63" s="8">
        <f t="shared" si="208"/>
        <v>143472.4066</v>
      </c>
      <c r="OW63" s="191">
        <f t="shared" si="209"/>
        <v>120</v>
      </c>
      <c r="OX63" s="192">
        <f t="shared" si="210"/>
        <v>0.000836397763470708</v>
      </c>
    </row>
    <row r="64" s="9" customFormat="1" ht="17" customHeight="1" spans="1:414">
      <c r="A64" s="212"/>
      <c r="B64" s="212"/>
      <c r="C64" s="212" t="s">
        <v>492</v>
      </c>
      <c r="D64" s="214">
        <v>4516068.77</v>
      </c>
      <c r="E64" s="214">
        <f t="shared" si="8"/>
        <v>4515168.77</v>
      </c>
      <c r="F64" s="214">
        <f t="shared" si="9"/>
        <v>900</v>
      </c>
      <c r="G64" s="215">
        <f t="shared" si="10"/>
        <v>0.000199328097319383</v>
      </c>
      <c r="H64" s="216">
        <f>(D64-D69)/D69</f>
        <v>0.00538975093377658</v>
      </c>
      <c r="I64" s="215"/>
      <c r="J64" s="215"/>
      <c r="K64" s="9" t="str">
        <f t="shared" si="11"/>
        <v>2026//3/27</v>
      </c>
      <c r="L64" s="264">
        <v>3183994.4</v>
      </c>
      <c r="M64" s="214">
        <f t="shared" si="12"/>
        <v>3179944.4</v>
      </c>
      <c r="N64" s="214">
        <f t="shared" si="13"/>
        <v>4050</v>
      </c>
      <c r="O64" s="215">
        <f t="shared" si="14"/>
        <v>0.00127360717376065</v>
      </c>
      <c r="P64" s="216">
        <f>(L64-L69)/L69</f>
        <v>0.00422950418856536</v>
      </c>
      <c r="Q64" s="215"/>
      <c r="R64" s="214"/>
      <c r="S64" s="9" t="str">
        <f t="shared" si="15"/>
        <v>2026//3/27</v>
      </c>
      <c r="T64" s="264">
        <v>2344206.68</v>
      </c>
      <c r="U64" s="214">
        <f t="shared" si="16"/>
        <v>2351046.68</v>
      </c>
      <c r="V64" s="214">
        <f t="shared" si="17"/>
        <v>-6840</v>
      </c>
      <c r="W64" s="215">
        <f t="shared" si="18"/>
        <v>-0.00290934248910787</v>
      </c>
      <c r="X64" s="216">
        <f>(T64-T69)/T69</f>
        <v>-0.0171686834426324</v>
      </c>
      <c r="Y64" s="215"/>
      <c r="Z64" s="214"/>
      <c r="AA64" s="9" t="str">
        <f t="shared" si="19"/>
        <v>2026//3/27</v>
      </c>
      <c r="AB64" s="264">
        <v>961296.86</v>
      </c>
      <c r="AC64" s="214">
        <f t="shared" si="20"/>
        <v>947656.86</v>
      </c>
      <c r="AD64" s="214">
        <f t="shared" si="21"/>
        <v>13640</v>
      </c>
      <c r="AE64" s="215">
        <f t="shared" si="22"/>
        <v>0.0143933955166008</v>
      </c>
      <c r="AF64" s="216">
        <f>(AB64-AB69)/AB69</f>
        <v>-0.00607954991809874</v>
      </c>
      <c r="AG64" s="215"/>
      <c r="AH64" s="214"/>
      <c r="AI64" s="9" t="str">
        <f t="shared" si="23"/>
        <v>2026//3/27</v>
      </c>
      <c r="AJ64" s="264">
        <v>773721.76</v>
      </c>
      <c r="AK64" s="214">
        <f t="shared" si="24"/>
        <v>763921.76</v>
      </c>
      <c r="AL64" s="214">
        <f t="shared" si="25"/>
        <v>9800</v>
      </c>
      <c r="AM64" s="215">
        <f t="shared" si="26"/>
        <v>0.0128285388807356</v>
      </c>
      <c r="AN64" s="216">
        <f>(AJ64-AJ69)/AJ69</f>
        <v>0.00571932347266507</v>
      </c>
      <c r="AO64" s="216"/>
      <c r="AP64" s="214"/>
      <c r="AQ64" s="9" t="str">
        <f t="shared" si="27"/>
        <v>2026//3/27</v>
      </c>
      <c r="AR64" s="261">
        <v>1561845.49</v>
      </c>
      <c r="AS64" s="214">
        <f t="shared" si="28"/>
        <v>1569445.49</v>
      </c>
      <c r="AT64" s="214">
        <f t="shared" si="29"/>
        <v>-7600</v>
      </c>
      <c r="AU64" s="215">
        <f t="shared" si="30"/>
        <v>-0.0048424746500753</v>
      </c>
      <c r="AV64" s="216">
        <f>(AR64-AR69)/AR69</f>
        <v>0.000192117361883579</v>
      </c>
      <c r="AW64" s="216"/>
      <c r="AX64" s="217"/>
      <c r="AY64" s="217"/>
      <c r="AZ64" s="9" t="str">
        <f t="shared" si="31"/>
        <v>2026//3/27</v>
      </c>
      <c r="BA64" s="261">
        <v>2003511.66</v>
      </c>
      <c r="BB64" s="218">
        <f t="shared" si="32"/>
        <v>2003241.66</v>
      </c>
      <c r="BC64" s="217">
        <f t="shared" si="33"/>
        <v>270</v>
      </c>
      <c r="BD64" s="216">
        <f t="shared" si="34"/>
        <v>0.000134781542033226</v>
      </c>
      <c r="BE64" s="216">
        <f>(BA64-BA69)/BA69</f>
        <v>0.00678387984922661</v>
      </c>
      <c r="BF64" s="216"/>
      <c r="BG64" s="219"/>
      <c r="BH64" s="9" t="str">
        <f t="shared" si="35"/>
        <v>2026//3/27</v>
      </c>
      <c r="BI64" s="261">
        <v>1651826.55</v>
      </c>
      <c r="BJ64" s="221">
        <f t="shared" si="36"/>
        <v>1647926.55</v>
      </c>
      <c r="BK64" s="221">
        <f t="shared" si="37"/>
        <v>3900</v>
      </c>
      <c r="BL64" s="222">
        <f t="shared" si="38"/>
        <v>0.00236661033223841</v>
      </c>
      <c r="BM64" s="223">
        <f>(BI64-BI69)/BI69</f>
        <v>0.0101514985798145</v>
      </c>
      <c r="BN64" s="224"/>
      <c r="BP64" s="9" t="str">
        <f t="shared" si="39"/>
        <v>2026//3/27</v>
      </c>
      <c r="BQ64" s="261">
        <v>1173862.39</v>
      </c>
      <c r="BR64" s="13">
        <f t="shared" si="40"/>
        <v>1179362.39</v>
      </c>
      <c r="BS64" s="13">
        <f t="shared" si="41"/>
        <v>-5500</v>
      </c>
      <c r="BT64" s="226">
        <f t="shared" si="42"/>
        <v>-0.0046635368794489</v>
      </c>
      <c r="BU64" s="224">
        <f>(BQ64-BQ69)/BQ69</f>
        <v>-0.0872430458058882</v>
      </c>
      <c r="BV64" s="224"/>
      <c r="BX64" s="9" t="str">
        <f t="shared" si="43"/>
        <v>2026//3/27</v>
      </c>
      <c r="BY64" s="261">
        <v>3116110.7</v>
      </c>
      <c r="BZ64" s="13">
        <f t="shared" si="44"/>
        <v>3114610.7</v>
      </c>
      <c r="CA64" s="13">
        <f t="shared" si="45"/>
        <v>1500</v>
      </c>
      <c r="CB64" s="226">
        <f t="shared" si="46"/>
        <v>0.000481601119523541</v>
      </c>
      <c r="CC64" s="224">
        <f>(BY64-BY69)/BY69</f>
        <v>-0.0279652813761177</v>
      </c>
      <c r="CD64" s="228"/>
      <c r="CF64" s="9" t="str">
        <f t="shared" si="47"/>
        <v>2026//3/27</v>
      </c>
      <c r="CG64" s="264">
        <v>1397803.9</v>
      </c>
      <c r="CH64" s="13">
        <f t="shared" si="48"/>
        <v>1411903.9</v>
      </c>
      <c r="CI64" s="13">
        <f t="shared" si="49"/>
        <v>-14100</v>
      </c>
      <c r="CJ64" s="226">
        <f t="shared" si="50"/>
        <v>-0.00998651537119488</v>
      </c>
      <c r="CK64" s="224">
        <f>(CG64-CG69)/CG69</f>
        <v>-0.0605865544624736</v>
      </c>
      <c r="CL64" s="228"/>
      <c r="CN64" s="9" t="str">
        <f t="shared" si="51"/>
        <v>2026//3/27</v>
      </c>
      <c r="CO64" s="264">
        <v>661346.48</v>
      </c>
      <c r="CP64" s="13">
        <f t="shared" si="52"/>
        <v>661346.48</v>
      </c>
      <c r="CQ64" s="13">
        <f t="shared" si="53"/>
        <v>0</v>
      </c>
      <c r="CR64" s="226">
        <f t="shared" si="54"/>
        <v>0</v>
      </c>
      <c r="CS64" s="228">
        <f>(CO64-CO69)/CO69</f>
        <v>-0.0884850271756539</v>
      </c>
      <c r="CT64" s="228"/>
      <c r="CV64" s="9" t="str">
        <f t="shared" si="55"/>
        <v>2026//3/27</v>
      </c>
      <c r="CW64" s="264">
        <v>545040.4</v>
      </c>
      <c r="CX64" s="13">
        <f t="shared" si="56"/>
        <v>546440.4</v>
      </c>
      <c r="CY64" s="13">
        <f t="shared" si="57"/>
        <v>-1400</v>
      </c>
      <c r="CZ64" s="226">
        <f t="shared" si="58"/>
        <v>-0.00256203604272305</v>
      </c>
      <c r="DA64" s="224">
        <f>(CW64-CW69)/CW69</f>
        <v>-0.074462073078454</v>
      </c>
      <c r="DB64" s="224"/>
      <c r="DC64" s="276" t="s">
        <v>493</v>
      </c>
      <c r="DD64" s="9" t="str">
        <f t="shared" si="59"/>
        <v>2026//3/27</v>
      </c>
      <c r="DE64" s="261">
        <v>2357117.99</v>
      </c>
      <c r="DF64" s="13">
        <f t="shared" si="60"/>
        <v>2401717.98</v>
      </c>
      <c r="DG64" s="13">
        <f t="shared" si="61"/>
        <v>-44599.9899999998</v>
      </c>
      <c r="DH64" s="226">
        <f t="shared" si="62"/>
        <v>-0.0185700362704533</v>
      </c>
      <c r="DI64" s="224">
        <f>(DE64-DE69)/DE69</f>
        <v>-0.0229635552809433</v>
      </c>
      <c r="DJ64" s="224"/>
      <c r="DL64" s="9" t="str">
        <f t="shared" si="63"/>
        <v>2026//3/27</v>
      </c>
      <c r="DM64" s="264">
        <v>1399500.36</v>
      </c>
      <c r="DN64" s="13">
        <f t="shared" si="64"/>
        <v>1406900.36</v>
      </c>
      <c r="DO64" s="13">
        <f t="shared" si="65"/>
        <v>-7400</v>
      </c>
      <c r="DP64" s="226">
        <f t="shared" si="66"/>
        <v>-0.00525978968403988</v>
      </c>
      <c r="DQ64" s="224">
        <f>(DM64-DM69)/DM69</f>
        <v>-0.00962422796353969</v>
      </c>
      <c r="DR64" s="224"/>
      <c r="DT64" s="9" t="str">
        <f t="shared" si="67"/>
        <v>2026//3/27</v>
      </c>
      <c r="DU64" s="264">
        <v>1680089.48</v>
      </c>
      <c r="DV64" s="13">
        <f t="shared" si="68"/>
        <v>1684589.48</v>
      </c>
      <c r="DW64" s="13">
        <f t="shared" si="69"/>
        <v>-4500</v>
      </c>
      <c r="DX64" s="226">
        <f t="shared" si="70"/>
        <v>-0.00267127395334322</v>
      </c>
      <c r="DY64" s="224">
        <f>(DU64-DU69)/DU69</f>
        <v>-0.0194351607668328</v>
      </c>
      <c r="DZ64" s="224"/>
      <c r="EB64" s="9" t="str">
        <f t="shared" si="71"/>
        <v>2026//3/27</v>
      </c>
      <c r="EC64" s="264">
        <v>5140766.82</v>
      </c>
      <c r="ED64" s="13">
        <f t="shared" si="72"/>
        <v>5140766.82</v>
      </c>
      <c r="EE64" s="13">
        <f t="shared" si="73"/>
        <v>0</v>
      </c>
      <c r="EF64" s="226">
        <f t="shared" si="74"/>
        <v>0</v>
      </c>
      <c r="EG64" s="224">
        <f>(EC64-EC69)/EC69</f>
        <v>0.0106157804968933</v>
      </c>
      <c r="EH64" s="224"/>
      <c r="EJ64" s="9" t="str">
        <f t="shared" si="75"/>
        <v>2026//3/27</v>
      </c>
      <c r="EK64" s="261">
        <v>1549122.96</v>
      </c>
      <c r="EL64" s="13">
        <f t="shared" si="76"/>
        <v>1543922.96</v>
      </c>
      <c r="EM64" s="13">
        <f t="shared" si="77"/>
        <v>5200</v>
      </c>
      <c r="EN64" s="226">
        <f t="shared" si="78"/>
        <v>0.00336804370083336</v>
      </c>
      <c r="EO64" s="224">
        <f>(EK64-EK69)/EK69</f>
        <v>-0.0114860163876356</v>
      </c>
      <c r="EP64" s="224"/>
      <c r="ER64" s="9" t="str">
        <f t="shared" si="79"/>
        <v>2026//3/27</v>
      </c>
      <c r="ES64" s="264">
        <v>536447.02</v>
      </c>
      <c r="ET64" s="13">
        <f t="shared" si="80"/>
        <v>535847.02</v>
      </c>
      <c r="EU64" s="13">
        <f t="shared" si="81"/>
        <v>600</v>
      </c>
      <c r="EV64" s="226">
        <f t="shared" si="82"/>
        <v>0.00111972256559344</v>
      </c>
      <c r="EW64" s="224">
        <f>(ES64-ES69)/ES69</f>
        <v>-0.0175809035639458</v>
      </c>
      <c r="EX64" s="224"/>
      <c r="EZ64" s="9" t="str">
        <f t="shared" si="83"/>
        <v>2026//3/27</v>
      </c>
      <c r="FA64" s="264">
        <v>747208</v>
      </c>
      <c r="FB64" s="13">
        <f t="shared" si="84"/>
        <v>748808</v>
      </c>
      <c r="FC64" s="13">
        <f t="shared" si="85"/>
        <v>-1600</v>
      </c>
      <c r="FD64" s="226">
        <f t="shared" si="86"/>
        <v>-0.00213672930844756</v>
      </c>
      <c r="FE64" s="224">
        <f>(FA64-FA69)/FA69</f>
        <v>-0.0096751790570809</v>
      </c>
      <c r="FF64" s="224"/>
      <c r="FH64" s="9" t="str">
        <f t="shared" si="87"/>
        <v>2026//3/27</v>
      </c>
      <c r="FI64" s="261">
        <v>1090695.33</v>
      </c>
      <c r="FJ64" s="13">
        <f t="shared" si="88"/>
        <v>1102595.33</v>
      </c>
      <c r="FK64" s="13">
        <f t="shared" si="89"/>
        <v>-11900</v>
      </c>
      <c r="FL64" s="226">
        <f t="shared" si="90"/>
        <v>-0.0107927175784429</v>
      </c>
      <c r="FM64" s="228">
        <f>(FI64-FI69)/FI69</f>
        <v>-0.031177958430508</v>
      </c>
      <c r="FN64" s="228"/>
      <c r="FP64" s="9" t="str">
        <f t="shared" si="91"/>
        <v>2026//3/27</v>
      </c>
      <c r="FQ64" s="264">
        <v>2294668.73</v>
      </c>
      <c r="FR64" s="13">
        <f t="shared" si="92"/>
        <v>2296768.73</v>
      </c>
      <c r="FS64" s="13">
        <f t="shared" si="93"/>
        <v>-2100</v>
      </c>
      <c r="FT64" s="226">
        <f t="shared" si="94"/>
        <v>-0.000914328017692926</v>
      </c>
      <c r="FU64" s="224">
        <f>(FQ64-FQ69)/FQ69</f>
        <v>-0.0020223381557893</v>
      </c>
      <c r="FV64" s="224"/>
      <c r="FX64" s="9" t="str">
        <f t="shared" si="95"/>
        <v>2026//3/27</v>
      </c>
      <c r="FY64" s="264">
        <v>8541082.05</v>
      </c>
      <c r="FZ64" s="13">
        <f t="shared" si="96"/>
        <v>8577882.05</v>
      </c>
      <c r="GA64" s="13">
        <f t="shared" si="97"/>
        <v>-36800</v>
      </c>
      <c r="GB64" s="226">
        <f t="shared" si="98"/>
        <v>-0.00429010328954104</v>
      </c>
      <c r="GC64" s="224">
        <f>(FY64-FY69)/FY69</f>
        <v>0.0181066520066757</v>
      </c>
      <c r="GD64" s="224"/>
      <c r="GF64" s="9" t="str">
        <f t="shared" si="99"/>
        <v>2026//3/27</v>
      </c>
      <c r="GG64" s="264">
        <v>4758269.49</v>
      </c>
      <c r="GH64" s="13">
        <f t="shared" si="100"/>
        <v>4802469.49</v>
      </c>
      <c r="GI64" s="13">
        <f t="shared" si="101"/>
        <v>-44200</v>
      </c>
      <c r="GJ64" s="226">
        <f t="shared" si="102"/>
        <v>-0.00920359829292742</v>
      </c>
      <c r="GK64" s="224">
        <f>(GG64-GG69)/GG69</f>
        <v>-0.00021011627984109</v>
      </c>
      <c r="GL64" s="224"/>
      <c r="GN64" s="9" t="str">
        <f t="shared" si="103"/>
        <v>2026//3/27</v>
      </c>
      <c r="GO64" s="261">
        <v>1839718.12</v>
      </c>
      <c r="GP64" s="13">
        <f t="shared" si="104"/>
        <v>1838998.12</v>
      </c>
      <c r="GQ64" s="13">
        <f t="shared" si="105"/>
        <v>720</v>
      </c>
      <c r="GR64" s="226">
        <f t="shared" si="106"/>
        <v>0.000391517529120693</v>
      </c>
      <c r="GS64" s="224">
        <f>(GO64-GO69)/GO69</f>
        <v>0.0057071693395644</v>
      </c>
      <c r="GT64" s="224"/>
      <c r="GV64" s="9" t="str">
        <f t="shared" si="107"/>
        <v>2026//3/27</v>
      </c>
      <c r="GW64" s="264">
        <v>1053749.4</v>
      </c>
      <c r="GX64" s="13">
        <f t="shared" si="108"/>
        <v>1049349.4</v>
      </c>
      <c r="GY64" s="13">
        <f t="shared" si="109"/>
        <v>4400</v>
      </c>
      <c r="GZ64" s="226">
        <f t="shared" si="110"/>
        <v>0.00419307429918005</v>
      </c>
      <c r="HA64" s="224">
        <f>(GW64-GW69)/GW69</f>
        <v>0.00611066373838557</v>
      </c>
      <c r="HB64" s="224"/>
      <c r="HD64" s="9" t="str">
        <f t="shared" si="111"/>
        <v>2026//3/27</v>
      </c>
      <c r="HE64" s="261">
        <v>1065764.67</v>
      </c>
      <c r="HF64" s="13">
        <f t="shared" si="112"/>
        <v>1057064.67</v>
      </c>
      <c r="HG64" s="13">
        <f t="shared" si="113"/>
        <v>8700</v>
      </c>
      <c r="HH64" s="226">
        <f t="shared" si="114"/>
        <v>0.0082303384522349</v>
      </c>
      <c r="HI64" s="228">
        <f>(HE64-HE69)/HE69</f>
        <v>0.0231360443471697</v>
      </c>
      <c r="HJ64" s="224"/>
      <c r="HL64" s="9" t="str">
        <f t="shared" si="115"/>
        <v>2026//3/27</v>
      </c>
      <c r="HM64" s="264">
        <v>159054.25</v>
      </c>
      <c r="HN64" s="13">
        <f t="shared" si="116"/>
        <v>159054.25</v>
      </c>
      <c r="HO64" s="13">
        <f t="shared" si="117"/>
        <v>0</v>
      </c>
      <c r="HP64" s="226">
        <f t="shared" si="118"/>
        <v>0</v>
      </c>
      <c r="HQ64" s="224">
        <f>(HM64-HM69)/HM69</f>
        <v>0.0215151481093162</v>
      </c>
      <c r="HR64" s="224"/>
      <c r="HT64" s="9" t="str">
        <f t="shared" si="119"/>
        <v>2026//3/27</v>
      </c>
      <c r="HU64" s="261">
        <v>237868.82</v>
      </c>
      <c r="HV64" s="13">
        <f t="shared" si="120"/>
        <v>236468.82</v>
      </c>
      <c r="HW64" s="13">
        <f t="shared" si="121"/>
        <v>1400</v>
      </c>
      <c r="HX64" s="226">
        <f t="shared" si="122"/>
        <v>0.00592044228072014</v>
      </c>
      <c r="HY64" s="224">
        <f>(HU64-HU69)/HU69</f>
        <v>-0.0696213171398843</v>
      </c>
      <c r="HZ64" s="224"/>
      <c r="IB64" s="9" t="str">
        <f t="shared" si="123"/>
        <v>2026//3/27</v>
      </c>
      <c r="IC64" s="264">
        <v>457184.79</v>
      </c>
      <c r="ID64" s="13">
        <f t="shared" si="124"/>
        <v>458434.79</v>
      </c>
      <c r="IE64" s="13">
        <f t="shared" si="125"/>
        <v>-1250</v>
      </c>
      <c r="IF64" s="226">
        <f t="shared" si="126"/>
        <v>-0.00272666915178929</v>
      </c>
      <c r="IG64" s="228">
        <f>(IC64-IC69)/IC69</f>
        <v>-0.0405553052750501</v>
      </c>
      <c r="IH64" s="224"/>
      <c r="IJ64" s="9" t="str">
        <f t="shared" si="127"/>
        <v>2026//3/27</v>
      </c>
      <c r="IK64" s="261">
        <v>616636.29</v>
      </c>
      <c r="IL64" s="13">
        <f t="shared" si="128"/>
        <v>574316.29</v>
      </c>
      <c r="IM64" s="13">
        <f t="shared" si="129"/>
        <v>42320</v>
      </c>
      <c r="IN64" s="226">
        <f t="shared" si="130"/>
        <v>0.0736876190644009</v>
      </c>
      <c r="IO64" s="224">
        <f>(IK64-IK69)/IK69</f>
        <v>0.13670643559371</v>
      </c>
      <c r="IP64" s="224"/>
      <c r="IR64" s="9" t="str">
        <f t="shared" si="131"/>
        <v>2026//3/27</v>
      </c>
      <c r="IS64" s="264">
        <v>142789</v>
      </c>
      <c r="IT64" s="13">
        <f t="shared" si="132"/>
        <v>142889</v>
      </c>
      <c r="IU64" s="13">
        <f t="shared" si="133"/>
        <v>-100</v>
      </c>
      <c r="IV64" s="226">
        <f t="shared" si="134"/>
        <v>-0.000699843934802539</v>
      </c>
      <c r="IW64" s="224">
        <f>(IS64-IS69)/IS69</f>
        <v>-0.0232575638385925</v>
      </c>
      <c r="IX64" s="224"/>
      <c r="IZ64" s="9" t="str">
        <f t="shared" si="135"/>
        <v>2026//3/27</v>
      </c>
      <c r="JA64" s="264">
        <v>5041629.15</v>
      </c>
      <c r="JB64" s="13">
        <f t="shared" si="136"/>
        <v>5046829.15</v>
      </c>
      <c r="JC64" s="13">
        <f t="shared" si="137"/>
        <v>-5200</v>
      </c>
      <c r="JD64" s="226">
        <f t="shared" si="138"/>
        <v>-0.0010303499178291</v>
      </c>
      <c r="JE64" s="224">
        <f>(JA64-JA69)/JA69</f>
        <v>0.0023460041381326</v>
      </c>
      <c r="JF64" s="224"/>
      <c r="JH64" s="9" t="str">
        <f t="shared" si="139"/>
        <v>2026//3/27</v>
      </c>
      <c r="JI64" s="264">
        <v>1532247.99</v>
      </c>
      <c r="JJ64" s="13">
        <f t="shared" si="140"/>
        <v>1542987.99</v>
      </c>
      <c r="JK64" s="13">
        <f t="shared" si="141"/>
        <v>-10740</v>
      </c>
      <c r="JL64" s="226">
        <f t="shared" si="142"/>
        <v>-0.00696052080094285</v>
      </c>
      <c r="JM64" s="224">
        <f>(JI64-JI69)/JI69</f>
        <v>0.0053936017277478</v>
      </c>
      <c r="JN64" s="224"/>
      <c r="JP64" s="9" t="str">
        <f t="shared" si="143"/>
        <v>2026//3/27</v>
      </c>
      <c r="JQ64" s="261">
        <v>1054490.41</v>
      </c>
      <c r="JR64" s="13">
        <f t="shared" si="144"/>
        <v>1060090.41</v>
      </c>
      <c r="JS64" s="13">
        <f t="shared" si="145"/>
        <v>-5600</v>
      </c>
      <c r="JT64" s="226">
        <f t="shared" si="146"/>
        <v>-0.00528256830471658</v>
      </c>
      <c r="JU64" s="224">
        <f>(JQ64-JQ69)/JQ69</f>
        <v>-0.0255962349546232</v>
      </c>
      <c r="JV64" s="228"/>
      <c r="JX64" s="9" t="str">
        <f t="shared" si="147"/>
        <v>2026//3/27</v>
      </c>
      <c r="JY64" s="264">
        <v>1266998.8</v>
      </c>
      <c r="JZ64" s="13">
        <f t="shared" si="148"/>
        <v>1272448.8</v>
      </c>
      <c r="KA64" s="13">
        <f t="shared" si="149"/>
        <v>-5450</v>
      </c>
      <c r="KB64" s="226">
        <f t="shared" si="150"/>
        <v>-0.00428307999504577</v>
      </c>
      <c r="KC64" s="224">
        <f>(JY64-JY69)/JY69</f>
        <v>-0.00728669493381957</v>
      </c>
      <c r="KD64" s="228"/>
      <c r="KF64" s="9" t="str">
        <f t="shared" si="151"/>
        <v>2026//3/27</v>
      </c>
      <c r="KG64" s="261">
        <v>732555.92</v>
      </c>
      <c r="KH64" s="13">
        <f t="shared" si="152"/>
        <v>734555.92</v>
      </c>
      <c r="KI64" s="13">
        <f t="shared" si="153"/>
        <v>-2000</v>
      </c>
      <c r="KJ64" s="226">
        <f t="shared" si="154"/>
        <v>-0.002722733485015</v>
      </c>
      <c r="KK64" s="228">
        <f>(KG64-KG69)/KG69</f>
        <v>-0.0306977416729994</v>
      </c>
      <c r="KL64" s="228"/>
      <c r="KN64" s="9" t="str">
        <f t="shared" si="155"/>
        <v>2026//3/27</v>
      </c>
      <c r="KO64" s="264">
        <v>8184775.95</v>
      </c>
      <c r="KP64" s="13">
        <f t="shared" si="156"/>
        <v>8184775.95</v>
      </c>
      <c r="KQ64" s="13">
        <f t="shared" si="157"/>
        <v>0</v>
      </c>
      <c r="KR64" s="226">
        <f t="shared" si="158"/>
        <v>0</v>
      </c>
      <c r="KS64" s="224">
        <f>(KO64-KO69)/KO69</f>
        <v>0.00685194729912691</v>
      </c>
      <c r="KT64" s="224"/>
      <c r="KV64" s="9" t="str">
        <f t="shared" si="159"/>
        <v>2026//3/27</v>
      </c>
      <c r="KW64" s="261">
        <v>1013972.97</v>
      </c>
      <c r="KX64" s="13">
        <f t="shared" si="160"/>
        <v>1034572.97</v>
      </c>
      <c r="KY64" s="13">
        <f t="shared" si="161"/>
        <v>-20600</v>
      </c>
      <c r="KZ64" s="226">
        <f t="shared" si="162"/>
        <v>-0.0199115969557952</v>
      </c>
      <c r="LA64" s="228">
        <f>(KW64-KW69)/KW69</f>
        <v>0.00266990227178721</v>
      </c>
      <c r="LB64" s="224"/>
      <c r="LD64" s="9" t="str">
        <f t="shared" si="163"/>
        <v>2026//3/27</v>
      </c>
      <c r="LE64" s="264">
        <v>449557.7</v>
      </c>
      <c r="LF64" s="13">
        <f t="shared" si="164"/>
        <v>448157.7</v>
      </c>
      <c r="LG64" s="13">
        <f t="shared" si="165"/>
        <v>1400</v>
      </c>
      <c r="LH64" s="226">
        <f t="shared" si="166"/>
        <v>0.0031239003591816</v>
      </c>
      <c r="LI64" s="224">
        <f>(LE64-LE69)/LE69</f>
        <v>-0.0630460911736098</v>
      </c>
      <c r="LJ64" s="224"/>
      <c r="LL64" s="9" t="str">
        <f t="shared" si="167"/>
        <v>2026//3/27</v>
      </c>
      <c r="LM64" s="264">
        <v>3595435.02</v>
      </c>
      <c r="LN64" s="13">
        <f t="shared" si="168"/>
        <v>3601735.02</v>
      </c>
      <c r="LO64" s="13">
        <f t="shared" si="169"/>
        <v>-6300</v>
      </c>
      <c r="LP64" s="226">
        <f t="shared" si="170"/>
        <v>-0.00174915699378684</v>
      </c>
      <c r="LQ64" s="224">
        <f>(LM64-LM69)/LM69</f>
        <v>0.00528444427198703</v>
      </c>
      <c r="LR64" s="224"/>
      <c r="LT64" s="9" t="str">
        <f t="shared" si="171"/>
        <v>2026//3/27</v>
      </c>
      <c r="LU64" s="261">
        <v>2713262.9</v>
      </c>
      <c r="LV64" s="13">
        <f t="shared" si="172"/>
        <v>2727062.9</v>
      </c>
      <c r="LW64" s="13">
        <f t="shared" si="173"/>
        <v>-13800</v>
      </c>
      <c r="LX64" s="226">
        <f t="shared" si="174"/>
        <v>-0.00506038932948705</v>
      </c>
      <c r="LY64" s="224">
        <f>(LU64-LU69)/LU69</f>
        <v>-0.0122321357938906</v>
      </c>
      <c r="LZ64" s="224"/>
      <c r="MB64" s="9" t="str">
        <f t="shared" si="175"/>
        <v>2026//3/27</v>
      </c>
      <c r="MC64" s="264">
        <v>856617.69</v>
      </c>
      <c r="MD64" s="13">
        <f t="shared" si="176"/>
        <v>848867.69</v>
      </c>
      <c r="ME64" s="13">
        <f t="shared" si="177"/>
        <v>7750</v>
      </c>
      <c r="MF64" s="226">
        <f t="shared" si="178"/>
        <v>0.00912980914611086</v>
      </c>
      <c r="MG64" s="224">
        <f>(MC64-MC69)/MC69</f>
        <v>0.0821786952926287</v>
      </c>
      <c r="MH64" s="224"/>
      <c r="MI64" s="9"/>
      <c r="MJ64" s="9"/>
      <c r="MK64" s="9" t="str">
        <f t="shared" si="179"/>
        <v>2026//3/27</v>
      </c>
      <c r="ML64" s="261">
        <v>222105.53</v>
      </c>
      <c r="MM64" s="13">
        <f t="shared" si="180"/>
        <v>223185.53</v>
      </c>
      <c r="MN64" s="13">
        <f t="shared" si="181"/>
        <v>-1080</v>
      </c>
      <c r="MO64" s="226">
        <f t="shared" si="182"/>
        <v>-0.00483902339009164</v>
      </c>
      <c r="MP64" s="224">
        <f>(ML64-ML69)/ML69</f>
        <v>-0.0303843184087977</v>
      </c>
      <c r="MQ64" s="228"/>
      <c r="MR64" s="228"/>
      <c r="MT64" s="9" t="str">
        <f t="shared" si="183"/>
        <v>2026//3/27</v>
      </c>
      <c r="MU64" s="264">
        <v>307214.8</v>
      </c>
      <c r="MV64" s="231">
        <f t="shared" si="184"/>
        <v>313814.8</v>
      </c>
      <c r="MW64" s="9">
        <f t="shared" si="185"/>
        <v>-6600</v>
      </c>
      <c r="MX64" s="224">
        <f t="shared" si="186"/>
        <v>-0.0210315128540783</v>
      </c>
      <c r="MY64" s="224">
        <f>(MU64-MU69)/MU69</f>
        <v>-0.158810650608902</v>
      </c>
      <c r="MZ64" s="224"/>
      <c r="NA64" s="224"/>
      <c r="NC64" s="9" t="str">
        <f t="shared" si="187"/>
        <v>2026//3/27</v>
      </c>
      <c r="ND64" s="264">
        <v>44091.48</v>
      </c>
      <c r="NE64" s="231">
        <f t="shared" si="188"/>
        <v>44091.48</v>
      </c>
      <c r="NF64" s="9">
        <f t="shared" si="189"/>
        <v>0</v>
      </c>
      <c r="NG64" s="224">
        <f t="shared" si="190"/>
        <v>0</v>
      </c>
      <c r="NH64" s="224">
        <f>(ND64-ND69)/ND69</f>
        <v>-0.0637057913660815</v>
      </c>
      <c r="NI64" s="224"/>
      <c r="NJ64" s="224"/>
      <c r="NK64" s="224"/>
      <c r="NM64" s="9" t="str">
        <f t="shared" si="191"/>
        <v>2026//3/27</v>
      </c>
      <c r="NN64" s="264">
        <v>2613411.08</v>
      </c>
      <c r="NO64" s="9">
        <f t="shared" si="192"/>
        <v>2622011.08</v>
      </c>
      <c r="NP64" s="9">
        <f t="shared" si="193"/>
        <v>-8600</v>
      </c>
      <c r="NQ64" s="224">
        <f t="shared" si="194"/>
        <v>-0.00327992511763146</v>
      </c>
      <c r="NR64" s="224">
        <f>(NN64-NN69)/NN69</f>
        <v>0.00230113312243806</v>
      </c>
      <c r="NU64" s="9" t="str">
        <f t="shared" si="195"/>
        <v>2026//3/27</v>
      </c>
      <c r="NV64" s="264">
        <v>248326.5</v>
      </c>
      <c r="NW64" s="232">
        <f t="shared" si="196"/>
        <v>249926.5</v>
      </c>
      <c r="NX64" s="9">
        <f t="shared" si="197"/>
        <v>-1600</v>
      </c>
      <c r="NY64" s="224">
        <f t="shared" si="198"/>
        <v>-0.00640188215335309</v>
      </c>
      <c r="NZ64" s="228">
        <f>(NV64-NV69)/NV69</f>
        <v>0.0180382205295448</v>
      </c>
      <c r="OA64" s="227"/>
      <c r="OC64" s="9" t="str">
        <f t="shared" si="199"/>
        <v>2026//3/27</v>
      </c>
      <c r="OD64" s="264">
        <v>11294.97</v>
      </c>
      <c r="OE64" s="13">
        <f t="shared" si="200"/>
        <v>11356.97</v>
      </c>
      <c r="OF64" s="13">
        <f t="shared" si="201"/>
        <v>-62</v>
      </c>
      <c r="OG64" s="226">
        <f t="shared" si="202"/>
        <v>-0.00545920258660541</v>
      </c>
      <c r="OH64" s="224">
        <f>(OD64-OD69)/OD69</f>
        <v>-0.0129337051482264</v>
      </c>
      <c r="OI64" s="224"/>
      <c r="OK64" s="9" t="str">
        <f t="shared" si="203"/>
        <v>2026//3/27</v>
      </c>
      <c r="OL64" s="264">
        <v>11032.65</v>
      </c>
      <c r="OM64" s="13">
        <f t="shared" si="204"/>
        <v>11033.65</v>
      </c>
      <c r="ON64" s="13">
        <f t="shared" si="205"/>
        <v>-1</v>
      </c>
      <c r="OO64" s="226">
        <f t="shared" si="206"/>
        <v>-9.06318398716653e-5</v>
      </c>
      <c r="OP64" s="224">
        <f>(OL64-OL69)/OL69</f>
        <v>0.00804045812337535</v>
      </c>
      <c r="OQ64" s="224"/>
      <c r="OT64" s="234" t="str">
        <f t="shared" si="207"/>
        <v>2026//3/27</v>
      </c>
      <c r="OU64" s="206">
        <v>143472.4066</v>
      </c>
      <c r="OV64" s="8">
        <f t="shared" si="208"/>
        <v>143352.4066</v>
      </c>
      <c r="OW64" s="191">
        <f t="shared" si="209"/>
        <v>120</v>
      </c>
      <c r="OX64" s="192">
        <f t="shared" si="210"/>
        <v>0.000837097910290681</v>
      </c>
    </row>
    <row r="65" s="8" customFormat="1" ht="17" customHeight="1" spans="1:414">
      <c r="A65" s="15"/>
      <c r="B65" s="15"/>
      <c r="C65" s="15" t="s">
        <v>494</v>
      </c>
      <c r="D65" s="19">
        <v>4515168.77</v>
      </c>
      <c r="E65" s="19">
        <f t="shared" si="8"/>
        <v>4523178.77</v>
      </c>
      <c r="F65" s="19">
        <f t="shared" si="9"/>
        <v>-8010</v>
      </c>
      <c r="G65" s="172">
        <f t="shared" si="10"/>
        <v>-0.00177087849216271</v>
      </c>
      <c r="H65" s="18"/>
      <c r="I65" s="172"/>
      <c r="J65" s="172"/>
      <c r="K65" s="8" t="str">
        <f t="shared" si="11"/>
        <v>2026//3/26</v>
      </c>
      <c r="L65" s="19">
        <v>3179944.4</v>
      </c>
      <c r="M65" s="19">
        <f t="shared" si="12"/>
        <v>3183634.4</v>
      </c>
      <c r="N65" s="19">
        <f t="shared" si="13"/>
        <v>-3690</v>
      </c>
      <c r="O65" s="172">
        <f t="shared" si="14"/>
        <v>-0.00115905268519526</v>
      </c>
      <c r="P65" s="18"/>
      <c r="Q65" s="172"/>
      <c r="R65" s="19"/>
      <c r="S65" s="8" t="str">
        <f t="shared" si="15"/>
        <v>2026//3/26</v>
      </c>
      <c r="T65" s="19">
        <v>2351046.68</v>
      </c>
      <c r="U65" s="19">
        <f t="shared" si="16"/>
        <v>2349426.68</v>
      </c>
      <c r="V65" s="19">
        <f t="shared" si="17"/>
        <v>1620</v>
      </c>
      <c r="W65" s="172">
        <f t="shared" si="18"/>
        <v>0.000689529923955746</v>
      </c>
      <c r="X65" s="18"/>
      <c r="Y65" s="172"/>
      <c r="Z65" s="19"/>
      <c r="AA65" s="8" t="str">
        <f t="shared" si="19"/>
        <v>2026//3/26</v>
      </c>
      <c r="AB65" s="19">
        <v>947656.86</v>
      </c>
      <c r="AC65" s="19">
        <f t="shared" si="20"/>
        <v>961016.86</v>
      </c>
      <c r="AD65" s="19">
        <f t="shared" si="21"/>
        <v>-13360</v>
      </c>
      <c r="AE65" s="172">
        <f t="shared" si="22"/>
        <v>-0.013901941324942</v>
      </c>
      <c r="AF65" s="18"/>
      <c r="AG65" s="172"/>
      <c r="AH65" s="19"/>
      <c r="AI65" s="8" t="str">
        <f t="shared" si="23"/>
        <v>2026//3/26</v>
      </c>
      <c r="AJ65" s="19">
        <v>763921.76</v>
      </c>
      <c r="AK65" s="19">
        <f t="shared" si="24"/>
        <v>782121.76</v>
      </c>
      <c r="AL65" s="19">
        <f t="shared" si="25"/>
        <v>-18200</v>
      </c>
      <c r="AM65" s="172">
        <f t="shared" si="26"/>
        <v>-0.0232700340673299</v>
      </c>
      <c r="AN65" s="18"/>
      <c r="AO65" s="18"/>
      <c r="AP65" s="19"/>
      <c r="AQ65" s="8" t="str">
        <f t="shared" si="27"/>
        <v>2026//3/26</v>
      </c>
      <c r="AR65" s="21">
        <v>1569445.49</v>
      </c>
      <c r="AS65" s="19">
        <f t="shared" si="28"/>
        <v>1556845.49</v>
      </c>
      <c r="AT65" s="19">
        <f t="shared" si="29"/>
        <v>12600</v>
      </c>
      <c r="AU65" s="172">
        <f t="shared" si="30"/>
        <v>0.00809328869238013</v>
      </c>
      <c r="AV65" s="18"/>
      <c r="AW65" s="18"/>
      <c r="AX65" s="17"/>
      <c r="AY65" s="17"/>
      <c r="AZ65" s="8" t="str">
        <f t="shared" si="31"/>
        <v>2026//3/26</v>
      </c>
      <c r="BA65" s="255">
        <v>2003241.66</v>
      </c>
      <c r="BB65" s="129">
        <f t="shared" si="32"/>
        <v>2004051.66</v>
      </c>
      <c r="BC65" s="17">
        <f t="shared" si="33"/>
        <v>-810</v>
      </c>
      <c r="BD65" s="18">
        <f t="shared" si="34"/>
        <v>-0.000404181197604457</v>
      </c>
      <c r="BE65" s="18"/>
      <c r="BF65" s="18"/>
      <c r="BG65" s="74"/>
      <c r="BH65" s="8" t="str">
        <f t="shared" si="35"/>
        <v>2026//3/26</v>
      </c>
      <c r="BI65" s="256">
        <v>1647926.55</v>
      </c>
      <c r="BJ65" s="195">
        <f t="shared" si="36"/>
        <v>1624526.55</v>
      </c>
      <c r="BK65" s="195">
        <f t="shared" si="37"/>
        <v>23400</v>
      </c>
      <c r="BL65" s="196">
        <f t="shared" si="38"/>
        <v>0.0144041967181146</v>
      </c>
      <c r="BM65" s="197"/>
      <c r="BN65" s="192"/>
      <c r="BP65" s="8" t="str">
        <f t="shared" si="39"/>
        <v>2026//3/26</v>
      </c>
      <c r="BQ65" s="198">
        <v>1179362.39</v>
      </c>
      <c r="BR65" s="12">
        <f t="shared" si="40"/>
        <v>1177762.39</v>
      </c>
      <c r="BS65" s="12">
        <f t="shared" si="41"/>
        <v>1600</v>
      </c>
      <c r="BT65" s="199">
        <f t="shared" si="42"/>
        <v>0.00135850831507703</v>
      </c>
      <c r="BU65" s="192"/>
      <c r="BV65" s="192"/>
      <c r="BX65" s="8" t="str">
        <f t="shared" si="43"/>
        <v>2026//3/26</v>
      </c>
      <c r="BY65" s="257">
        <v>3114610.7</v>
      </c>
      <c r="BZ65" s="12">
        <f t="shared" si="44"/>
        <v>3111660.7</v>
      </c>
      <c r="CA65" s="12">
        <f t="shared" si="45"/>
        <v>2950</v>
      </c>
      <c r="CB65" s="199">
        <f t="shared" si="46"/>
        <v>0.000948046809859443</v>
      </c>
      <c r="CC65" s="192"/>
      <c r="CD65" s="201"/>
      <c r="CF65" s="8" t="str">
        <f t="shared" si="47"/>
        <v>2026//3/26</v>
      </c>
      <c r="CG65" s="262">
        <v>1411903.9</v>
      </c>
      <c r="CH65" s="12">
        <f t="shared" si="48"/>
        <v>1416553.9</v>
      </c>
      <c r="CI65" s="12">
        <f t="shared" si="49"/>
        <v>-4650</v>
      </c>
      <c r="CJ65" s="199">
        <f t="shared" si="50"/>
        <v>-0.00328261423726976</v>
      </c>
      <c r="CK65" s="192"/>
      <c r="CL65" s="201"/>
      <c r="CN65" s="8" t="str">
        <f t="shared" si="51"/>
        <v>2026//3/26</v>
      </c>
      <c r="CO65" s="262">
        <v>661346.48</v>
      </c>
      <c r="CP65" s="12">
        <f t="shared" si="52"/>
        <v>662246.48</v>
      </c>
      <c r="CQ65" s="12">
        <f t="shared" si="53"/>
        <v>-900</v>
      </c>
      <c r="CR65" s="199">
        <f t="shared" si="54"/>
        <v>-0.0013590106209398</v>
      </c>
      <c r="CS65" s="201"/>
      <c r="CT65" s="201"/>
      <c r="CV65" s="8" t="str">
        <f t="shared" si="55"/>
        <v>2026//3/26</v>
      </c>
      <c r="CW65" s="200">
        <v>546440.4</v>
      </c>
      <c r="CX65" s="12">
        <f t="shared" si="56"/>
        <v>552740.4</v>
      </c>
      <c r="CY65" s="12">
        <f t="shared" si="57"/>
        <v>-6300</v>
      </c>
      <c r="CZ65" s="199">
        <f t="shared" si="58"/>
        <v>-0.0113977556190935</v>
      </c>
      <c r="DA65" s="192"/>
      <c r="DB65" s="192"/>
      <c r="DC65" s="277"/>
      <c r="DD65" s="8" t="str">
        <f t="shared" si="59"/>
        <v>2026//3/26</v>
      </c>
      <c r="DE65" s="257">
        <f>1200858.99*2</f>
        <v>2401717.98</v>
      </c>
      <c r="DF65" s="12">
        <f t="shared" si="60"/>
        <v>2402317.98</v>
      </c>
      <c r="DG65" s="12">
        <f t="shared" si="61"/>
        <v>-600</v>
      </c>
      <c r="DH65" s="199">
        <f t="shared" si="62"/>
        <v>-0.000249758776729465</v>
      </c>
      <c r="DI65" s="192"/>
      <c r="DJ65" s="192"/>
      <c r="DL65" s="8" t="str">
        <f t="shared" si="63"/>
        <v>2026//3/26</v>
      </c>
      <c r="DM65" s="200">
        <v>1406900.36</v>
      </c>
      <c r="DN65" s="12">
        <f t="shared" si="64"/>
        <v>1397300.36</v>
      </c>
      <c r="DO65" s="12">
        <f t="shared" si="65"/>
        <v>9600</v>
      </c>
      <c r="DP65" s="199">
        <f t="shared" si="66"/>
        <v>0.00687039113050826</v>
      </c>
      <c r="DQ65" s="192"/>
      <c r="DR65" s="192"/>
      <c r="DT65" s="8" t="str">
        <f t="shared" si="67"/>
        <v>2026//3/26</v>
      </c>
      <c r="DU65" s="200">
        <v>1684589.48</v>
      </c>
      <c r="DV65" s="12">
        <f t="shared" si="68"/>
        <v>1688189.48</v>
      </c>
      <c r="DW65" s="12">
        <f t="shared" si="69"/>
        <v>-3600</v>
      </c>
      <c r="DX65" s="199">
        <f t="shared" si="70"/>
        <v>-0.00213246205040918</v>
      </c>
      <c r="DY65" s="192"/>
      <c r="DZ65" s="192"/>
      <c r="EB65" s="8" t="str">
        <f t="shared" si="71"/>
        <v>2026//3/26</v>
      </c>
      <c r="EC65" s="200">
        <v>5140766.82</v>
      </c>
      <c r="ED65" s="12">
        <f t="shared" si="72"/>
        <v>5101166.82</v>
      </c>
      <c r="EE65" s="12">
        <f t="shared" si="73"/>
        <v>39600</v>
      </c>
      <c r="EF65" s="199">
        <f t="shared" si="74"/>
        <v>0.00776292981533978</v>
      </c>
      <c r="EG65" s="192"/>
      <c r="EH65" s="192"/>
      <c r="EJ65" s="8" t="str">
        <f t="shared" si="75"/>
        <v>2026//3/26</v>
      </c>
      <c r="EK65" s="257">
        <v>1543922.96</v>
      </c>
      <c r="EL65" s="12">
        <f t="shared" si="76"/>
        <v>1543522.96</v>
      </c>
      <c r="EM65" s="12">
        <f t="shared" si="77"/>
        <v>400</v>
      </c>
      <c r="EN65" s="199">
        <f t="shared" si="78"/>
        <v>0.000259147424668046</v>
      </c>
      <c r="EO65" s="192"/>
      <c r="EP65" s="192"/>
      <c r="ER65" s="8" t="str">
        <f t="shared" si="79"/>
        <v>2026//3/26</v>
      </c>
      <c r="ES65" s="8">
        <v>535847.02</v>
      </c>
      <c r="ET65" s="12">
        <f t="shared" si="80"/>
        <v>535697.02</v>
      </c>
      <c r="EU65" s="12">
        <f t="shared" si="81"/>
        <v>150</v>
      </c>
      <c r="EV65" s="199">
        <f t="shared" si="82"/>
        <v>0.000280009024504187</v>
      </c>
      <c r="EW65" s="192"/>
      <c r="EX65" s="192"/>
      <c r="EZ65" s="8" t="str">
        <f t="shared" si="83"/>
        <v>2026//3/26</v>
      </c>
      <c r="FA65" s="200">
        <v>748808</v>
      </c>
      <c r="FB65" s="12">
        <f t="shared" si="84"/>
        <v>749108</v>
      </c>
      <c r="FC65" s="12">
        <f t="shared" si="85"/>
        <v>-300</v>
      </c>
      <c r="FD65" s="199">
        <f t="shared" si="86"/>
        <v>-0.000400476299812577</v>
      </c>
      <c r="FE65" s="192"/>
      <c r="FF65" s="192"/>
      <c r="FH65" s="8" t="str">
        <f t="shared" si="87"/>
        <v>2026//3/26</v>
      </c>
      <c r="FI65" s="198">
        <v>1102595.33</v>
      </c>
      <c r="FJ65" s="12">
        <f t="shared" si="88"/>
        <v>1100095.33</v>
      </c>
      <c r="FK65" s="12">
        <f t="shared" si="89"/>
        <v>2500</v>
      </c>
      <c r="FL65" s="199">
        <f t="shared" si="90"/>
        <v>0.00227253032698539</v>
      </c>
      <c r="FM65" s="201"/>
      <c r="FN65" s="201"/>
      <c r="FP65" s="8" t="str">
        <f t="shared" si="91"/>
        <v>2026//3/26</v>
      </c>
      <c r="FQ65" s="200">
        <v>2296768.73</v>
      </c>
      <c r="FR65" s="12">
        <f t="shared" si="92"/>
        <v>2300968.73</v>
      </c>
      <c r="FS65" s="12">
        <f t="shared" si="93"/>
        <v>-4200</v>
      </c>
      <c r="FT65" s="199">
        <f t="shared" si="94"/>
        <v>-0.00182531815632279</v>
      </c>
      <c r="FU65" s="192"/>
      <c r="FV65" s="192"/>
      <c r="FX65" s="8" t="str">
        <f t="shared" si="95"/>
        <v>2026//3/26</v>
      </c>
      <c r="FY65" s="200">
        <v>8577882.05</v>
      </c>
      <c r="FZ65" s="12">
        <f t="shared" si="96"/>
        <v>8576682.05</v>
      </c>
      <c r="GA65" s="12">
        <f t="shared" si="97"/>
        <v>1200</v>
      </c>
      <c r="GB65" s="199">
        <f t="shared" si="98"/>
        <v>0.000139914245742618</v>
      </c>
      <c r="GC65" s="192"/>
      <c r="GD65" s="192"/>
      <c r="GF65" s="8" t="str">
        <f t="shared" si="99"/>
        <v>2026//3/26</v>
      </c>
      <c r="GG65" s="200">
        <v>4802469.49</v>
      </c>
      <c r="GH65" s="12">
        <f t="shared" si="100"/>
        <v>4785869.49</v>
      </c>
      <c r="GI65" s="12">
        <f t="shared" si="101"/>
        <v>16600</v>
      </c>
      <c r="GJ65" s="199">
        <f t="shared" si="102"/>
        <v>0.0034685442289401</v>
      </c>
      <c r="GK65" s="192"/>
      <c r="GL65" s="192"/>
      <c r="GN65" s="8" t="str">
        <f t="shared" si="103"/>
        <v>2026//3/26</v>
      </c>
      <c r="GO65" s="257">
        <v>1838998.12</v>
      </c>
      <c r="GP65" s="12">
        <f t="shared" si="104"/>
        <v>1841998.12</v>
      </c>
      <c r="GQ65" s="12">
        <f t="shared" si="105"/>
        <v>-3000</v>
      </c>
      <c r="GR65" s="199">
        <f t="shared" si="106"/>
        <v>-0.00162866615737914</v>
      </c>
      <c r="GS65" s="192"/>
      <c r="GT65" s="192"/>
      <c r="GV65" s="8" t="str">
        <f t="shared" si="107"/>
        <v>2026//3/26</v>
      </c>
      <c r="GW65" s="200">
        <v>1049349.4</v>
      </c>
      <c r="GX65" s="12">
        <f t="shared" si="108"/>
        <v>1052149.4</v>
      </c>
      <c r="GY65" s="12">
        <f t="shared" si="109"/>
        <v>-2800</v>
      </c>
      <c r="GZ65" s="199">
        <f t="shared" si="110"/>
        <v>-0.0026612190245986</v>
      </c>
      <c r="HA65" s="192"/>
      <c r="HB65" s="192"/>
      <c r="HD65" s="8" t="str">
        <f t="shared" si="111"/>
        <v>2026//3/26</v>
      </c>
      <c r="HE65" s="257">
        <v>1057064.67</v>
      </c>
      <c r="HF65" s="12">
        <f t="shared" si="112"/>
        <v>1052764.67</v>
      </c>
      <c r="HG65" s="12">
        <f t="shared" si="113"/>
        <v>4300</v>
      </c>
      <c r="HH65" s="199">
        <f t="shared" si="114"/>
        <v>0.00408448357219283</v>
      </c>
      <c r="HI65" s="201"/>
      <c r="HJ65" s="192"/>
      <c r="HL65" s="8" t="str">
        <f t="shared" si="115"/>
        <v>2026//3/26</v>
      </c>
      <c r="HM65" s="200">
        <v>159054.25</v>
      </c>
      <c r="HN65" s="12">
        <f t="shared" si="116"/>
        <v>164904.25</v>
      </c>
      <c r="HO65" s="12">
        <f t="shared" si="117"/>
        <v>-5850</v>
      </c>
      <c r="HP65" s="199">
        <f t="shared" si="118"/>
        <v>-0.0354751317810184</v>
      </c>
      <c r="HQ65" s="192"/>
      <c r="HR65" s="192"/>
      <c r="HT65" s="8" t="str">
        <f t="shared" si="119"/>
        <v>2026//3/26</v>
      </c>
      <c r="HU65" s="257">
        <v>236468.82</v>
      </c>
      <c r="HV65" s="12">
        <f t="shared" si="120"/>
        <v>242268.82</v>
      </c>
      <c r="HW65" s="12">
        <f t="shared" si="121"/>
        <v>-5800</v>
      </c>
      <c r="HX65" s="199">
        <f t="shared" si="122"/>
        <v>-0.0239403485764284</v>
      </c>
      <c r="HY65" s="192"/>
      <c r="HZ65" s="192"/>
      <c r="IB65" s="8" t="str">
        <f t="shared" si="123"/>
        <v>2026//3/26</v>
      </c>
      <c r="IC65" s="200">
        <v>458434.79</v>
      </c>
      <c r="ID65" s="12">
        <f t="shared" si="124"/>
        <v>459959.79</v>
      </c>
      <c r="IE65" s="12">
        <f t="shared" si="125"/>
        <v>-1525</v>
      </c>
      <c r="IF65" s="199">
        <f t="shared" si="126"/>
        <v>-0.00331550720988024</v>
      </c>
      <c r="IG65" s="201"/>
      <c r="IH65" s="192"/>
      <c r="IJ65" s="8" t="str">
        <f t="shared" si="127"/>
        <v>2026//3/26</v>
      </c>
      <c r="IK65" s="257">
        <v>574316.29</v>
      </c>
      <c r="IL65" s="12">
        <f t="shared" si="128"/>
        <v>568716.29</v>
      </c>
      <c r="IM65" s="12">
        <f t="shared" si="129"/>
        <v>5600</v>
      </c>
      <c r="IN65" s="199">
        <f t="shared" si="130"/>
        <v>0.0098467374655296</v>
      </c>
      <c r="IO65" s="192"/>
      <c r="IP65" s="192"/>
      <c r="IR65" s="8" t="str">
        <f t="shared" si="131"/>
        <v>2026//3/26</v>
      </c>
      <c r="IS65" s="257">
        <v>142889</v>
      </c>
      <c r="IT65" s="12">
        <f t="shared" si="132"/>
        <v>143689</v>
      </c>
      <c r="IU65" s="12">
        <f t="shared" si="133"/>
        <v>-800</v>
      </c>
      <c r="IV65" s="199">
        <f t="shared" si="134"/>
        <v>-0.00556757998176618</v>
      </c>
      <c r="IW65" s="192"/>
      <c r="IX65" s="192"/>
      <c r="IZ65" s="8" t="str">
        <f t="shared" si="135"/>
        <v>2026//3/26</v>
      </c>
      <c r="JA65" s="200">
        <v>5046829.15</v>
      </c>
      <c r="JB65" s="12">
        <f t="shared" si="136"/>
        <v>5034229.15</v>
      </c>
      <c r="JC65" s="12">
        <f t="shared" si="137"/>
        <v>12600</v>
      </c>
      <c r="JD65" s="199">
        <f t="shared" si="138"/>
        <v>0.00250286580617809</v>
      </c>
      <c r="JE65" s="192"/>
      <c r="JF65" s="192"/>
      <c r="JH65" s="8" t="str">
        <f t="shared" si="139"/>
        <v>2026//3/26</v>
      </c>
      <c r="JI65" s="200">
        <v>1542987.99</v>
      </c>
      <c r="JJ65" s="12">
        <f t="shared" si="140"/>
        <v>1540827.99</v>
      </c>
      <c r="JK65" s="12">
        <f t="shared" si="141"/>
        <v>2160</v>
      </c>
      <c r="JL65" s="199">
        <f t="shared" si="142"/>
        <v>0.00140184369314319</v>
      </c>
      <c r="JM65" s="192"/>
      <c r="JN65" s="192"/>
      <c r="JP65" s="8" t="str">
        <f t="shared" si="143"/>
        <v>2026//3/26</v>
      </c>
      <c r="JQ65" s="257">
        <v>1060090.41</v>
      </c>
      <c r="JR65" s="12">
        <f t="shared" si="144"/>
        <v>1057490.41</v>
      </c>
      <c r="JS65" s="12">
        <f t="shared" si="145"/>
        <v>2600</v>
      </c>
      <c r="JT65" s="199">
        <f t="shared" si="146"/>
        <v>0.00245865113802781</v>
      </c>
      <c r="JU65" s="192"/>
      <c r="JV65" s="201"/>
      <c r="JX65" s="8" t="str">
        <f t="shared" si="147"/>
        <v>2026//3/26</v>
      </c>
      <c r="JY65" s="257">
        <v>1272448.8</v>
      </c>
      <c r="JZ65" s="12">
        <f t="shared" si="148"/>
        <v>1273148.8</v>
      </c>
      <c r="KA65" s="12">
        <f t="shared" si="149"/>
        <v>-700</v>
      </c>
      <c r="KB65" s="199">
        <f t="shared" si="150"/>
        <v>-0.000549817900311417</v>
      </c>
      <c r="KC65" s="192"/>
      <c r="KD65" s="201"/>
      <c r="KF65" s="8" t="str">
        <f t="shared" si="151"/>
        <v>2026//3/26</v>
      </c>
      <c r="KG65" s="257">
        <v>734555.92</v>
      </c>
      <c r="KH65" s="12">
        <f t="shared" si="152"/>
        <v>737355.92</v>
      </c>
      <c r="KI65" s="12">
        <f t="shared" si="153"/>
        <v>-2800</v>
      </c>
      <c r="KJ65" s="199">
        <f t="shared" si="154"/>
        <v>-0.0037973520304821</v>
      </c>
      <c r="KK65" s="201"/>
      <c r="KL65" s="201"/>
      <c r="KN65" s="8" t="str">
        <f t="shared" si="155"/>
        <v>2026//3/26</v>
      </c>
      <c r="KO65" s="200">
        <v>8184775.95</v>
      </c>
      <c r="KP65" s="12">
        <f t="shared" si="156"/>
        <v>8179475.95</v>
      </c>
      <c r="KQ65" s="12">
        <f t="shared" si="157"/>
        <v>5300</v>
      </c>
      <c r="KR65" s="199">
        <f t="shared" si="158"/>
        <v>0.000647963272023558</v>
      </c>
      <c r="KS65" s="192"/>
      <c r="KT65" s="192"/>
      <c r="KV65" s="8" t="str">
        <f t="shared" si="159"/>
        <v>2026//3/26</v>
      </c>
      <c r="KW65" s="257">
        <v>1034572.97</v>
      </c>
      <c r="KX65" s="12">
        <f t="shared" si="160"/>
        <v>1035572.97</v>
      </c>
      <c r="KY65" s="12">
        <f t="shared" si="161"/>
        <v>-1000</v>
      </c>
      <c r="KZ65" s="199">
        <f t="shared" si="162"/>
        <v>-0.000965648997192347</v>
      </c>
      <c r="LA65" s="201"/>
      <c r="LB65" s="192"/>
      <c r="LD65" s="8" t="str">
        <f t="shared" si="163"/>
        <v>2026//3/26</v>
      </c>
      <c r="LE65" s="200">
        <v>448157.7</v>
      </c>
      <c r="LF65" s="12">
        <f t="shared" si="164"/>
        <v>446757.7</v>
      </c>
      <c r="LG65" s="12">
        <f t="shared" si="165"/>
        <v>1400</v>
      </c>
      <c r="LH65" s="199">
        <f t="shared" si="166"/>
        <v>0.00313368969354082</v>
      </c>
      <c r="LI65" s="192"/>
      <c r="LJ65" s="192"/>
      <c r="LL65" s="8" t="str">
        <f t="shared" si="167"/>
        <v>2026//3/26</v>
      </c>
      <c r="LM65" s="198">
        <v>3601735.02</v>
      </c>
      <c r="LN65" s="12">
        <f t="shared" si="168"/>
        <v>3611455.02</v>
      </c>
      <c r="LO65" s="12">
        <f t="shared" si="169"/>
        <v>-9720</v>
      </c>
      <c r="LP65" s="199">
        <f t="shared" si="170"/>
        <v>-0.00269143598526668</v>
      </c>
      <c r="LQ65" s="192"/>
      <c r="LR65" s="192"/>
      <c r="LT65" s="8" t="str">
        <f t="shared" si="171"/>
        <v>2026//3/26</v>
      </c>
      <c r="LU65" s="257">
        <v>2727062.9</v>
      </c>
      <c r="LV65" s="12">
        <f t="shared" si="172"/>
        <v>2754662.9</v>
      </c>
      <c r="LW65" s="12">
        <f t="shared" si="173"/>
        <v>-27600</v>
      </c>
      <c r="LX65" s="199">
        <f t="shared" si="174"/>
        <v>-0.0100193747844791</v>
      </c>
      <c r="LY65" s="192"/>
      <c r="LZ65" s="192"/>
      <c r="MB65" s="8" t="str">
        <f t="shared" si="175"/>
        <v>2026//3/26</v>
      </c>
      <c r="MC65" s="200">
        <v>848867.69</v>
      </c>
      <c r="MD65" s="12">
        <f t="shared" si="176"/>
        <v>851917.69</v>
      </c>
      <c r="ME65" s="12">
        <f t="shared" si="177"/>
        <v>-3050</v>
      </c>
      <c r="MF65" s="199">
        <f t="shared" si="178"/>
        <v>-0.00358015807841718</v>
      </c>
      <c r="MG65" s="192"/>
      <c r="MH65" s="192"/>
      <c r="MI65" s="8"/>
      <c r="MJ65" s="8"/>
      <c r="MK65" s="8" t="str">
        <f t="shared" si="179"/>
        <v>2026//3/26</v>
      </c>
      <c r="ML65" s="258">
        <v>223185.53</v>
      </c>
      <c r="MM65" s="12">
        <f t="shared" si="180"/>
        <v>223425.53</v>
      </c>
      <c r="MN65" s="12">
        <f t="shared" si="181"/>
        <v>-240</v>
      </c>
      <c r="MO65" s="199">
        <f t="shared" si="182"/>
        <v>-0.00107418342031011</v>
      </c>
      <c r="MP65" s="192"/>
      <c r="MQ65" s="201"/>
      <c r="MR65" s="201"/>
      <c r="MT65" s="8" t="str">
        <f t="shared" si="183"/>
        <v>2026//3/26</v>
      </c>
      <c r="MU65" s="8">
        <v>313814.8</v>
      </c>
      <c r="MV65" s="204">
        <f t="shared" si="184"/>
        <v>323314.8</v>
      </c>
      <c r="MW65" s="8">
        <f t="shared" si="185"/>
        <v>-9500</v>
      </c>
      <c r="MX65" s="192">
        <f t="shared" si="186"/>
        <v>-0.0293831275277222</v>
      </c>
      <c r="MY65" s="192"/>
      <c r="MZ65" s="192"/>
      <c r="NA65" s="192"/>
      <c r="NC65" s="8" t="str">
        <f t="shared" si="187"/>
        <v>2026//3/26</v>
      </c>
      <c r="ND65" s="8">
        <v>44091.48</v>
      </c>
      <c r="NE65" s="204">
        <f t="shared" si="188"/>
        <v>44291.48</v>
      </c>
      <c r="NF65" s="8">
        <f t="shared" si="189"/>
        <v>-200</v>
      </c>
      <c r="NG65" s="192">
        <f t="shared" si="190"/>
        <v>-0.00451554113793443</v>
      </c>
      <c r="NH65" s="192"/>
      <c r="NI65" s="192"/>
      <c r="NJ65" s="192"/>
      <c r="NK65" s="192"/>
      <c r="NM65" s="8" t="str">
        <f t="shared" si="191"/>
        <v>2026//3/26</v>
      </c>
      <c r="NN65" s="8">
        <v>2622011.08</v>
      </c>
      <c r="NO65" s="8">
        <f t="shared" si="192"/>
        <v>2638211.08</v>
      </c>
      <c r="NP65" s="210">
        <f t="shared" si="193"/>
        <v>-16200</v>
      </c>
      <c r="NQ65" s="211">
        <f t="shared" si="194"/>
        <v>-0.00614052458607671</v>
      </c>
      <c r="NR65" s="192"/>
      <c r="NU65" s="8" t="str">
        <f t="shared" si="195"/>
        <v>2026//3/26</v>
      </c>
      <c r="NV65" s="8">
        <v>249926.5</v>
      </c>
      <c r="NW65" s="205">
        <f t="shared" si="196"/>
        <v>249976.5</v>
      </c>
      <c r="NX65" s="210">
        <f t="shared" si="197"/>
        <v>-50</v>
      </c>
      <c r="NY65" s="211">
        <f t="shared" si="198"/>
        <v>-0.000200018801767366</v>
      </c>
      <c r="NZ65" s="201"/>
      <c r="OA65" s="200"/>
      <c r="OC65" s="8" t="str">
        <f t="shared" si="199"/>
        <v>2026//3/26</v>
      </c>
      <c r="OD65" s="200">
        <v>11356.97</v>
      </c>
      <c r="OE65" s="12">
        <f t="shared" si="200"/>
        <v>11132.97</v>
      </c>
      <c r="OF65" s="12">
        <f t="shared" si="201"/>
        <v>224</v>
      </c>
      <c r="OG65" s="199">
        <f t="shared" si="202"/>
        <v>0.0201204171034324</v>
      </c>
      <c r="OH65" s="192"/>
      <c r="OI65" s="192"/>
      <c r="OK65" s="8" t="str">
        <f t="shared" si="203"/>
        <v>2026//3/26</v>
      </c>
      <c r="OL65" s="200">
        <v>11033.65</v>
      </c>
      <c r="OM65" s="12">
        <f t="shared" si="204"/>
        <v>11033.65</v>
      </c>
      <c r="ON65" s="12">
        <f t="shared" si="205"/>
        <v>0</v>
      </c>
      <c r="OO65" s="199">
        <f t="shared" si="206"/>
        <v>0</v>
      </c>
      <c r="OP65" s="192"/>
      <c r="OQ65" s="192"/>
      <c r="OT65" s="234" t="str">
        <f t="shared" si="207"/>
        <v>2026//3/26</v>
      </c>
      <c r="OU65" s="206">
        <v>143352.4066</v>
      </c>
      <c r="OV65" s="8">
        <f t="shared" si="208"/>
        <v>143232.4066</v>
      </c>
      <c r="OW65" s="191">
        <f t="shared" si="209"/>
        <v>120</v>
      </c>
      <c r="OX65" s="192">
        <f t="shared" si="210"/>
        <v>0.000837799230275588</v>
      </c>
    </row>
    <row r="66" s="8" customFormat="1" ht="17" customHeight="1" spans="1:414">
      <c r="A66" s="15"/>
      <c r="B66" s="15"/>
      <c r="C66" s="15" t="s">
        <v>495</v>
      </c>
      <c r="D66" s="19">
        <v>4523178.77</v>
      </c>
      <c r="E66" s="19">
        <f t="shared" si="8"/>
        <v>4567098.77</v>
      </c>
      <c r="F66" s="19">
        <f t="shared" si="9"/>
        <v>-43920</v>
      </c>
      <c r="G66" s="172">
        <f t="shared" si="10"/>
        <v>-0.00961660831346549</v>
      </c>
      <c r="H66" s="18"/>
      <c r="I66" s="172"/>
      <c r="J66" s="172"/>
      <c r="K66" s="8" t="str">
        <f t="shared" si="11"/>
        <v>2026//3/25</v>
      </c>
      <c r="L66" s="19">
        <v>3183634.4</v>
      </c>
      <c r="M66" s="19">
        <f t="shared" si="12"/>
        <v>3187504.4</v>
      </c>
      <c r="N66" s="19">
        <f t="shared" si="13"/>
        <v>-3870</v>
      </c>
      <c r="O66" s="172">
        <f t="shared" si="14"/>
        <v>-0.00121411597110266</v>
      </c>
      <c r="P66" s="18"/>
      <c r="Q66" s="172"/>
      <c r="R66" s="19"/>
      <c r="S66" s="8" t="str">
        <f t="shared" si="15"/>
        <v>2026//3/25</v>
      </c>
      <c r="T66" s="19">
        <v>2349426.68</v>
      </c>
      <c r="U66" s="19">
        <f t="shared" si="16"/>
        <v>2425116.68</v>
      </c>
      <c r="V66" s="19">
        <f t="shared" si="17"/>
        <v>-75690</v>
      </c>
      <c r="W66" s="172">
        <f t="shared" si="18"/>
        <v>-0.0312108694085598</v>
      </c>
      <c r="X66" s="18"/>
      <c r="Y66" s="172"/>
      <c r="Z66" s="19"/>
      <c r="AA66" s="8" t="str">
        <f t="shared" si="19"/>
        <v>2026//3/25</v>
      </c>
      <c r="AB66" s="19">
        <v>961016.86</v>
      </c>
      <c r="AC66" s="19">
        <f t="shared" si="20"/>
        <v>967016.86</v>
      </c>
      <c r="AD66" s="19">
        <f t="shared" si="21"/>
        <v>-6000</v>
      </c>
      <c r="AE66" s="172">
        <f t="shared" si="22"/>
        <v>-0.00620464880002196</v>
      </c>
      <c r="AF66" s="18"/>
      <c r="AG66" s="172"/>
      <c r="AH66" s="19"/>
      <c r="AI66" s="8" t="str">
        <f t="shared" si="23"/>
        <v>2026//3/25</v>
      </c>
      <c r="AJ66" s="19">
        <v>782121.76</v>
      </c>
      <c r="AK66" s="19">
        <f t="shared" si="24"/>
        <v>824321.76</v>
      </c>
      <c r="AL66" s="19">
        <f t="shared" si="25"/>
        <v>-42200</v>
      </c>
      <c r="AM66" s="172">
        <f t="shared" si="26"/>
        <v>-0.0511936018770146</v>
      </c>
      <c r="AN66" s="18"/>
      <c r="AO66" s="18"/>
      <c r="AP66" s="19"/>
      <c r="AQ66" s="8" t="str">
        <f t="shared" si="27"/>
        <v>2026//3/25</v>
      </c>
      <c r="AR66" s="21">
        <v>1556845.49</v>
      </c>
      <c r="AS66" s="19">
        <f t="shared" si="28"/>
        <v>1604345.49</v>
      </c>
      <c r="AT66" s="19">
        <f t="shared" si="29"/>
        <v>-47500</v>
      </c>
      <c r="AU66" s="172">
        <f t="shared" si="30"/>
        <v>-0.029607089181271</v>
      </c>
      <c r="AV66" s="18"/>
      <c r="AW66" s="18"/>
      <c r="AX66" s="17"/>
      <c r="AY66" s="17"/>
      <c r="AZ66" s="8" t="str">
        <f t="shared" si="31"/>
        <v>2026//3/25</v>
      </c>
      <c r="BA66" s="255">
        <v>2004051.66</v>
      </c>
      <c r="BB66" s="129">
        <f t="shared" si="32"/>
        <v>2008281.66</v>
      </c>
      <c r="BC66" s="17">
        <f t="shared" si="33"/>
        <v>-4230</v>
      </c>
      <c r="BD66" s="18">
        <f t="shared" si="34"/>
        <v>-0.0021062782597935</v>
      </c>
      <c r="BE66" s="18"/>
      <c r="BF66" s="18"/>
      <c r="BG66" s="74"/>
      <c r="BH66" s="8" t="str">
        <f t="shared" si="35"/>
        <v>2026//3/25</v>
      </c>
      <c r="BI66" s="256">
        <v>1624526.55</v>
      </c>
      <c r="BJ66" s="195">
        <f t="shared" si="36"/>
        <v>1600626.55</v>
      </c>
      <c r="BK66" s="195">
        <f t="shared" si="37"/>
        <v>23900</v>
      </c>
      <c r="BL66" s="196">
        <f t="shared" si="38"/>
        <v>0.0149316528580636</v>
      </c>
      <c r="BM66" s="197"/>
      <c r="BN66" s="192"/>
      <c r="BP66" s="8" t="str">
        <f t="shared" si="39"/>
        <v>2026//3/25</v>
      </c>
      <c r="BQ66" s="198">
        <v>1177762.39</v>
      </c>
      <c r="BR66" s="12">
        <f t="shared" si="40"/>
        <v>1221862.39</v>
      </c>
      <c r="BS66" s="12">
        <f t="shared" si="41"/>
        <v>-44100</v>
      </c>
      <c r="BT66" s="199">
        <f t="shared" si="42"/>
        <v>-0.0360924440926609</v>
      </c>
      <c r="BU66" s="192"/>
      <c r="BV66" s="192"/>
      <c r="BX66" s="8" t="str">
        <f t="shared" si="43"/>
        <v>2026//3/25</v>
      </c>
      <c r="BY66" s="257">
        <v>3111660.7</v>
      </c>
      <c r="BZ66" s="12">
        <f t="shared" si="44"/>
        <v>3077060.7</v>
      </c>
      <c r="CA66" s="12">
        <f t="shared" si="45"/>
        <v>34600</v>
      </c>
      <c r="CB66" s="199">
        <f t="shared" si="46"/>
        <v>0.0112444970617577</v>
      </c>
      <c r="CC66" s="192"/>
      <c r="CD66" s="201"/>
      <c r="CF66" s="8" t="str">
        <f t="shared" si="47"/>
        <v>2026//3/25</v>
      </c>
      <c r="CG66" s="200">
        <v>1416553.9</v>
      </c>
      <c r="CH66" s="12">
        <f t="shared" si="48"/>
        <v>1404403.9</v>
      </c>
      <c r="CI66" s="12">
        <f t="shared" si="49"/>
        <v>12150</v>
      </c>
      <c r="CJ66" s="199">
        <f t="shared" si="50"/>
        <v>0.00865135734812471</v>
      </c>
      <c r="CK66" s="192"/>
      <c r="CL66" s="201"/>
      <c r="CN66" s="8" t="str">
        <f t="shared" si="51"/>
        <v>2026//3/25</v>
      </c>
      <c r="CO66" s="200">
        <v>662246.48</v>
      </c>
      <c r="CP66" s="12">
        <f t="shared" si="52"/>
        <v>664046.48</v>
      </c>
      <c r="CQ66" s="12">
        <f t="shared" si="53"/>
        <v>-1800</v>
      </c>
      <c r="CR66" s="199">
        <f t="shared" si="54"/>
        <v>-0.00271065362774003</v>
      </c>
      <c r="CS66" s="201"/>
      <c r="CT66" s="201"/>
      <c r="CV66" s="8" t="str">
        <f t="shared" si="55"/>
        <v>2026//3/25</v>
      </c>
      <c r="CW66" s="200">
        <v>552740.4</v>
      </c>
      <c r="CX66" s="12">
        <f t="shared" si="56"/>
        <v>552240.4</v>
      </c>
      <c r="CY66" s="12">
        <f t="shared" si="57"/>
        <v>500</v>
      </c>
      <c r="CZ66" s="199">
        <f t="shared" si="58"/>
        <v>0.000905402791972482</v>
      </c>
      <c r="DA66" s="192"/>
      <c r="DB66" s="192"/>
      <c r="DC66" s="277"/>
      <c r="DD66" s="8" t="str">
        <f t="shared" si="59"/>
        <v>2026//3/25</v>
      </c>
      <c r="DE66" s="257">
        <v>2402317.98</v>
      </c>
      <c r="DF66" s="12">
        <f t="shared" si="60"/>
        <v>2458317.98</v>
      </c>
      <c r="DG66" s="12">
        <f t="shared" si="61"/>
        <v>-56000</v>
      </c>
      <c r="DH66" s="199">
        <f t="shared" si="62"/>
        <v>-0.0227798032864731</v>
      </c>
      <c r="DI66" s="192"/>
      <c r="DJ66" s="192"/>
      <c r="DL66" s="8" t="str">
        <f t="shared" si="63"/>
        <v>2026//3/25</v>
      </c>
      <c r="DM66" s="200">
        <v>1397300.36</v>
      </c>
      <c r="DN66" s="12">
        <f t="shared" si="64"/>
        <v>1436500.36</v>
      </c>
      <c r="DO66" s="12">
        <f t="shared" si="65"/>
        <v>-39200</v>
      </c>
      <c r="DP66" s="199">
        <f t="shared" si="66"/>
        <v>-0.0272885417167595</v>
      </c>
      <c r="DQ66" s="192"/>
      <c r="DR66" s="192"/>
      <c r="DT66" s="8" t="str">
        <f t="shared" si="67"/>
        <v>2026//3/25</v>
      </c>
      <c r="DU66" s="200">
        <v>1688189.48</v>
      </c>
      <c r="DV66" s="12">
        <f t="shared" si="68"/>
        <v>1725089.48</v>
      </c>
      <c r="DW66" s="12">
        <f t="shared" si="69"/>
        <v>-36900</v>
      </c>
      <c r="DX66" s="199">
        <f t="shared" si="70"/>
        <v>-0.0213901947857221</v>
      </c>
      <c r="DY66" s="192"/>
      <c r="DZ66" s="192"/>
      <c r="EB66" s="8" t="str">
        <f t="shared" si="71"/>
        <v>2026//3/25</v>
      </c>
      <c r="EC66" s="200">
        <v>5101166.82</v>
      </c>
      <c r="ED66" s="12">
        <f t="shared" si="72"/>
        <v>5201666.82</v>
      </c>
      <c r="EE66" s="12">
        <f t="shared" si="73"/>
        <v>-100500</v>
      </c>
      <c r="EF66" s="199">
        <f t="shared" si="74"/>
        <v>-0.0193207299655536</v>
      </c>
      <c r="EG66" s="192"/>
      <c r="EH66" s="192"/>
      <c r="EJ66" s="8" t="str">
        <f t="shared" si="75"/>
        <v>2026//3/25</v>
      </c>
      <c r="EK66" s="257">
        <v>1543522.96</v>
      </c>
      <c r="EL66" s="12">
        <f t="shared" si="76"/>
        <v>1561522.96</v>
      </c>
      <c r="EM66" s="12">
        <f t="shared" si="77"/>
        <v>-18000</v>
      </c>
      <c r="EN66" s="199">
        <f t="shared" si="78"/>
        <v>-0.0115272080277321</v>
      </c>
      <c r="EO66" s="192"/>
      <c r="EP66" s="192"/>
      <c r="ER66" s="8" t="str">
        <f t="shared" si="79"/>
        <v>2026//3/25</v>
      </c>
      <c r="ES66" s="8">
        <v>535697.02</v>
      </c>
      <c r="ET66" s="12">
        <f t="shared" si="80"/>
        <v>543347.02</v>
      </c>
      <c r="EU66" s="12">
        <f t="shared" si="81"/>
        <v>-7650</v>
      </c>
      <c r="EV66" s="199">
        <f t="shared" si="82"/>
        <v>-0.0140793999385512</v>
      </c>
      <c r="EW66" s="192"/>
      <c r="EX66" s="192"/>
      <c r="EZ66" s="8" t="str">
        <f t="shared" si="83"/>
        <v>2026//3/25</v>
      </c>
      <c r="FA66" s="200">
        <v>749108</v>
      </c>
      <c r="FB66" s="12">
        <f t="shared" si="84"/>
        <v>751608</v>
      </c>
      <c r="FC66" s="12">
        <f t="shared" si="85"/>
        <v>-2500</v>
      </c>
      <c r="FD66" s="199">
        <f t="shared" si="86"/>
        <v>-0.00332620195633894</v>
      </c>
      <c r="FE66" s="192"/>
      <c r="FF66" s="192"/>
      <c r="FH66" s="8" t="str">
        <f t="shared" si="87"/>
        <v>2026//3/25</v>
      </c>
      <c r="FI66" s="198">
        <v>1100095.33</v>
      </c>
      <c r="FJ66" s="12">
        <f t="shared" si="88"/>
        <v>1113495.33</v>
      </c>
      <c r="FK66" s="12">
        <f t="shared" si="89"/>
        <v>-13400</v>
      </c>
      <c r="FL66" s="199">
        <f t="shared" si="90"/>
        <v>-0.0120341770988837</v>
      </c>
      <c r="FM66" s="201"/>
      <c r="FN66" s="201"/>
      <c r="FP66" s="8" t="str">
        <f t="shared" si="91"/>
        <v>2026//3/25</v>
      </c>
      <c r="FQ66" s="200">
        <v>2300968.73</v>
      </c>
      <c r="FR66" s="12">
        <f t="shared" si="92"/>
        <v>2323318.73</v>
      </c>
      <c r="FS66" s="12">
        <f t="shared" si="93"/>
        <v>-22350</v>
      </c>
      <c r="FT66" s="199">
        <f t="shared" si="94"/>
        <v>-0.00961985960488512</v>
      </c>
      <c r="FU66" s="192"/>
      <c r="FV66" s="192"/>
      <c r="FX66" s="8" t="str">
        <f t="shared" si="95"/>
        <v>2026//3/25</v>
      </c>
      <c r="FY66" s="200">
        <v>8576682.05</v>
      </c>
      <c r="FZ66" s="12">
        <f t="shared" si="96"/>
        <v>8616082.05</v>
      </c>
      <c r="GA66" s="12">
        <f t="shared" si="97"/>
        <v>-39400</v>
      </c>
      <c r="GB66" s="199">
        <f t="shared" si="98"/>
        <v>-0.00457284410377684</v>
      </c>
      <c r="GC66" s="192"/>
      <c r="GD66" s="192"/>
      <c r="GF66" s="8" t="str">
        <f t="shared" si="99"/>
        <v>2026//3/25</v>
      </c>
      <c r="GG66" s="200">
        <v>4785869.49</v>
      </c>
      <c r="GH66" s="12">
        <f t="shared" si="100"/>
        <v>4784969.49</v>
      </c>
      <c r="GI66" s="12">
        <f t="shared" si="101"/>
        <v>900</v>
      </c>
      <c r="GJ66" s="199">
        <f t="shared" si="102"/>
        <v>0.000188088973582985</v>
      </c>
      <c r="GK66" s="192"/>
      <c r="GL66" s="192"/>
      <c r="GN66" s="8" t="str">
        <f t="shared" si="103"/>
        <v>2026//3/25</v>
      </c>
      <c r="GO66" s="257">
        <v>1841998.12</v>
      </c>
      <c r="GP66" s="12">
        <f t="shared" si="104"/>
        <v>1836298.12</v>
      </c>
      <c r="GQ66" s="12">
        <f t="shared" si="105"/>
        <v>5700</v>
      </c>
      <c r="GR66" s="199">
        <f t="shared" si="106"/>
        <v>0.00310407114069256</v>
      </c>
      <c r="GS66" s="192"/>
      <c r="GT66" s="192"/>
      <c r="GV66" s="8" t="str">
        <f t="shared" si="107"/>
        <v>2026//3/25</v>
      </c>
      <c r="GW66" s="200">
        <v>1052149.4</v>
      </c>
      <c r="GX66" s="12">
        <f t="shared" si="108"/>
        <v>1068749.4</v>
      </c>
      <c r="GY66" s="12">
        <f t="shared" si="109"/>
        <v>-16600</v>
      </c>
      <c r="GZ66" s="199">
        <f t="shared" si="110"/>
        <v>-0.0155321724625062</v>
      </c>
      <c r="HA66" s="192"/>
      <c r="HB66" s="192"/>
      <c r="HD66" s="8" t="str">
        <f t="shared" si="111"/>
        <v>2026//3/25</v>
      </c>
      <c r="HE66" s="257">
        <v>1052764.67</v>
      </c>
      <c r="HF66" s="12">
        <f t="shared" si="112"/>
        <v>1055064.67</v>
      </c>
      <c r="HG66" s="12">
        <f t="shared" si="113"/>
        <v>-2300</v>
      </c>
      <c r="HH66" s="199">
        <f t="shared" si="114"/>
        <v>-0.00217996115821033</v>
      </c>
      <c r="HI66" s="201"/>
      <c r="HJ66" s="192"/>
      <c r="HL66" s="8" t="str">
        <f t="shared" si="115"/>
        <v>2026//3/25</v>
      </c>
      <c r="HM66" s="200">
        <v>164904.25</v>
      </c>
      <c r="HN66" s="12">
        <f t="shared" si="116"/>
        <v>156804.25</v>
      </c>
      <c r="HO66" s="12">
        <f t="shared" si="117"/>
        <v>8100</v>
      </c>
      <c r="HP66" s="199">
        <f t="shared" si="118"/>
        <v>0.0516567631298259</v>
      </c>
      <c r="HQ66" s="192"/>
      <c r="HR66" s="192"/>
      <c r="HT66" s="8" t="str">
        <f t="shared" si="119"/>
        <v>2026//3/25</v>
      </c>
      <c r="HU66" s="257">
        <v>242268.82</v>
      </c>
      <c r="HV66" s="12">
        <f t="shared" si="120"/>
        <v>240168.82</v>
      </c>
      <c r="HW66" s="12">
        <f t="shared" si="121"/>
        <v>2100</v>
      </c>
      <c r="HX66" s="199">
        <f t="shared" si="122"/>
        <v>0.00874384943057971</v>
      </c>
      <c r="HY66" s="192"/>
      <c r="HZ66" s="192"/>
      <c r="IB66" s="8" t="str">
        <f t="shared" si="123"/>
        <v>2026//3/25</v>
      </c>
      <c r="IC66" s="200">
        <v>459959.79</v>
      </c>
      <c r="ID66" s="12">
        <f t="shared" si="124"/>
        <v>468259.79</v>
      </c>
      <c r="IE66" s="12">
        <f t="shared" si="125"/>
        <v>-8300</v>
      </c>
      <c r="IF66" s="199">
        <f t="shared" si="126"/>
        <v>-0.0177252033534633</v>
      </c>
      <c r="IG66" s="201"/>
      <c r="IH66" s="192"/>
      <c r="IJ66" s="8" t="str">
        <f t="shared" si="127"/>
        <v>2026//3/25</v>
      </c>
      <c r="IK66" s="257">
        <v>568716.29</v>
      </c>
      <c r="IL66" s="12">
        <f t="shared" si="128"/>
        <v>561356.29</v>
      </c>
      <c r="IM66" s="12">
        <f t="shared" si="129"/>
        <v>7360</v>
      </c>
      <c r="IN66" s="199">
        <f t="shared" si="130"/>
        <v>0.0131111027543666</v>
      </c>
      <c r="IO66" s="192"/>
      <c r="IP66" s="192"/>
      <c r="IR66" s="8" t="str">
        <f t="shared" si="131"/>
        <v>2026//3/25</v>
      </c>
      <c r="IS66" s="200">
        <v>143689</v>
      </c>
      <c r="IT66" s="12">
        <f t="shared" si="132"/>
        <v>144989</v>
      </c>
      <c r="IU66" s="12">
        <f t="shared" si="133"/>
        <v>-1300</v>
      </c>
      <c r="IV66" s="199">
        <f t="shared" si="134"/>
        <v>-0.00896619743566753</v>
      </c>
      <c r="IW66" s="192"/>
      <c r="IX66" s="192"/>
      <c r="IZ66" s="8" t="str">
        <f t="shared" si="135"/>
        <v>2026//3/25</v>
      </c>
      <c r="JA66" s="200">
        <v>5034229.15</v>
      </c>
      <c r="JB66" s="12">
        <f t="shared" si="136"/>
        <v>5069729.15</v>
      </c>
      <c r="JC66" s="12">
        <f t="shared" si="137"/>
        <v>-35500</v>
      </c>
      <c r="JD66" s="199">
        <f t="shared" si="138"/>
        <v>-0.00700234646657603</v>
      </c>
      <c r="JE66" s="192"/>
      <c r="JF66" s="192"/>
      <c r="JH66" s="8" t="str">
        <f t="shared" si="139"/>
        <v>2026//3/25</v>
      </c>
      <c r="JI66" s="200">
        <v>1540827.99</v>
      </c>
      <c r="JJ66" s="12">
        <f t="shared" si="140"/>
        <v>1540467.99</v>
      </c>
      <c r="JK66" s="12">
        <f t="shared" si="141"/>
        <v>360</v>
      </c>
      <c r="JL66" s="199">
        <f t="shared" si="142"/>
        <v>0.000233695216218027</v>
      </c>
      <c r="JM66" s="192"/>
      <c r="JN66" s="192"/>
      <c r="JP66" s="8" t="str">
        <f t="shared" si="143"/>
        <v>2026//3/25</v>
      </c>
      <c r="JQ66" s="257">
        <v>1057490.41</v>
      </c>
      <c r="JR66" s="12">
        <f t="shared" si="144"/>
        <v>1067290.41</v>
      </c>
      <c r="JS66" s="12">
        <f t="shared" si="145"/>
        <v>-9800</v>
      </c>
      <c r="JT66" s="199">
        <f t="shared" si="146"/>
        <v>-0.00918213066301233</v>
      </c>
      <c r="JU66" s="192"/>
      <c r="JV66" s="201"/>
      <c r="JX66" s="8" t="str">
        <f t="shared" si="147"/>
        <v>2026//3/25</v>
      </c>
      <c r="JY66" s="200">
        <v>1273148.8</v>
      </c>
      <c r="JZ66" s="12">
        <f t="shared" si="148"/>
        <v>1273248.8</v>
      </c>
      <c r="KA66" s="12">
        <f t="shared" si="149"/>
        <v>-100</v>
      </c>
      <c r="KB66" s="199">
        <f t="shared" si="150"/>
        <v>-7.85392454326287e-5</v>
      </c>
      <c r="KC66" s="192"/>
      <c r="KD66" s="201"/>
      <c r="KF66" s="8" t="str">
        <f t="shared" si="151"/>
        <v>2026//3/25</v>
      </c>
      <c r="KG66" s="263">
        <v>737355.92</v>
      </c>
      <c r="KH66" s="12">
        <f t="shared" si="152"/>
        <v>742955.92</v>
      </c>
      <c r="KI66" s="12">
        <f t="shared" si="153"/>
        <v>-5600</v>
      </c>
      <c r="KJ66" s="199">
        <f t="shared" si="154"/>
        <v>-0.00753745928829802</v>
      </c>
      <c r="KK66" s="201"/>
      <c r="KL66" s="201"/>
      <c r="KN66" s="8" t="str">
        <f t="shared" si="155"/>
        <v>2026//3/25</v>
      </c>
      <c r="KO66" s="262">
        <v>8179475.95</v>
      </c>
      <c r="KP66" s="12">
        <f t="shared" si="156"/>
        <v>8179075.95</v>
      </c>
      <c r="KQ66" s="12">
        <f t="shared" si="157"/>
        <v>400</v>
      </c>
      <c r="KR66" s="199">
        <f t="shared" si="158"/>
        <v>4.8905280064064e-5</v>
      </c>
      <c r="KS66" s="192"/>
      <c r="KT66" s="192"/>
      <c r="KV66" s="8" t="str">
        <f t="shared" si="159"/>
        <v>2026//3/25</v>
      </c>
      <c r="KW66" s="263">
        <v>1035572.97</v>
      </c>
      <c r="KX66" s="12">
        <f t="shared" si="160"/>
        <v>1035572.97</v>
      </c>
      <c r="KY66" s="12">
        <f t="shared" si="161"/>
        <v>0</v>
      </c>
      <c r="KZ66" s="199">
        <f t="shared" si="162"/>
        <v>0</v>
      </c>
      <c r="LA66" s="201"/>
      <c r="LB66" s="192"/>
      <c r="LD66" s="8" t="str">
        <f t="shared" si="163"/>
        <v>2026//3/25</v>
      </c>
      <c r="LE66" s="262">
        <v>446757.7</v>
      </c>
      <c r="LF66" s="12">
        <f t="shared" si="164"/>
        <v>447107.7</v>
      </c>
      <c r="LG66" s="12">
        <f t="shared" si="165"/>
        <v>-350</v>
      </c>
      <c r="LH66" s="199">
        <f t="shared" si="166"/>
        <v>-0.000782809153141402</v>
      </c>
      <c r="LI66" s="192"/>
      <c r="LJ66" s="192"/>
      <c r="LL66" s="8" t="str">
        <f t="shared" si="167"/>
        <v>2026//3/25</v>
      </c>
      <c r="LM66" s="262">
        <v>3611455.02</v>
      </c>
      <c r="LN66" s="12">
        <f t="shared" si="168"/>
        <v>3616135.02</v>
      </c>
      <c r="LO66" s="12">
        <f t="shared" si="169"/>
        <v>-4680</v>
      </c>
      <c r="LP66" s="199">
        <f t="shared" si="170"/>
        <v>-0.00129419946271807</v>
      </c>
      <c r="LQ66" s="192"/>
      <c r="LR66" s="192"/>
      <c r="LT66" s="8" t="str">
        <f t="shared" si="171"/>
        <v>2026//3/25</v>
      </c>
      <c r="LU66" s="263">
        <v>2754662.9</v>
      </c>
      <c r="LV66" s="12">
        <f t="shared" si="172"/>
        <v>2755862.9</v>
      </c>
      <c r="LW66" s="12">
        <f t="shared" si="173"/>
        <v>-1200</v>
      </c>
      <c r="LX66" s="199">
        <f t="shared" si="174"/>
        <v>-0.000435435304129244</v>
      </c>
      <c r="LY66" s="192"/>
      <c r="LZ66" s="192"/>
      <c r="MB66" s="8" t="str">
        <f t="shared" si="175"/>
        <v>2026//3/25</v>
      </c>
      <c r="MC66" s="262">
        <v>851917.69</v>
      </c>
      <c r="MD66" s="12">
        <f t="shared" si="176"/>
        <v>830867.69</v>
      </c>
      <c r="ME66" s="12">
        <f t="shared" si="177"/>
        <v>21050</v>
      </c>
      <c r="MF66" s="199">
        <f t="shared" si="178"/>
        <v>0.0253349603713679</v>
      </c>
      <c r="MG66" s="192"/>
      <c r="MH66" s="192"/>
      <c r="MI66" s="8"/>
      <c r="MJ66" s="8"/>
      <c r="MK66" s="8" t="str">
        <f t="shared" si="179"/>
        <v>2026//3/25</v>
      </c>
      <c r="ML66" s="263">
        <v>223425.53</v>
      </c>
      <c r="MM66" s="12">
        <f t="shared" si="180"/>
        <v>227025.53</v>
      </c>
      <c r="MN66" s="12">
        <f t="shared" si="181"/>
        <v>-3600</v>
      </c>
      <c r="MO66" s="199">
        <f t="shared" si="182"/>
        <v>-0.0158572474205875</v>
      </c>
      <c r="MP66" s="192"/>
      <c r="MQ66" s="201"/>
      <c r="MR66" s="201"/>
      <c r="MT66" s="8" t="str">
        <f t="shared" si="183"/>
        <v>2026//3/25</v>
      </c>
      <c r="MU66" s="262">
        <v>323314.8</v>
      </c>
      <c r="MV66" s="204">
        <f t="shared" si="184"/>
        <v>333114.8</v>
      </c>
      <c r="MW66" s="8">
        <f t="shared" si="185"/>
        <v>-9800</v>
      </c>
      <c r="MX66" s="192">
        <f t="shared" si="186"/>
        <v>-0.0294192872847439</v>
      </c>
      <c r="MY66" s="192"/>
      <c r="MZ66" s="192"/>
      <c r="NA66" s="192"/>
      <c r="NC66" s="8" t="str">
        <f t="shared" si="187"/>
        <v>2026//3/25</v>
      </c>
      <c r="ND66" s="262">
        <v>44291.48</v>
      </c>
      <c r="NE66" s="204">
        <f t="shared" si="188"/>
        <v>44891.48</v>
      </c>
      <c r="NF66" s="8">
        <f t="shared" si="189"/>
        <v>-600</v>
      </c>
      <c r="NG66" s="192">
        <f t="shared" si="190"/>
        <v>-0.0133655651361907</v>
      </c>
      <c r="NH66" s="192"/>
      <c r="NI66" s="192"/>
      <c r="NJ66" s="192"/>
      <c r="NK66" s="192"/>
      <c r="NM66" s="8" t="str">
        <f t="shared" si="191"/>
        <v>2026//3/25</v>
      </c>
      <c r="NN66" s="262">
        <v>2638211.08</v>
      </c>
      <c r="NO66" s="8">
        <f t="shared" si="192"/>
        <v>2634311.08</v>
      </c>
      <c r="NP66" s="210">
        <f t="shared" si="193"/>
        <v>3900</v>
      </c>
      <c r="NQ66" s="211">
        <f t="shared" si="194"/>
        <v>0.00148046296794986</v>
      </c>
      <c r="NR66" s="192"/>
      <c r="NU66" s="8" t="str">
        <f t="shared" si="195"/>
        <v>2026//3/25</v>
      </c>
      <c r="NV66" s="262">
        <v>249976.5</v>
      </c>
      <c r="NW66" s="205">
        <f t="shared" si="196"/>
        <v>249376.5</v>
      </c>
      <c r="NX66" s="210">
        <f t="shared" si="197"/>
        <v>600</v>
      </c>
      <c r="NY66" s="211">
        <f t="shared" si="198"/>
        <v>0.00240600056541013</v>
      </c>
      <c r="NZ66" s="201"/>
      <c r="OA66" s="200"/>
      <c r="OC66" s="8" t="str">
        <f t="shared" si="199"/>
        <v>2026//3/25</v>
      </c>
      <c r="OD66" s="262">
        <v>11132.97</v>
      </c>
      <c r="OE66" s="12">
        <f t="shared" si="200"/>
        <v>11182.97</v>
      </c>
      <c r="OF66" s="12">
        <f t="shared" si="201"/>
        <v>-50</v>
      </c>
      <c r="OG66" s="199">
        <f t="shared" si="202"/>
        <v>-0.00447108415742866</v>
      </c>
      <c r="OH66" s="192"/>
      <c r="OI66" s="192"/>
      <c r="OK66" s="8" t="str">
        <f t="shared" si="203"/>
        <v>2026//3/25</v>
      </c>
      <c r="OL66" s="262">
        <v>11033.65</v>
      </c>
      <c r="OM66" s="12">
        <f t="shared" si="204"/>
        <v>10943.65</v>
      </c>
      <c r="ON66" s="12">
        <f t="shared" si="205"/>
        <v>90</v>
      </c>
      <c r="OO66" s="199">
        <f t="shared" si="206"/>
        <v>0.00822394722053428</v>
      </c>
      <c r="OP66" s="192"/>
      <c r="OQ66" s="192"/>
      <c r="OT66" s="234" t="str">
        <f t="shared" ref="OT66:OT129" si="211">OK66</f>
        <v>2026//3/25</v>
      </c>
      <c r="OU66" s="206">
        <v>143232.4066</v>
      </c>
      <c r="OV66" s="8">
        <f t="shared" si="208"/>
        <v>143112.4066</v>
      </c>
      <c r="OW66" s="191">
        <f t="shared" si="209"/>
        <v>120</v>
      </c>
      <c r="OX66" s="192">
        <f t="shared" si="210"/>
        <v>0.000838501726376531</v>
      </c>
    </row>
    <row r="67" s="8" customFormat="1" ht="17" customHeight="1" spans="1:414">
      <c r="A67" s="15"/>
      <c r="B67" s="15"/>
      <c r="C67" s="15" t="s">
        <v>496</v>
      </c>
      <c r="D67" s="19">
        <v>4567098.77</v>
      </c>
      <c r="E67" s="19">
        <f t="shared" si="8"/>
        <v>4574928.77</v>
      </c>
      <c r="F67" s="19">
        <f t="shared" si="9"/>
        <v>-7830</v>
      </c>
      <c r="G67" s="172">
        <f t="shared" si="10"/>
        <v>-0.00171150205689432</v>
      </c>
      <c r="H67" s="18"/>
      <c r="I67" s="172"/>
      <c r="J67" s="172"/>
      <c r="K67" s="8" t="str">
        <f t="shared" si="11"/>
        <v>2026//3/24</v>
      </c>
      <c r="L67" s="19">
        <v>3187504.4</v>
      </c>
      <c r="M67" s="19">
        <f t="shared" si="12"/>
        <v>3187054.4</v>
      </c>
      <c r="N67" s="19">
        <f t="shared" si="13"/>
        <v>450</v>
      </c>
      <c r="O67" s="172">
        <f t="shared" si="14"/>
        <v>0.00014119620926458</v>
      </c>
      <c r="P67" s="18"/>
      <c r="Q67" s="172"/>
      <c r="R67" s="19"/>
      <c r="S67" s="8" t="str">
        <f t="shared" si="15"/>
        <v>2026//3/24</v>
      </c>
      <c r="T67" s="19">
        <v>2425116.68</v>
      </c>
      <c r="U67" s="19">
        <f t="shared" si="16"/>
        <v>2440056.68</v>
      </c>
      <c r="V67" s="19">
        <f t="shared" si="17"/>
        <v>-14940</v>
      </c>
      <c r="W67" s="172">
        <f t="shared" si="18"/>
        <v>-0.00612280858983981</v>
      </c>
      <c r="X67" s="18"/>
      <c r="Y67" s="172"/>
      <c r="Z67" s="19"/>
      <c r="AA67" s="8" t="str">
        <f t="shared" si="19"/>
        <v>2026//3/24</v>
      </c>
      <c r="AB67" s="19">
        <v>967016.86</v>
      </c>
      <c r="AC67" s="19">
        <f t="shared" si="20"/>
        <v>963136.86</v>
      </c>
      <c r="AD67" s="19">
        <f t="shared" si="21"/>
        <v>3880</v>
      </c>
      <c r="AE67" s="172">
        <f t="shared" si="22"/>
        <v>0.00402850328041645</v>
      </c>
      <c r="AF67" s="18"/>
      <c r="AG67" s="172"/>
      <c r="AH67" s="19"/>
      <c r="AI67" s="8" t="str">
        <f t="shared" si="23"/>
        <v>2026//3/24</v>
      </c>
      <c r="AJ67" s="19">
        <v>824321.76</v>
      </c>
      <c r="AK67" s="19">
        <f t="shared" si="24"/>
        <v>813121.76</v>
      </c>
      <c r="AL67" s="19">
        <f t="shared" si="25"/>
        <v>11200</v>
      </c>
      <c r="AM67" s="172">
        <f t="shared" si="26"/>
        <v>0.0137740748691807</v>
      </c>
      <c r="AN67" s="18"/>
      <c r="AO67" s="18"/>
      <c r="AP67" s="19"/>
      <c r="AQ67" s="8" t="str">
        <f t="shared" si="27"/>
        <v>2026//3/24</v>
      </c>
      <c r="AR67" s="21">
        <v>1604345.49</v>
      </c>
      <c r="AS67" s="19">
        <f t="shared" si="28"/>
        <v>1598845.49</v>
      </c>
      <c r="AT67" s="19">
        <f t="shared" si="29"/>
        <v>5500</v>
      </c>
      <c r="AU67" s="172">
        <f t="shared" si="30"/>
        <v>0.00343998218364427</v>
      </c>
      <c r="AV67" s="18"/>
      <c r="AW67" s="18"/>
      <c r="AX67" s="17"/>
      <c r="AY67" s="17"/>
      <c r="AZ67" s="8" t="str">
        <f t="shared" si="31"/>
        <v>2026//3/24</v>
      </c>
      <c r="BA67" s="255">
        <v>2008281.66</v>
      </c>
      <c r="BB67" s="129">
        <f t="shared" si="32"/>
        <v>2008641.66</v>
      </c>
      <c r="BC67" s="17">
        <f t="shared" si="33"/>
        <v>-360</v>
      </c>
      <c r="BD67" s="18">
        <f t="shared" si="34"/>
        <v>-0.000179225596665161</v>
      </c>
      <c r="BE67" s="18"/>
      <c r="BF67" s="18"/>
      <c r="BG67" s="74"/>
      <c r="BH67" s="8" t="str">
        <f t="shared" si="35"/>
        <v>2026//3/24</v>
      </c>
      <c r="BI67" s="256">
        <v>1600626.55</v>
      </c>
      <c r="BJ67" s="195">
        <f t="shared" si="36"/>
        <v>1627826.55</v>
      </c>
      <c r="BK67" s="195">
        <f t="shared" si="37"/>
        <v>-27200</v>
      </c>
      <c r="BL67" s="196">
        <f t="shared" si="38"/>
        <v>-0.0167093969563281</v>
      </c>
      <c r="BM67" s="197"/>
      <c r="BN67" s="192"/>
      <c r="BP67" s="8" t="str">
        <f t="shared" si="39"/>
        <v>2026//3/24</v>
      </c>
      <c r="BQ67" s="198">
        <v>1221862.39</v>
      </c>
      <c r="BR67" s="12">
        <f t="shared" si="40"/>
        <v>1244662.39</v>
      </c>
      <c r="BS67" s="12">
        <f t="shared" si="41"/>
        <v>-22800</v>
      </c>
      <c r="BT67" s="199">
        <f t="shared" si="42"/>
        <v>-0.0183182204131676</v>
      </c>
      <c r="BU67" s="192"/>
      <c r="BV67" s="192"/>
      <c r="BX67" s="8" t="str">
        <f t="shared" si="43"/>
        <v>2026//3/24</v>
      </c>
      <c r="BY67" s="257">
        <v>3077060.7</v>
      </c>
      <c r="BZ67" s="12">
        <f t="shared" si="44"/>
        <v>3099310.7</v>
      </c>
      <c r="CA67" s="12">
        <f t="shared" si="45"/>
        <v>-22250</v>
      </c>
      <c r="CB67" s="199">
        <f t="shared" si="46"/>
        <v>-0.00717901564370426</v>
      </c>
      <c r="CC67" s="192"/>
      <c r="CD67" s="201"/>
      <c r="CF67" s="8" t="str">
        <f t="shared" si="47"/>
        <v>2026//3/24</v>
      </c>
      <c r="CG67" s="200">
        <v>1404403.9</v>
      </c>
      <c r="CH67" s="12">
        <f t="shared" si="48"/>
        <v>1434453.9</v>
      </c>
      <c r="CI67" s="12">
        <f t="shared" si="49"/>
        <v>-30050</v>
      </c>
      <c r="CJ67" s="199">
        <f t="shared" si="50"/>
        <v>-0.020948738749987</v>
      </c>
      <c r="CK67" s="192"/>
      <c r="CL67" s="201"/>
      <c r="CN67" s="8" t="str">
        <f t="shared" si="51"/>
        <v>2026//3/24</v>
      </c>
      <c r="CO67" s="200">
        <v>664046.48</v>
      </c>
      <c r="CP67" s="12">
        <f t="shared" si="52"/>
        <v>707046.48</v>
      </c>
      <c r="CQ67" s="12">
        <f t="shared" si="53"/>
        <v>-43000</v>
      </c>
      <c r="CR67" s="199">
        <f t="shared" si="54"/>
        <v>-0.0608163695263712</v>
      </c>
      <c r="CS67" s="201"/>
      <c r="CT67" s="201"/>
      <c r="CV67" s="8" t="str">
        <f t="shared" si="55"/>
        <v>2026//3/24</v>
      </c>
      <c r="CW67" s="200">
        <v>552240.4</v>
      </c>
      <c r="CX67" s="12">
        <f t="shared" si="56"/>
        <v>562890.4</v>
      </c>
      <c r="CY67" s="12">
        <f t="shared" si="57"/>
        <v>-10650</v>
      </c>
      <c r="CZ67" s="199">
        <f t="shared" si="58"/>
        <v>-0.0189202018723361</v>
      </c>
      <c r="DA67" s="192"/>
      <c r="DB67" s="192"/>
      <c r="DC67" s="277"/>
      <c r="DD67" s="8" t="str">
        <f t="shared" si="59"/>
        <v>2026//3/24</v>
      </c>
      <c r="DE67" s="257">
        <v>2458317.98</v>
      </c>
      <c r="DF67" s="12">
        <f t="shared" si="60"/>
        <v>2459917.98</v>
      </c>
      <c r="DG67" s="12">
        <f t="shared" si="61"/>
        <v>-1600</v>
      </c>
      <c r="DH67" s="199">
        <f t="shared" si="62"/>
        <v>-0.000650428190292751</v>
      </c>
      <c r="DI67" s="192"/>
      <c r="DJ67" s="192"/>
      <c r="DL67" s="8" t="str">
        <f t="shared" si="63"/>
        <v>2026//3/24</v>
      </c>
      <c r="DM67" s="200">
        <v>1436500.36</v>
      </c>
      <c r="DN67" s="12">
        <f t="shared" si="64"/>
        <v>1442300.36</v>
      </c>
      <c r="DO67" s="12">
        <f t="shared" si="65"/>
        <v>-5800</v>
      </c>
      <c r="DP67" s="199">
        <f t="shared" si="66"/>
        <v>-0.00402135377682357</v>
      </c>
      <c r="DQ67" s="192"/>
      <c r="DR67" s="192"/>
      <c r="DT67" s="8" t="str">
        <f t="shared" si="67"/>
        <v>2026//3/24</v>
      </c>
      <c r="DU67" s="200">
        <v>1725089.48</v>
      </c>
      <c r="DV67" s="12">
        <f t="shared" si="68"/>
        <v>1729589.48</v>
      </c>
      <c r="DW67" s="12">
        <f t="shared" si="69"/>
        <v>-4500</v>
      </c>
      <c r="DX67" s="199">
        <f t="shared" si="70"/>
        <v>-0.00260177345667019</v>
      </c>
      <c r="DY67" s="192"/>
      <c r="DZ67" s="192"/>
      <c r="EB67" s="8" t="str">
        <f t="shared" si="71"/>
        <v>2026//3/24</v>
      </c>
      <c r="EC67" s="200">
        <v>5201666.82</v>
      </c>
      <c r="ED67" s="12">
        <f t="shared" si="72"/>
        <v>5179466.82</v>
      </c>
      <c r="EE67" s="12">
        <f t="shared" si="73"/>
        <v>22200</v>
      </c>
      <c r="EF67" s="199">
        <f t="shared" si="74"/>
        <v>0.00428615546184733</v>
      </c>
      <c r="EG67" s="192"/>
      <c r="EH67" s="192"/>
      <c r="EJ67" s="8" t="str">
        <f t="shared" si="75"/>
        <v>2026//3/24</v>
      </c>
      <c r="EK67" s="257">
        <v>1561522.96</v>
      </c>
      <c r="EL67" s="12">
        <f t="shared" si="76"/>
        <v>1569522.96</v>
      </c>
      <c r="EM67" s="12">
        <f t="shared" si="77"/>
        <v>-8000</v>
      </c>
      <c r="EN67" s="199">
        <f t="shared" si="78"/>
        <v>-0.00509709013750267</v>
      </c>
      <c r="EO67" s="192"/>
      <c r="EP67" s="192"/>
      <c r="ER67" s="8" t="str">
        <f t="shared" si="79"/>
        <v>2026//3/24</v>
      </c>
      <c r="ES67" s="8">
        <v>543347.02</v>
      </c>
      <c r="ET67" s="12">
        <f t="shared" si="80"/>
        <v>545747.02</v>
      </c>
      <c r="EU67" s="12">
        <f t="shared" si="81"/>
        <v>-2400</v>
      </c>
      <c r="EV67" s="199">
        <f t="shared" si="82"/>
        <v>-0.00439764196971703</v>
      </c>
      <c r="EW67" s="192"/>
      <c r="EX67" s="192"/>
      <c r="EZ67" s="8" t="str">
        <f t="shared" si="83"/>
        <v>2026//3/24</v>
      </c>
      <c r="FA67" s="200">
        <v>751608</v>
      </c>
      <c r="FB67" s="12">
        <f t="shared" si="84"/>
        <v>756008</v>
      </c>
      <c r="FC67" s="12">
        <f t="shared" si="85"/>
        <v>-4400</v>
      </c>
      <c r="FD67" s="199">
        <f t="shared" si="86"/>
        <v>-0.00582004423233617</v>
      </c>
      <c r="FE67" s="192"/>
      <c r="FF67" s="192"/>
      <c r="FH67" s="8" t="str">
        <f t="shared" si="87"/>
        <v>2026//3/24</v>
      </c>
      <c r="FI67" s="198">
        <v>1113495.33</v>
      </c>
      <c r="FJ67" s="12">
        <f t="shared" si="88"/>
        <v>1126195.33</v>
      </c>
      <c r="FK67" s="12">
        <f t="shared" si="89"/>
        <v>-12700</v>
      </c>
      <c r="FL67" s="199">
        <f t="shared" si="90"/>
        <v>-0.0112769069997831</v>
      </c>
      <c r="FM67" s="201"/>
      <c r="FN67" s="201"/>
      <c r="FP67" s="8" t="str">
        <f t="shared" si="91"/>
        <v>2026//3/24</v>
      </c>
      <c r="FQ67" s="200">
        <v>2323318.73</v>
      </c>
      <c r="FR67" s="12">
        <f t="shared" si="92"/>
        <v>2318068.73</v>
      </c>
      <c r="FS67" s="12">
        <f t="shared" si="93"/>
        <v>5250</v>
      </c>
      <c r="FT67" s="199">
        <f t="shared" si="94"/>
        <v>0.00226481636720064</v>
      </c>
      <c r="FU67" s="192"/>
      <c r="FV67" s="192"/>
      <c r="FX67" s="8" t="str">
        <f t="shared" si="95"/>
        <v>2026//3/24</v>
      </c>
      <c r="FY67" s="200">
        <v>8616082.05</v>
      </c>
      <c r="FZ67" s="12">
        <f t="shared" si="96"/>
        <v>8568582.05</v>
      </c>
      <c r="GA67" s="12">
        <f t="shared" si="97"/>
        <v>47500</v>
      </c>
      <c r="GB67" s="199">
        <f t="shared" si="98"/>
        <v>0.00554350763321453</v>
      </c>
      <c r="GC67" s="192"/>
      <c r="GD67" s="192"/>
      <c r="GF67" s="8" t="str">
        <f t="shared" si="99"/>
        <v>2026//3/24</v>
      </c>
      <c r="GG67" s="200">
        <v>4784969.49</v>
      </c>
      <c r="GH67" s="12">
        <f t="shared" si="100"/>
        <v>4830069.49</v>
      </c>
      <c r="GI67" s="12">
        <f t="shared" si="101"/>
        <v>-45100</v>
      </c>
      <c r="GJ67" s="199">
        <f t="shared" si="102"/>
        <v>-0.00933733978224814</v>
      </c>
      <c r="GK67" s="192"/>
      <c r="GL67" s="192"/>
      <c r="GN67" s="8" t="str">
        <f t="shared" si="103"/>
        <v>2026//3/24</v>
      </c>
      <c r="GO67" s="257">
        <v>1836298.12</v>
      </c>
      <c r="GP67" s="12">
        <f t="shared" si="104"/>
        <v>1842538.12</v>
      </c>
      <c r="GQ67" s="12">
        <f t="shared" si="105"/>
        <v>-6240</v>
      </c>
      <c r="GR67" s="199">
        <f t="shared" si="106"/>
        <v>-0.00338663278239258</v>
      </c>
      <c r="GS67" s="192"/>
      <c r="GT67" s="192"/>
      <c r="GV67" s="8" t="str">
        <f t="shared" si="107"/>
        <v>2026//3/24</v>
      </c>
      <c r="GW67" s="200">
        <v>1068749.4</v>
      </c>
      <c r="GX67" s="12">
        <f t="shared" si="108"/>
        <v>1071749.4</v>
      </c>
      <c r="GY67" s="12">
        <f t="shared" si="109"/>
        <v>-3000</v>
      </c>
      <c r="GZ67" s="199">
        <f t="shared" si="110"/>
        <v>-0.00279916181898492</v>
      </c>
      <c r="HA67" s="192"/>
      <c r="HB67" s="192"/>
      <c r="HD67" s="8" t="str">
        <f t="shared" si="111"/>
        <v>2026//3/24</v>
      </c>
      <c r="HE67" s="257">
        <v>1055064.67</v>
      </c>
      <c r="HF67" s="12">
        <f t="shared" si="112"/>
        <v>1051064.67</v>
      </c>
      <c r="HG67" s="12">
        <f t="shared" si="113"/>
        <v>4000</v>
      </c>
      <c r="HH67" s="199">
        <f t="shared" si="114"/>
        <v>0.00380566497397349</v>
      </c>
      <c r="HI67" s="201"/>
      <c r="HJ67" s="192"/>
      <c r="HL67" s="8" t="str">
        <f t="shared" si="115"/>
        <v>2026//3/24</v>
      </c>
      <c r="HM67" s="200">
        <v>156804.25</v>
      </c>
      <c r="HN67" s="12">
        <f t="shared" si="116"/>
        <v>154304.25</v>
      </c>
      <c r="HO67" s="12">
        <f t="shared" si="117"/>
        <v>2500</v>
      </c>
      <c r="HP67" s="199">
        <f t="shared" si="118"/>
        <v>0.0162017572425905</v>
      </c>
      <c r="HQ67" s="192"/>
      <c r="HR67" s="192"/>
      <c r="HT67" s="8" t="str">
        <f t="shared" si="119"/>
        <v>2026//3/24</v>
      </c>
      <c r="HU67" s="257">
        <v>240168.82</v>
      </c>
      <c r="HV67" s="12">
        <f t="shared" si="120"/>
        <v>239568.82</v>
      </c>
      <c r="HW67" s="12">
        <f t="shared" si="121"/>
        <v>600</v>
      </c>
      <c r="HX67" s="199">
        <f t="shared" si="122"/>
        <v>0.00250449954213574</v>
      </c>
      <c r="HY67" s="192"/>
      <c r="HZ67" s="192"/>
      <c r="IB67" s="8" t="str">
        <f t="shared" si="123"/>
        <v>2026//3/24</v>
      </c>
      <c r="IC67" s="200">
        <v>468259.79</v>
      </c>
      <c r="ID67" s="12">
        <f t="shared" si="124"/>
        <v>468809.79</v>
      </c>
      <c r="IE67" s="12">
        <f t="shared" si="125"/>
        <v>-550</v>
      </c>
      <c r="IF67" s="199">
        <f t="shared" si="126"/>
        <v>-0.00117318369140713</v>
      </c>
      <c r="IG67" s="201"/>
      <c r="IH67" s="192"/>
      <c r="IJ67" s="8" t="str">
        <f t="shared" si="127"/>
        <v>2026//3/24</v>
      </c>
      <c r="IK67" s="257">
        <v>561356.29</v>
      </c>
      <c r="IL67" s="12">
        <f t="shared" si="128"/>
        <v>544156.29</v>
      </c>
      <c r="IM67" s="12">
        <f t="shared" si="129"/>
        <v>17200</v>
      </c>
      <c r="IN67" s="199">
        <f t="shared" si="130"/>
        <v>0.0316085659875401</v>
      </c>
      <c r="IO67" s="192"/>
      <c r="IP67" s="192"/>
      <c r="IR67" s="8" t="str">
        <f t="shared" si="131"/>
        <v>2026//3/24</v>
      </c>
      <c r="IS67" s="200">
        <v>144989</v>
      </c>
      <c r="IT67" s="12">
        <f t="shared" si="132"/>
        <v>146489</v>
      </c>
      <c r="IU67" s="12">
        <f t="shared" si="133"/>
        <v>-1500</v>
      </c>
      <c r="IV67" s="199">
        <f t="shared" si="134"/>
        <v>-0.0102396766992743</v>
      </c>
      <c r="IW67" s="192"/>
      <c r="IX67" s="192"/>
      <c r="IZ67" s="8" t="str">
        <f t="shared" si="135"/>
        <v>2026//3/24</v>
      </c>
      <c r="JA67" s="200">
        <v>5069729.15</v>
      </c>
      <c r="JB67" s="12">
        <f t="shared" si="136"/>
        <v>5090829.15</v>
      </c>
      <c r="JC67" s="12">
        <f t="shared" si="137"/>
        <v>-21100</v>
      </c>
      <c r="JD67" s="199">
        <f t="shared" si="138"/>
        <v>-0.00414470794015941</v>
      </c>
      <c r="JE67" s="192"/>
      <c r="JF67" s="192"/>
      <c r="JH67" s="8" t="str">
        <f t="shared" si="139"/>
        <v>2026//3/24</v>
      </c>
      <c r="JI67" s="200">
        <v>1540467.99</v>
      </c>
      <c r="JJ67" s="12">
        <f t="shared" si="140"/>
        <v>1540347.99</v>
      </c>
      <c r="JK67" s="12">
        <f t="shared" si="141"/>
        <v>120</v>
      </c>
      <c r="JL67" s="199">
        <f t="shared" si="142"/>
        <v>7.79044740403108e-5</v>
      </c>
      <c r="JM67" s="192"/>
      <c r="JN67" s="192"/>
      <c r="JP67" s="8" t="str">
        <f t="shared" si="143"/>
        <v>2026//3/24</v>
      </c>
      <c r="JQ67" s="257">
        <v>1067290.41</v>
      </c>
      <c r="JR67" s="12">
        <f t="shared" si="144"/>
        <v>1078290.41</v>
      </c>
      <c r="JS67" s="12">
        <f t="shared" si="145"/>
        <v>-11000</v>
      </c>
      <c r="JT67" s="199">
        <f t="shared" si="146"/>
        <v>-0.010201333423711</v>
      </c>
      <c r="JU67" s="192"/>
      <c r="JV67" s="201"/>
      <c r="JX67" s="8" t="str">
        <f t="shared" si="147"/>
        <v>2026//3/24</v>
      </c>
      <c r="JY67" s="200">
        <v>1273248.8</v>
      </c>
      <c r="JZ67" s="12">
        <f t="shared" si="148"/>
        <v>1307148.8</v>
      </c>
      <c r="KA67" s="12">
        <f t="shared" si="149"/>
        <v>-33900</v>
      </c>
      <c r="KB67" s="199">
        <f t="shared" si="150"/>
        <v>-0.0259343083205217</v>
      </c>
      <c r="KC67" s="192"/>
      <c r="KD67" s="201"/>
      <c r="KF67" s="8" t="str">
        <f t="shared" si="151"/>
        <v>2026//3/24</v>
      </c>
      <c r="KG67" s="257">
        <v>742955.92</v>
      </c>
      <c r="KH67" s="12">
        <f t="shared" si="152"/>
        <v>751755.92</v>
      </c>
      <c r="KI67" s="12">
        <f t="shared" si="153"/>
        <v>-8800</v>
      </c>
      <c r="KJ67" s="199">
        <f t="shared" si="154"/>
        <v>-0.0117059271046379</v>
      </c>
      <c r="KK67" s="201"/>
      <c r="KL67" s="201"/>
      <c r="KN67" s="8" t="str">
        <f t="shared" si="155"/>
        <v>2026//3/24</v>
      </c>
      <c r="KO67" s="200">
        <v>8179075.95</v>
      </c>
      <c r="KP67" s="12">
        <f t="shared" si="156"/>
        <v>8179075.95</v>
      </c>
      <c r="KQ67" s="12">
        <f t="shared" si="157"/>
        <v>0</v>
      </c>
      <c r="KR67" s="199">
        <f t="shared" si="158"/>
        <v>0</v>
      </c>
      <c r="KS67" s="192"/>
      <c r="KT67" s="192"/>
      <c r="KV67" s="8" t="str">
        <f t="shared" si="159"/>
        <v>2026//3/24</v>
      </c>
      <c r="KW67" s="257">
        <v>1035572.97</v>
      </c>
      <c r="KX67" s="12">
        <f t="shared" si="160"/>
        <v>1038572.97</v>
      </c>
      <c r="KY67" s="12">
        <f t="shared" si="161"/>
        <v>-3000</v>
      </c>
      <c r="KZ67" s="199">
        <f t="shared" si="162"/>
        <v>-0.00288857893153141</v>
      </c>
      <c r="LA67" s="201"/>
      <c r="LB67" s="192"/>
      <c r="LD67" s="8" t="str">
        <f t="shared" si="163"/>
        <v>2026//3/24</v>
      </c>
      <c r="LE67" s="200">
        <v>447107.7</v>
      </c>
      <c r="LF67" s="12">
        <f t="shared" si="164"/>
        <v>463407.7</v>
      </c>
      <c r="LG67" s="12">
        <f t="shared" si="165"/>
        <v>-16300</v>
      </c>
      <c r="LH67" s="199">
        <f t="shared" si="166"/>
        <v>-0.0351742105277923</v>
      </c>
      <c r="LI67" s="192"/>
      <c r="LJ67" s="192"/>
      <c r="LL67" s="8" t="str">
        <f t="shared" si="167"/>
        <v>2026//3/24</v>
      </c>
      <c r="LM67" s="198">
        <v>3616135.02</v>
      </c>
      <c r="LN67" s="12">
        <f t="shared" si="168"/>
        <v>3603355.02</v>
      </c>
      <c r="LO67" s="12">
        <f t="shared" si="169"/>
        <v>12780</v>
      </c>
      <c r="LP67" s="199">
        <f t="shared" si="170"/>
        <v>0.00354669465791356</v>
      </c>
      <c r="LQ67" s="192"/>
      <c r="LR67" s="192"/>
      <c r="LT67" s="8" t="str">
        <f t="shared" si="171"/>
        <v>2026//3/24</v>
      </c>
      <c r="LU67" s="257">
        <v>2755862.9</v>
      </c>
      <c r="LV67" s="12">
        <f t="shared" si="172"/>
        <v>2749062.9</v>
      </c>
      <c r="LW67" s="12">
        <f t="shared" si="173"/>
        <v>6800</v>
      </c>
      <c r="LX67" s="199">
        <f t="shared" si="174"/>
        <v>0.00247357017549508</v>
      </c>
      <c r="LY67" s="192"/>
      <c r="LZ67" s="192"/>
      <c r="MB67" s="8" t="str">
        <f t="shared" si="175"/>
        <v>2026//3/24</v>
      </c>
      <c r="MC67" s="200">
        <v>830867.69</v>
      </c>
      <c r="MD67" s="12">
        <f t="shared" si="176"/>
        <v>804267.69</v>
      </c>
      <c r="ME67" s="12">
        <f t="shared" si="177"/>
        <v>26600</v>
      </c>
      <c r="MF67" s="199">
        <f t="shared" si="178"/>
        <v>0.0330735653448916</v>
      </c>
      <c r="MG67" s="192"/>
      <c r="MH67" s="192"/>
      <c r="MI67" s="8"/>
      <c r="MJ67" s="8"/>
      <c r="MK67" s="8" t="str">
        <f t="shared" si="179"/>
        <v>2026//3/24</v>
      </c>
      <c r="ML67" s="258">
        <v>227025.53</v>
      </c>
      <c r="MM67" s="12">
        <f t="shared" si="180"/>
        <v>228105.53</v>
      </c>
      <c r="MN67" s="12">
        <f t="shared" si="181"/>
        <v>-1080</v>
      </c>
      <c r="MO67" s="199">
        <f t="shared" si="182"/>
        <v>-0.00473465066804825</v>
      </c>
      <c r="MP67" s="192"/>
      <c r="MQ67" s="201"/>
      <c r="MR67" s="201"/>
      <c r="MT67" s="8" t="str">
        <f t="shared" si="183"/>
        <v>2026//3/24</v>
      </c>
      <c r="MU67" s="8">
        <v>333114.8</v>
      </c>
      <c r="MV67" s="204">
        <f t="shared" si="184"/>
        <v>350214.8</v>
      </c>
      <c r="MW67" s="8">
        <f t="shared" si="185"/>
        <v>-17100</v>
      </c>
      <c r="MX67" s="192">
        <f t="shared" si="186"/>
        <v>-0.0488271769211353</v>
      </c>
      <c r="MY67" s="192"/>
      <c r="MZ67" s="192"/>
      <c r="NA67" s="192"/>
      <c r="NC67" s="8" t="str">
        <f t="shared" si="187"/>
        <v>2026//3/24</v>
      </c>
      <c r="ND67" s="8">
        <v>44891.48</v>
      </c>
      <c r="NE67" s="204">
        <f t="shared" si="188"/>
        <v>46491.48</v>
      </c>
      <c r="NF67" s="8">
        <f t="shared" si="189"/>
        <v>-1600</v>
      </c>
      <c r="NG67" s="192">
        <f t="shared" si="190"/>
        <v>-0.0344149078497824</v>
      </c>
      <c r="NH67" s="192"/>
      <c r="NI67" s="192"/>
      <c r="NJ67" s="192"/>
      <c r="NK67" s="192"/>
      <c r="NM67" s="8" t="str">
        <f t="shared" si="191"/>
        <v>2026//3/24</v>
      </c>
      <c r="NN67" s="8">
        <v>2634311.08</v>
      </c>
      <c r="NO67" s="8">
        <f t="shared" si="192"/>
        <v>2638611.08</v>
      </c>
      <c r="NP67" s="210">
        <f t="shared" si="193"/>
        <v>-4300</v>
      </c>
      <c r="NQ67" s="211">
        <f t="shared" si="194"/>
        <v>-0.00162964524502793</v>
      </c>
      <c r="NR67" s="192"/>
      <c r="NU67" s="8" t="str">
        <f t="shared" si="195"/>
        <v>2026//3/24</v>
      </c>
      <c r="NV67" s="8">
        <v>249376.5</v>
      </c>
      <c r="NW67" s="205">
        <f t="shared" si="196"/>
        <v>248826.5</v>
      </c>
      <c r="NX67" s="210">
        <f t="shared" si="197"/>
        <v>550</v>
      </c>
      <c r="NY67" s="211">
        <f t="shared" si="198"/>
        <v>0.00221037550260925</v>
      </c>
      <c r="NZ67" s="201"/>
      <c r="OA67" s="200"/>
      <c r="OC67" s="8" t="str">
        <f t="shared" si="199"/>
        <v>2026//3/24</v>
      </c>
      <c r="OD67" s="200">
        <v>11182.97</v>
      </c>
      <c r="OE67" s="12">
        <f t="shared" si="200"/>
        <v>11239.97</v>
      </c>
      <c r="OF67" s="12">
        <f t="shared" si="201"/>
        <v>-57</v>
      </c>
      <c r="OG67" s="199">
        <f t="shared" si="202"/>
        <v>-0.00507118791242325</v>
      </c>
      <c r="OH67" s="192"/>
      <c r="OI67" s="192"/>
      <c r="OK67" s="8" t="str">
        <f t="shared" si="203"/>
        <v>2026//3/24</v>
      </c>
      <c r="OL67" s="200">
        <v>10943.65</v>
      </c>
      <c r="OM67" s="12">
        <f t="shared" si="204"/>
        <v>10944.65</v>
      </c>
      <c r="ON67" s="12">
        <f t="shared" si="205"/>
        <v>-1</v>
      </c>
      <c r="OO67" s="199">
        <f t="shared" si="206"/>
        <v>-9.13688423110835e-5</v>
      </c>
      <c r="OP67" s="192"/>
      <c r="OQ67" s="192"/>
      <c r="OT67" s="234" t="str">
        <f t="shared" si="211"/>
        <v>2026//3/24</v>
      </c>
      <c r="OU67" s="206">
        <v>143112.4066</v>
      </c>
      <c r="OV67" s="8">
        <f t="shared" si="208"/>
        <v>142992.4066</v>
      </c>
      <c r="OW67" s="191">
        <f t="shared" si="209"/>
        <v>120</v>
      </c>
      <c r="OX67" s="192">
        <f t="shared" si="210"/>
        <v>0.000839205401554519</v>
      </c>
    </row>
    <row r="68" s="8" customFormat="1" ht="17" customHeight="1" spans="1:414">
      <c r="A68" s="15"/>
      <c r="B68" s="15"/>
      <c r="C68" s="15" t="s">
        <v>497</v>
      </c>
      <c r="D68" s="19">
        <v>4574928.77</v>
      </c>
      <c r="E68" s="19">
        <f t="shared" si="8"/>
        <v>4491858.77</v>
      </c>
      <c r="F68" s="19">
        <f t="shared" si="9"/>
        <v>83070</v>
      </c>
      <c r="G68" s="172">
        <f t="shared" si="10"/>
        <v>0.0184934576649657</v>
      </c>
      <c r="H68" s="18"/>
      <c r="I68" s="172"/>
      <c r="J68" s="172"/>
      <c r="K68" s="8" t="str">
        <f t="shared" si="11"/>
        <v>2026//3/23</v>
      </c>
      <c r="L68" s="19">
        <v>3187054.4</v>
      </c>
      <c r="M68" s="19">
        <f t="shared" si="12"/>
        <v>3170584.4</v>
      </c>
      <c r="N68" s="19">
        <f t="shared" si="13"/>
        <v>16470</v>
      </c>
      <c r="O68" s="172">
        <f t="shared" si="14"/>
        <v>0.00519462594971451</v>
      </c>
      <c r="P68" s="18"/>
      <c r="Q68" s="172"/>
      <c r="R68" s="19"/>
      <c r="S68" s="8" t="str">
        <f t="shared" si="15"/>
        <v>2026//3/23</v>
      </c>
      <c r="T68" s="19">
        <v>2440056.68</v>
      </c>
      <c r="U68" s="19">
        <f t="shared" si="16"/>
        <v>2385156.68</v>
      </c>
      <c r="V68" s="19">
        <f t="shared" si="17"/>
        <v>54900</v>
      </c>
      <c r="W68" s="172">
        <f t="shared" si="18"/>
        <v>0.0230173558241885</v>
      </c>
      <c r="X68" s="18"/>
      <c r="Y68" s="172"/>
      <c r="Z68" s="19"/>
      <c r="AA68" s="8" t="str">
        <f t="shared" si="19"/>
        <v>2026//3/23</v>
      </c>
      <c r="AB68" s="19">
        <v>963136.86</v>
      </c>
      <c r="AC68" s="19">
        <f t="shared" si="20"/>
        <v>967176.86</v>
      </c>
      <c r="AD68" s="19">
        <f t="shared" si="21"/>
        <v>-4040</v>
      </c>
      <c r="AE68" s="172">
        <f t="shared" si="22"/>
        <v>-0.00417710572604063</v>
      </c>
      <c r="AF68" s="18"/>
      <c r="AG68" s="172"/>
      <c r="AH68" s="19"/>
      <c r="AI68" s="8" t="str">
        <f t="shared" si="23"/>
        <v>2026//3/23</v>
      </c>
      <c r="AJ68" s="19">
        <v>813121.76</v>
      </c>
      <c r="AK68" s="19">
        <f t="shared" si="24"/>
        <v>769321.76</v>
      </c>
      <c r="AL68" s="19">
        <f t="shared" si="25"/>
        <v>43800</v>
      </c>
      <c r="AM68" s="172">
        <f t="shared" si="26"/>
        <v>0.0569332654778932</v>
      </c>
      <c r="AN68" s="18"/>
      <c r="AO68" s="18"/>
      <c r="AP68" s="19"/>
      <c r="AQ68" s="8" t="str">
        <f t="shared" si="27"/>
        <v>2026//3/23</v>
      </c>
      <c r="AR68" s="283">
        <v>1598845.49</v>
      </c>
      <c r="AS68" s="19">
        <f t="shared" si="28"/>
        <v>1561545.49</v>
      </c>
      <c r="AT68" s="19">
        <f t="shared" si="29"/>
        <v>37300</v>
      </c>
      <c r="AU68" s="172">
        <f t="shared" si="30"/>
        <v>0.0238865919941916</v>
      </c>
      <c r="AV68" s="18"/>
      <c r="AW68" s="18"/>
      <c r="AX68" s="17"/>
      <c r="AY68" s="17"/>
      <c r="AZ68" s="8" t="str">
        <f t="shared" si="31"/>
        <v>2026//3/23</v>
      </c>
      <c r="BA68" s="263">
        <v>2008641.66</v>
      </c>
      <c r="BB68" s="129">
        <f t="shared" si="32"/>
        <v>1990011.66</v>
      </c>
      <c r="BC68" s="17">
        <f t="shared" si="33"/>
        <v>18630</v>
      </c>
      <c r="BD68" s="18">
        <f t="shared" si="34"/>
        <v>0.00936175419193272</v>
      </c>
      <c r="BE68" s="18"/>
      <c r="BF68" s="18"/>
      <c r="BG68" s="74"/>
      <c r="BH68" s="8" t="str">
        <f t="shared" si="35"/>
        <v>2026//3/23</v>
      </c>
      <c r="BI68" s="256">
        <v>1627826.55</v>
      </c>
      <c r="BJ68" s="195">
        <f t="shared" si="36"/>
        <v>1635226.55</v>
      </c>
      <c r="BK68" s="195">
        <f t="shared" si="37"/>
        <v>-7400</v>
      </c>
      <c r="BL68" s="196">
        <f t="shared" si="38"/>
        <v>-0.00452536683678479</v>
      </c>
      <c r="BM68" s="197"/>
      <c r="BN68" s="192"/>
      <c r="BP68" s="8" t="str">
        <f t="shared" si="39"/>
        <v>2026//3/23</v>
      </c>
      <c r="BQ68" s="198">
        <v>1244662.39</v>
      </c>
      <c r="BR68" s="12">
        <f t="shared" si="40"/>
        <v>1286062.39</v>
      </c>
      <c r="BS68" s="12">
        <f t="shared" si="41"/>
        <v>-41400</v>
      </c>
      <c r="BT68" s="199">
        <f t="shared" si="42"/>
        <v>-0.032191284281317</v>
      </c>
      <c r="BU68" s="192"/>
      <c r="BV68" s="192"/>
      <c r="BX68" s="8" t="str">
        <f t="shared" si="43"/>
        <v>2026//3/23</v>
      </c>
      <c r="BY68" s="257">
        <v>3099310.7</v>
      </c>
      <c r="BZ68" s="12">
        <f t="shared" si="44"/>
        <v>3205760.7</v>
      </c>
      <c r="CA68" s="12">
        <f t="shared" si="45"/>
        <v>-106450</v>
      </c>
      <c r="CB68" s="199">
        <f t="shared" si="46"/>
        <v>-0.0332058472112407</v>
      </c>
      <c r="CC68" s="192"/>
      <c r="CD68" s="201"/>
      <c r="CF68" s="8" t="str">
        <f t="shared" si="47"/>
        <v>2026//3/23</v>
      </c>
      <c r="CG68" s="262">
        <v>1434453.9</v>
      </c>
      <c r="CH68" s="12">
        <f t="shared" si="48"/>
        <v>1487953.9</v>
      </c>
      <c r="CI68" s="12">
        <f t="shared" si="49"/>
        <v>-53500</v>
      </c>
      <c r="CJ68" s="199">
        <f t="shared" si="50"/>
        <v>-0.0359554150165539</v>
      </c>
      <c r="CK68" s="192"/>
      <c r="CL68" s="201"/>
      <c r="CN68" s="8" t="str">
        <f t="shared" si="51"/>
        <v>2026//3/23</v>
      </c>
      <c r="CO68" s="262">
        <v>707046.48</v>
      </c>
      <c r="CP68" s="12">
        <f t="shared" si="52"/>
        <v>725546.48</v>
      </c>
      <c r="CQ68" s="12">
        <f t="shared" si="53"/>
        <v>-18500</v>
      </c>
      <c r="CR68" s="199">
        <f t="shared" si="54"/>
        <v>-0.0254980218496822</v>
      </c>
      <c r="CS68" s="201"/>
      <c r="CT68" s="201"/>
      <c r="CV68" s="8" t="str">
        <f t="shared" si="55"/>
        <v>2026//3/23</v>
      </c>
      <c r="CW68" s="262">
        <v>562890.4</v>
      </c>
      <c r="CX68" s="12">
        <f t="shared" si="56"/>
        <v>588890.4</v>
      </c>
      <c r="CY68" s="12">
        <f t="shared" si="57"/>
        <v>-26000</v>
      </c>
      <c r="CZ68" s="199">
        <f t="shared" si="58"/>
        <v>-0.0441508301035303</v>
      </c>
      <c r="DA68" s="192"/>
      <c r="DB68" s="192"/>
      <c r="DC68" s="277"/>
      <c r="DD68" s="8" t="str">
        <f t="shared" si="59"/>
        <v>2026//3/23</v>
      </c>
      <c r="DE68" s="263">
        <v>2459917.98</v>
      </c>
      <c r="DF68" s="12">
        <f t="shared" si="60"/>
        <v>2412517.98</v>
      </c>
      <c r="DG68" s="12">
        <f t="shared" si="61"/>
        <v>47400</v>
      </c>
      <c r="DH68" s="199">
        <f t="shared" si="62"/>
        <v>0.0196475219637534</v>
      </c>
      <c r="DI68" s="192"/>
      <c r="DJ68" s="192"/>
      <c r="DL68" s="8" t="str">
        <f t="shared" si="63"/>
        <v>2026//3/23</v>
      </c>
      <c r="DM68" s="262">
        <v>1442300.36</v>
      </c>
      <c r="DN68" s="12">
        <f t="shared" si="64"/>
        <v>1413100.36</v>
      </c>
      <c r="DO68" s="12">
        <f t="shared" si="65"/>
        <v>29200</v>
      </c>
      <c r="DP68" s="199">
        <f t="shared" si="66"/>
        <v>0.0206637835687764</v>
      </c>
      <c r="DQ68" s="192"/>
      <c r="DR68" s="192"/>
      <c r="DT68" s="8" t="str">
        <f t="shared" si="67"/>
        <v>2026//3/23</v>
      </c>
      <c r="DU68" s="262">
        <v>1729589.48</v>
      </c>
      <c r="DV68" s="12">
        <f t="shared" si="68"/>
        <v>1713389.48</v>
      </c>
      <c r="DW68" s="12">
        <f t="shared" si="69"/>
        <v>16200</v>
      </c>
      <c r="DX68" s="199">
        <f t="shared" si="70"/>
        <v>0.00945494307575648</v>
      </c>
      <c r="DY68" s="192"/>
      <c r="DZ68" s="192"/>
      <c r="EB68" s="8" t="str">
        <f t="shared" si="71"/>
        <v>2026//3/23</v>
      </c>
      <c r="EC68" s="262">
        <v>5179466.82</v>
      </c>
      <c r="ED68" s="12">
        <f t="shared" si="72"/>
        <v>5086766.82</v>
      </c>
      <c r="EE68" s="12">
        <f t="shared" si="73"/>
        <v>92700</v>
      </c>
      <c r="EF68" s="199">
        <f t="shared" si="74"/>
        <v>0.0182237565196668</v>
      </c>
      <c r="EG68" s="192"/>
      <c r="EH68" s="192"/>
      <c r="EJ68" s="8" t="str">
        <f t="shared" si="75"/>
        <v>2026//3/23</v>
      </c>
      <c r="EK68" s="263">
        <v>1569522.96</v>
      </c>
      <c r="EL68" s="12">
        <f t="shared" si="76"/>
        <v>1567122.96</v>
      </c>
      <c r="EM68" s="12">
        <f t="shared" si="77"/>
        <v>2400</v>
      </c>
      <c r="EN68" s="199">
        <f t="shared" si="78"/>
        <v>0.00153146885168475</v>
      </c>
      <c r="EO68" s="192"/>
      <c r="EP68" s="192"/>
      <c r="ER68" s="8" t="str">
        <f t="shared" si="79"/>
        <v>2026//3/23</v>
      </c>
      <c r="ES68" s="262">
        <v>545747.02</v>
      </c>
      <c r="ET68" s="12">
        <f t="shared" si="80"/>
        <v>546047.02</v>
      </c>
      <c r="EU68" s="12">
        <f t="shared" si="81"/>
        <v>-300</v>
      </c>
      <c r="EV68" s="199">
        <f t="shared" si="82"/>
        <v>-0.000549403236373307</v>
      </c>
      <c r="EW68" s="192"/>
      <c r="EX68" s="192"/>
      <c r="EZ68" s="8" t="str">
        <f t="shared" si="83"/>
        <v>2026//3/23</v>
      </c>
      <c r="FA68" s="262">
        <v>756008</v>
      </c>
      <c r="FB68" s="12">
        <f t="shared" si="84"/>
        <v>754508</v>
      </c>
      <c r="FC68" s="12">
        <f t="shared" si="85"/>
        <v>1500</v>
      </c>
      <c r="FD68" s="199">
        <f t="shared" si="86"/>
        <v>0.00198805049118101</v>
      </c>
      <c r="FE68" s="192"/>
      <c r="FF68" s="192"/>
      <c r="FH68" s="8" t="str">
        <f t="shared" si="87"/>
        <v>2026//3/23</v>
      </c>
      <c r="FI68" s="263">
        <v>1126195.33</v>
      </c>
      <c r="FJ68" s="12">
        <f t="shared" si="88"/>
        <v>1125795.33</v>
      </c>
      <c r="FK68" s="12">
        <f t="shared" si="89"/>
        <v>400</v>
      </c>
      <c r="FL68" s="199">
        <f t="shared" si="90"/>
        <v>0.000355304369578438</v>
      </c>
      <c r="FM68" s="201"/>
      <c r="FN68" s="201"/>
      <c r="FP68" s="8" t="str">
        <f t="shared" si="91"/>
        <v>2026//3/23</v>
      </c>
      <c r="FQ68" s="262">
        <v>2318068.73</v>
      </c>
      <c r="FR68" s="12">
        <f t="shared" si="92"/>
        <v>2299318.73</v>
      </c>
      <c r="FS68" s="12">
        <f t="shared" si="93"/>
        <v>18750</v>
      </c>
      <c r="FT68" s="199">
        <f t="shared" si="94"/>
        <v>0.00815458933786009</v>
      </c>
      <c r="FU68" s="192"/>
      <c r="FV68" s="192"/>
      <c r="FX68" s="8" t="str">
        <f t="shared" si="95"/>
        <v>2026//3/23</v>
      </c>
      <c r="FY68" s="262">
        <v>8568582.05</v>
      </c>
      <c r="FZ68" s="12">
        <f t="shared" si="96"/>
        <v>8389182.05</v>
      </c>
      <c r="GA68" s="12">
        <f t="shared" si="97"/>
        <v>179400</v>
      </c>
      <c r="GB68" s="199">
        <f t="shared" si="98"/>
        <v>0.0213846831467914</v>
      </c>
      <c r="GC68" s="192"/>
      <c r="GD68" s="192"/>
      <c r="GF68" s="8" t="str">
        <f t="shared" si="99"/>
        <v>2026//3/23</v>
      </c>
      <c r="GG68" s="262">
        <v>4830069.49</v>
      </c>
      <c r="GH68" s="12">
        <f t="shared" si="100"/>
        <v>4759269.49</v>
      </c>
      <c r="GI68" s="12">
        <f t="shared" si="101"/>
        <v>70800</v>
      </c>
      <c r="GJ68" s="199">
        <f t="shared" si="102"/>
        <v>0.0148762326127491</v>
      </c>
      <c r="GK68" s="192"/>
      <c r="GL68" s="192"/>
      <c r="GN68" s="8" t="str">
        <f t="shared" si="103"/>
        <v>2026//3/23</v>
      </c>
      <c r="GO68" s="263">
        <v>1842538.12</v>
      </c>
      <c r="GP68" s="12">
        <f t="shared" si="104"/>
        <v>1829278.12</v>
      </c>
      <c r="GQ68" s="12">
        <f t="shared" si="105"/>
        <v>13260</v>
      </c>
      <c r="GR68" s="199">
        <f t="shared" si="106"/>
        <v>0.00724876105772259</v>
      </c>
      <c r="GS68" s="192"/>
      <c r="GT68" s="192"/>
      <c r="GV68" s="8" t="str">
        <f t="shared" si="107"/>
        <v>2026//3/23</v>
      </c>
      <c r="GW68" s="262">
        <v>1071749.4</v>
      </c>
      <c r="GX68" s="12">
        <f t="shared" si="108"/>
        <v>1047349.4</v>
      </c>
      <c r="GY68" s="12">
        <f t="shared" si="109"/>
        <v>24399.9999999999</v>
      </c>
      <c r="GZ68" s="199">
        <f t="shared" si="110"/>
        <v>0.0232969055025953</v>
      </c>
      <c r="HA68" s="192"/>
      <c r="HB68" s="192"/>
      <c r="HD68" s="8" t="str">
        <f t="shared" si="111"/>
        <v>2026//3/23</v>
      </c>
      <c r="HE68" s="263">
        <v>1051064.67</v>
      </c>
      <c r="HF68" s="12">
        <f t="shared" si="112"/>
        <v>1041664.67</v>
      </c>
      <c r="HG68" s="12">
        <f t="shared" si="113"/>
        <v>9399.99999999988</v>
      </c>
      <c r="HH68" s="199">
        <f t="shared" si="114"/>
        <v>0.00902401729723624</v>
      </c>
      <c r="HI68" s="201"/>
      <c r="HJ68" s="192"/>
      <c r="HL68" s="8" t="str">
        <f t="shared" si="115"/>
        <v>2026//3/23</v>
      </c>
      <c r="HM68" s="262">
        <v>154304.25</v>
      </c>
      <c r="HN68" s="12">
        <f t="shared" si="116"/>
        <v>155704.25</v>
      </c>
      <c r="HO68" s="12">
        <f t="shared" si="117"/>
        <v>-1400</v>
      </c>
      <c r="HP68" s="199">
        <f t="shared" si="118"/>
        <v>-0.00899140518001275</v>
      </c>
      <c r="HQ68" s="192"/>
      <c r="HR68" s="192"/>
      <c r="HT68" s="8" t="str">
        <f t="shared" si="119"/>
        <v>2026//3/23</v>
      </c>
      <c r="HU68" s="263">
        <v>239568.82</v>
      </c>
      <c r="HV68" s="12">
        <f t="shared" si="120"/>
        <v>255668.82</v>
      </c>
      <c r="HW68" s="12">
        <f t="shared" si="121"/>
        <v>-16100</v>
      </c>
      <c r="HX68" s="199">
        <f t="shared" si="122"/>
        <v>-0.0629720902220302</v>
      </c>
      <c r="HY68" s="192"/>
      <c r="HZ68" s="192"/>
      <c r="IB68" s="8" t="str">
        <f t="shared" si="123"/>
        <v>2026//3/23</v>
      </c>
      <c r="IC68" s="262">
        <v>468809.79</v>
      </c>
      <c r="ID68" s="12">
        <f t="shared" si="124"/>
        <v>476509.79</v>
      </c>
      <c r="IE68" s="12">
        <f t="shared" si="125"/>
        <v>-7700</v>
      </c>
      <c r="IF68" s="199">
        <f t="shared" si="126"/>
        <v>-0.0161591643269281</v>
      </c>
      <c r="IG68" s="201"/>
      <c r="IH68" s="192"/>
      <c r="IJ68" s="8" t="str">
        <f t="shared" si="127"/>
        <v>2026//3/23</v>
      </c>
      <c r="IK68" s="263">
        <v>544156.29</v>
      </c>
      <c r="IL68" s="12">
        <f t="shared" si="128"/>
        <v>542476.29</v>
      </c>
      <c r="IM68" s="12">
        <f t="shared" si="129"/>
        <v>1680</v>
      </c>
      <c r="IN68" s="199">
        <f t="shared" si="130"/>
        <v>0.00309690954419409</v>
      </c>
      <c r="IO68" s="192"/>
      <c r="IP68" s="192"/>
      <c r="IR68" s="8" t="str">
        <f t="shared" si="131"/>
        <v>2026//3/23</v>
      </c>
      <c r="IS68" s="262">
        <v>146489</v>
      </c>
      <c r="IT68" s="12">
        <f t="shared" si="132"/>
        <v>146189</v>
      </c>
      <c r="IU68" s="12">
        <f t="shared" si="133"/>
        <v>300</v>
      </c>
      <c r="IV68" s="199">
        <f t="shared" si="134"/>
        <v>0.00205213798575816</v>
      </c>
      <c r="IW68" s="192"/>
      <c r="IX68" s="192"/>
      <c r="IZ68" s="8" t="str">
        <f t="shared" si="135"/>
        <v>2026//3/23</v>
      </c>
      <c r="JA68" s="262">
        <v>5090829.15</v>
      </c>
      <c r="JB68" s="12">
        <f t="shared" si="136"/>
        <v>5029829.15</v>
      </c>
      <c r="JC68" s="12">
        <f t="shared" si="137"/>
        <v>61000</v>
      </c>
      <c r="JD68" s="199">
        <f t="shared" si="138"/>
        <v>0.0121276485106855</v>
      </c>
      <c r="JE68" s="192"/>
      <c r="JF68" s="192"/>
      <c r="JH68" s="8" t="str">
        <f t="shared" si="139"/>
        <v>2026//3/23</v>
      </c>
      <c r="JI68" s="262">
        <v>1540347.99</v>
      </c>
      <c r="JJ68" s="12">
        <f t="shared" si="140"/>
        <v>1524027.99</v>
      </c>
      <c r="JK68" s="12">
        <f t="shared" si="141"/>
        <v>16320</v>
      </c>
      <c r="JL68" s="199">
        <f t="shared" si="142"/>
        <v>0.0107084647441416</v>
      </c>
      <c r="JM68" s="192"/>
      <c r="JN68" s="192"/>
      <c r="JP68" s="8" t="str">
        <f t="shared" si="143"/>
        <v>2026//3/23</v>
      </c>
      <c r="JQ68" s="263">
        <v>1078290.41</v>
      </c>
      <c r="JR68" s="12">
        <f t="shared" si="144"/>
        <v>1082190.41</v>
      </c>
      <c r="JS68" s="12">
        <f t="shared" si="145"/>
        <v>-3900</v>
      </c>
      <c r="JT68" s="199">
        <f t="shared" si="146"/>
        <v>-0.0036038020333224</v>
      </c>
      <c r="JU68" s="192"/>
      <c r="JV68" s="201"/>
      <c r="JX68" s="8" t="str">
        <f t="shared" si="147"/>
        <v>2026//3/23</v>
      </c>
      <c r="JY68" s="262">
        <v>1307148.8</v>
      </c>
      <c r="JZ68" s="12">
        <f t="shared" si="148"/>
        <v>1276298.8</v>
      </c>
      <c r="KA68" s="12">
        <f t="shared" si="149"/>
        <v>30850</v>
      </c>
      <c r="KB68" s="199">
        <f t="shared" si="150"/>
        <v>0.0241714557750897</v>
      </c>
      <c r="KC68" s="192"/>
      <c r="KD68" s="201"/>
      <c r="KF68" s="8" t="str">
        <f t="shared" si="151"/>
        <v>2026//3/23</v>
      </c>
      <c r="KG68" s="263">
        <v>751755.92</v>
      </c>
      <c r="KH68" s="12">
        <f t="shared" si="152"/>
        <v>755755.92</v>
      </c>
      <c r="KI68" s="12">
        <f t="shared" si="153"/>
        <v>-4000</v>
      </c>
      <c r="KJ68" s="199">
        <f t="shared" si="154"/>
        <v>-0.00529271408155162</v>
      </c>
      <c r="KK68" s="201"/>
      <c r="KL68" s="201"/>
      <c r="KN68" s="8" t="str">
        <f t="shared" si="155"/>
        <v>2026//3/23</v>
      </c>
      <c r="KO68" s="262">
        <v>8179075.95</v>
      </c>
      <c r="KP68" s="12">
        <f t="shared" si="156"/>
        <v>8129075.95</v>
      </c>
      <c r="KQ68" s="12">
        <f t="shared" si="157"/>
        <v>50000</v>
      </c>
      <c r="KR68" s="199">
        <f t="shared" si="158"/>
        <v>0.00615076059167586</v>
      </c>
      <c r="KS68" s="192"/>
      <c r="KT68" s="192"/>
      <c r="KV68" s="8" t="str">
        <f t="shared" si="159"/>
        <v>2026//3/23</v>
      </c>
      <c r="KW68" s="263">
        <v>1038572.97</v>
      </c>
      <c r="KX68" s="12">
        <f t="shared" si="160"/>
        <v>1011272.97</v>
      </c>
      <c r="KY68" s="12">
        <f t="shared" si="161"/>
        <v>27300</v>
      </c>
      <c r="KZ68" s="199">
        <f t="shared" si="162"/>
        <v>0.0269956785258485</v>
      </c>
      <c r="LA68" s="201"/>
      <c r="LB68" s="192"/>
      <c r="LD68" s="8" t="str">
        <f t="shared" si="163"/>
        <v>2026//3/23</v>
      </c>
      <c r="LE68" s="262">
        <v>463407.7</v>
      </c>
      <c r="LF68" s="12">
        <f t="shared" si="164"/>
        <v>479807.7</v>
      </c>
      <c r="LG68" s="12">
        <f t="shared" si="165"/>
        <v>-16400</v>
      </c>
      <c r="LH68" s="199">
        <f t="shared" si="166"/>
        <v>-0.0341803601734612</v>
      </c>
      <c r="LI68" s="192"/>
      <c r="LJ68" s="192"/>
      <c r="LL68" s="8" t="str">
        <f t="shared" si="167"/>
        <v>2026//3/23</v>
      </c>
      <c r="LM68" s="262">
        <v>3603355.02</v>
      </c>
      <c r="LN68" s="12">
        <f t="shared" si="168"/>
        <v>3576535.02</v>
      </c>
      <c r="LO68" s="12">
        <f t="shared" si="169"/>
        <v>26820</v>
      </c>
      <c r="LP68" s="199">
        <f t="shared" si="170"/>
        <v>0.00749887806215302</v>
      </c>
      <c r="LQ68" s="192"/>
      <c r="LR68" s="192"/>
      <c r="LT68" s="8" t="str">
        <f t="shared" si="171"/>
        <v>2026//3/23</v>
      </c>
      <c r="LU68" s="263">
        <v>2749062.9</v>
      </c>
      <c r="LV68" s="12">
        <f t="shared" si="172"/>
        <v>2746862.9</v>
      </c>
      <c r="LW68" s="12">
        <f t="shared" si="173"/>
        <v>2200</v>
      </c>
      <c r="LX68" s="199">
        <f t="shared" si="174"/>
        <v>0.000800913653171405</v>
      </c>
      <c r="LY68" s="192"/>
      <c r="LZ68" s="192"/>
      <c r="MB68" s="8" t="str">
        <f t="shared" si="175"/>
        <v>2026//3/23</v>
      </c>
      <c r="MC68" s="262">
        <v>804267.69</v>
      </c>
      <c r="MD68" s="12">
        <f t="shared" si="176"/>
        <v>791567.69</v>
      </c>
      <c r="ME68" s="12">
        <f t="shared" si="177"/>
        <v>12700</v>
      </c>
      <c r="MF68" s="199">
        <f t="shared" si="178"/>
        <v>0.0160441111485993</v>
      </c>
      <c r="MG68" s="192"/>
      <c r="MH68" s="192"/>
      <c r="MI68" s="8"/>
      <c r="MJ68" s="8"/>
      <c r="MK68" s="8" t="str">
        <f t="shared" si="179"/>
        <v>2026//3/23</v>
      </c>
      <c r="ML68" s="263">
        <v>228105.53</v>
      </c>
      <c r="MM68" s="12">
        <f t="shared" si="180"/>
        <v>229065.53</v>
      </c>
      <c r="MN68" s="12">
        <f t="shared" si="181"/>
        <v>-960</v>
      </c>
      <c r="MO68" s="199">
        <f t="shared" si="182"/>
        <v>-0.00419094047017899</v>
      </c>
      <c r="MP68" s="192"/>
      <c r="MQ68" s="201"/>
      <c r="MR68" s="201"/>
      <c r="MT68" s="8" t="str">
        <f t="shared" si="183"/>
        <v>2026//3/23</v>
      </c>
      <c r="MU68" s="262">
        <v>350214.8</v>
      </c>
      <c r="MV68" s="204">
        <f t="shared" si="184"/>
        <v>365214.8</v>
      </c>
      <c r="MW68" s="8">
        <f t="shared" si="185"/>
        <v>-15000</v>
      </c>
      <c r="MX68" s="192">
        <f t="shared" si="186"/>
        <v>-0.0410717199850608</v>
      </c>
      <c r="MY68" s="192"/>
      <c r="MZ68" s="192"/>
      <c r="NA68" s="192"/>
      <c r="NC68" s="8" t="str">
        <f t="shared" si="187"/>
        <v>2026//3/23</v>
      </c>
      <c r="ND68" s="262">
        <v>46491.48</v>
      </c>
      <c r="NE68" s="204">
        <f t="shared" si="188"/>
        <v>47091.48</v>
      </c>
      <c r="NF68" s="8">
        <f t="shared" si="189"/>
        <v>-600</v>
      </c>
      <c r="NG68" s="192">
        <f t="shared" si="190"/>
        <v>-0.0127411582732163</v>
      </c>
      <c r="NH68" s="192"/>
      <c r="NI68" s="192"/>
      <c r="NJ68" s="192"/>
      <c r="NK68" s="192"/>
      <c r="NM68" s="8" t="str">
        <f t="shared" si="191"/>
        <v>2026//3/23</v>
      </c>
      <c r="NN68" s="262">
        <v>2638611.08</v>
      </c>
      <c r="NO68" s="8">
        <f t="shared" si="192"/>
        <v>2607411.08</v>
      </c>
      <c r="NP68" s="210">
        <f t="shared" si="193"/>
        <v>31200</v>
      </c>
      <c r="NQ68" s="211">
        <f t="shared" si="194"/>
        <v>0.0119658922366779</v>
      </c>
      <c r="NR68" s="192"/>
      <c r="NU68" s="8" t="str">
        <f t="shared" si="195"/>
        <v>2026//3/23</v>
      </c>
      <c r="NV68" s="262">
        <v>248826.5</v>
      </c>
      <c r="NW68" s="205">
        <f t="shared" si="196"/>
        <v>243926.5</v>
      </c>
      <c r="NX68" s="210">
        <f t="shared" si="197"/>
        <v>4900</v>
      </c>
      <c r="NY68" s="211">
        <f t="shared" si="198"/>
        <v>0.020088018316993</v>
      </c>
      <c r="NZ68" s="201"/>
      <c r="OA68" s="200"/>
      <c r="OC68" s="8" t="str">
        <f t="shared" si="199"/>
        <v>2026//3/23</v>
      </c>
      <c r="OD68" s="262">
        <v>11239.97</v>
      </c>
      <c r="OE68" s="12">
        <f t="shared" si="200"/>
        <v>11442.97</v>
      </c>
      <c r="OF68" s="12">
        <f t="shared" si="201"/>
        <v>-203</v>
      </c>
      <c r="OG68" s="199">
        <f t="shared" si="202"/>
        <v>-0.0177401496289862</v>
      </c>
      <c r="OH68" s="192"/>
      <c r="OI68" s="192"/>
      <c r="OK68" s="8" t="str">
        <f t="shared" si="203"/>
        <v>2026//3/23</v>
      </c>
      <c r="OL68" s="262">
        <v>10944.65</v>
      </c>
      <c r="OM68" s="12">
        <f t="shared" si="204"/>
        <v>10944.65</v>
      </c>
      <c r="ON68" s="12">
        <f t="shared" si="205"/>
        <v>0</v>
      </c>
      <c r="OO68" s="199">
        <f t="shared" si="206"/>
        <v>0</v>
      </c>
      <c r="OP68" s="192"/>
      <c r="OQ68" s="192"/>
      <c r="OT68" s="234" t="str">
        <f t="shared" si="211"/>
        <v>2026//3/23</v>
      </c>
      <c r="OU68" s="206">
        <v>142992.4066</v>
      </c>
      <c r="OV68" s="8">
        <f t="shared" si="208"/>
        <v>142872.4066</v>
      </c>
      <c r="OW68" s="191">
        <f t="shared" si="209"/>
        <v>120</v>
      </c>
      <c r="OX68" s="192">
        <f t="shared" si="210"/>
        <v>0.000839910258780508</v>
      </c>
    </row>
    <row r="69" s="9" customFormat="1" ht="17" customHeight="1" spans="1:414">
      <c r="A69" s="212"/>
      <c r="B69" s="212"/>
      <c r="C69" s="284" t="s">
        <v>498</v>
      </c>
      <c r="D69" s="214">
        <v>4491858.77</v>
      </c>
      <c r="E69" s="214">
        <f t="shared" si="8"/>
        <v>4482228.77</v>
      </c>
      <c r="F69" s="214">
        <f t="shared" si="9"/>
        <v>9630</v>
      </c>
      <c r="G69" s="215">
        <f t="shared" si="10"/>
        <v>0.0021484847146702</v>
      </c>
      <c r="H69" s="216">
        <f>(D69-D74)/D74</f>
        <v>0.0212184584619643</v>
      </c>
      <c r="I69" s="215"/>
      <c r="J69" s="215"/>
      <c r="K69" s="214" t="str">
        <f t="shared" si="11"/>
        <v>2026//3/20</v>
      </c>
      <c r="L69" s="214">
        <v>3170584.4</v>
      </c>
      <c r="M69" s="214">
        <f t="shared" si="12"/>
        <v>3170224.4</v>
      </c>
      <c r="N69" s="214">
        <f t="shared" si="13"/>
        <v>360</v>
      </c>
      <c r="O69" s="215">
        <f t="shared" si="14"/>
        <v>0.000113556630249897</v>
      </c>
      <c r="P69" s="216">
        <f>(L69-L74)/L74</f>
        <v>0.0027324958655187</v>
      </c>
      <c r="Q69" s="215"/>
      <c r="R69" s="214"/>
      <c r="S69" s="214" t="str">
        <f t="shared" si="15"/>
        <v>2026//3/20</v>
      </c>
      <c r="T69" s="214">
        <v>2385156.68</v>
      </c>
      <c r="U69" s="214">
        <f t="shared" si="16"/>
        <v>2328366.68</v>
      </c>
      <c r="V69" s="214">
        <f t="shared" si="17"/>
        <v>56790</v>
      </c>
      <c r="W69" s="215">
        <f t="shared" si="18"/>
        <v>0.0243904881854777</v>
      </c>
      <c r="X69" s="216">
        <f>(T69-T74)/T74</f>
        <v>0.0446612626524258</v>
      </c>
      <c r="Y69" s="215"/>
      <c r="Z69" s="214"/>
      <c r="AA69" s="214" t="str">
        <f t="shared" si="19"/>
        <v>2026//3/20</v>
      </c>
      <c r="AB69" s="214">
        <v>967176.86</v>
      </c>
      <c r="AC69" s="214">
        <f t="shared" si="20"/>
        <v>931536.86</v>
      </c>
      <c r="AD69" s="214">
        <f t="shared" si="21"/>
        <v>35640</v>
      </c>
      <c r="AE69" s="215">
        <f t="shared" si="22"/>
        <v>0.0382593556201308</v>
      </c>
      <c r="AF69" s="216">
        <f>(AB69-AB74)/AB74</f>
        <v>0.0608070183758941</v>
      </c>
      <c r="AG69" s="215"/>
      <c r="AH69" s="214"/>
      <c r="AI69" s="214" t="str">
        <f t="shared" si="23"/>
        <v>2026//3/20</v>
      </c>
      <c r="AJ69" s="214">
        <v>769321.76</v>
      </c>
      <c r="AK69" s="214">
        <f t="shared" si="24"/>
        <v>741921.76</v>
      </c>
      <c r="AL69" s="214">
        <f t="shared" si="25"/>
        <v>27400</v>
      </c>
      <c r="AM69" s="215">
        <f t="shared" si="26"/>
        <v>0.036931117911948</v>
      </c>
      <c r="AN69" s="216">
        <f>(AJ69-AJ74)/AJ74</f>
        <v>0.0557139943234301</v>
      </c>
      <c r="AO69" s="216"/>
      <c r="AP69" s="214"/>
      <c r="AQ69" s="214" t="str">
        <f t="shared" si="27"/>
        <v>2026//3/20</v>
      </c>
      <c r="AR69" s="285">
        <v>1561545.49</v>
      </c>
      <c r="AS69" s="214">
        <f t="shared" si="28"/>
        <v>1636645.49</v>
      </c>
      <c r="AT69" s="214">
        <f t="shared" si="29"/>
        <v>-75100</v>
      </c>
      <c r="AU69" s="215">
        <f t="shared" si="30"/>
        <v>-0.0458865407682149</v>
      </c>
      <c r="AV69" s="216">
        <f>(AR69-AR74)/AR74</f>
        <v>-0.0426107060937951</v>
      </c>
      <c r="AW69" s="216"/>
      <c r="AX69" s="217"/>
      <c r="AY69" s="217"/>
      <c r="AZ69" s="214" t="str">
        <f t="shared" si="31"/>
        <v>2026//3/20</v>
      </c>
      <c r="BA69" s="286">
        <v>1990011.66</v>
      </c>
      <c r="BB69" s="232">
        <f t="shared" si="32"/>
        <v>1985601.66</v>
      </c>
      <c r="BC69" s="217">
        <f t="shared" si="33"/>
        <v>4410</v>
      </c>
      <c r="BD69" s="216">
        <f t="shared" si="34"/>
        <v>0.00222098927939051</v>
      </c>
      <c r="BE69" s="216">
        <f>(BA69-BA74)/BA74</f>
        <v>0.00908168192505857</v>
      </c>
      <c r="BF69" s="216"/>
      <c r="BG69" s="219"/>
      <c r="BH69" s="9" t="str">
        <f t="shared" si="35"/>
        <v>2026//3/20</v>
      </c>
      <c r="BI69" s="273">
        <v>1635226.55</v>
      </c>
      <c r="BJ69" s="221">
        <f t="shared" si="36"/>
        <v>1649426.55</v>
      </c>
      <c r="BK69" s="221">
        <f t="shared" si="37"/>
        <v>-14200</v>
      </c>
      <c r="BL69" s="222">
        <f t="shared" si="38"/>
        <v>-0.00860905264317468</v>
      </c>
      <c r="BM69" s="223">
        <f>(BI69-BI74)/BI74</f>
        <v>-0.0174255121696021</v>
      </c>
      <c r="BN69" s="224"/>
      <c r="BP69" s="9" t="str">
        <f t="shared" si="39"/>
        <v>2026//3/20</v>
      </c>
      <c r="BQ69" s="225">
        <v>1286062.39</v>
      </c>
      <c r="BR69" s="13">
        <f t="shared" si="40"/>
        <v>1278662.39</v>
      </c>
      <c r="BS69" s="13">
        <f t="shared" si="41"/>
        <v>7400</v>
      </c>
      <c r="BT69" s="226">
        <f t="shared" si="42"/>
        <v>0.00578729777138436</v>
      </c>
      <c r="BU69" s="224">
        <f>(BQ69-BQ74)/BQ74</f>
        <v>0.00484427079695654</v>
      </c>
      <c r="BV69" s="224"/>
      <c r="BX69" s="9" t="str">
        <f t="shared" si="43"/>
        <v>2026//3/20</v>
      </c>
      <c r="BY69" s="274">
        <v>3205760.7</v>
      </c>
      <c r="BZ69" s="13">
        <f t="shared" si="44"/>
        <v>3287360.7</v>
      </c>
      <c r="CA69" s="13">
        <f t="shared" si="45"/>
        <v>-81600</v>
      </c>
      <c r="CB69" s="226">
        <f t="shared" si="46"/>
        <v>-0.0248223445635278</v>
      </c>
      <c r="CC69" s="224">
        <f>(BY69-BY74)/BY74</f>
        <v>-0.131620980227137</v>
      </c>
      <c r="CD69" s="228"/>
      <c r="CF69" s="9" t="str">
        <f t="shared" si="47"/>
        <v>2026//3/20</v>
      </c>
      <c r="CG69" s="227">
        <v>1487953.9</v>
      </c>
      <c r="CH69" s="13">
        <f t="shared" si="48"/>
        <v>1523903.9</v>
      </c>
      <c r="CI69" s="13">
        <f t="shared" si="49"/>
        <v>-35950</v>
      </c>
      <c r="CJ69" s="226">
        <f t="shared" si="50"/>
        <v>-0.0235907264231032</v>
      </c>
      <c r="CK69" s="224">
        <f>(CG69-CG74)/CG74</f>
        <v>-0.102319447952794</v>
      </c>
      <c r="CL69" s="228"/>
      <c r="CN69" s="9" t="str">
        <f t="shared" si="51"/>
        <v>2026//3/20</v>
      </c>
      <c r="CO69" s="227">
        <v>725546.48</v>
      </c>
      <c r="CP69" s="13">
        <f t="shared" si="52"/>
        <v>747646.48</v>
      </c>
      <c r="CQ69" s="13">
        <f t="shared" si="53"/>
        <v>-22100</v>
      </c>
      <c r="CR69" s="226">
        <f t="shared" si="54"/>
        <v>-0.0295594249303494</v>
      </c>
      <c r="CS69" s="228">
        <f>(CO69-CO74)/CO74</f>
        <v>-0.09875206211696</v>
      </c>
      <c r="CT69" s="228"/>
      <c r="CV69" s="9" t="str">
        <f t="shared" si="55"/>
        <v>2026//3/20</v>
      </c>
      <c r="CW69" s="227">
        <v>588890.4</v>
      </c>
      <c r="CX69" s="13">
        <f t="shared" si="56"/>
        <v>605540.4</v>
      </c>
      <c r="CY69" s="13">
        <f t="shared" si="57"/>
        <v>-16650</v>
      </c>
      <c r="CZ69" s="226">
        <f t="shared" si="58"/>
        <v>-0.0274961010033352</v>
      </c>
      <c r="DA69" s="224">
        <f>(CW69-CW74)/CW74</f>
        <v>-0.078549137962329</v>
      </c>
      <c r="DB69" s="224"/>
      <c r="DC69" s="276"/>
      <c r="DD69" s="9" t="str">
        <f t="shared" si="59"/>
        <v>2026//3/20</v>
      </c>
      <c r="DE69" s="274">
        <v>2412517.98</v>
      </c>
      <c r="DF69" s="13">
        <f t="shared" si="60"/>
        <v>2395717.98</v>
      </c>
      <c r="DG69" s="13">
        <f t="shared" si="61"/>
        <v>16800</v>
      </c>
      <c r="DH69" s="226">
        <f t="shared" si="62"/>
        <v>0.00701251154779078</v>
      </c>
      <c r="DI69" s="224">
        <f>(DE69-DE74)/DE74</f>
        <v>-0.0180714213341383</v>
      </c>
      <c r="DJ69" s="224"/>
      <c r="DL69" s="9" t="str">
        <f t="shared" si="63"/>
        <v>2026//3/20</v>
      </c>
      <c r="DM69" s="227">
        <v>1413100.36</v>
      </c>
      <c r="DN69" s="13">
        <f t="shared" si="64"/>
        <v>1401100.36</v>
      </c>
      <c r="DO69" s="13">
        <f t="shared" si="65"/>
        <v>12000</v>
      </c>
      <c r="DP69" s="226">
        <f t="shared" si="66"/>
        <v>0.00856469696432024</v>
      </c>
      <c r="DQ69" s="224">
        <f>(DM69-DM74)/DM74</f>
        <v>0.0288314449367891</v>
      </c>
      <c r="DR69" s="224"/>
      <c r="DT69" s="9" t="str">
        <f t="shared" si="67"/>
        <v>2026//3/20</v>
      </c>
      <c r="DU69" s="227">
        <v>1713389.48</v>
      </c>
      <c r="DV69" s="13">
        <f t="shared" si="68"/>
        <v>1722689.48</v>
      </c>
      <c r="DW69" s="13">
        <f t="shared" si="69"/>
        <v>-9300</v>
      </c>
      <c r="DX69" s="226">
        <f t="shared" si="70"/>
        <v>-0.00539853531815844</v>
      </c>
      <c r="DY69" s="224">
        <f>(DU69-DU74)/DU74</f>
        <v>-0.0178838634290057</v>
      </c>
      <c r="DZ69" s="224"/>
      <c r="EB69" s="9" t="str">
        <f t="shared" si="71"/>
        <v>2026//3/20</v>
      </c>
      <c r="EC69" s="227">
        <v>5086766.82</v>
      </c>
      <c r="ED69" s="13">
        <f t="shared" si="72"/>
        <v>5030666.82</v>
      </c>
      <c r="EE69" s="13">
        <f t="shared" si="73"/>
        <v>56100</v>
      </c>
      <c r="EF69" s="226">
        <f t="shared" si="74"/>
        <v>0.0111516031586445</v>
      </c>
      <c r="EG69" s="224">
        <f>(EC69-EC74)/EC74</f>
        <v>0.0300087060480433</v>
      </c>
      <c r="EH69" s="224"/>
      <c r="EJ69" s="9" t="str">
        <f t="shared" si="75"/>
        <v>2026//3/20</v>
      </c>
      <c r="EK69" s="274">
        <v>1567122.96</v>
      </c>
      <c r="EL69" s="13">
        <f t="shared" si="76"/>
        <v>1574922.96</v>
      </c>
      <c r="EM69" s="13">
        <f t="shared" si="77"/>
        <v>-7800</v>
      </c>
      <c r="EN69" s="226">
        <f t="shared" si="78"/>
        <v>-0.00495262320640751</v>
      </c>
      <c r="EO69" s="224">
        <f>(EK69-EK74)/EK74</f>
        <v>-0.0235525323907136</v>
      </c>
      <c r="EP69" s="224"/>
      <c r="ER69" s="9" t="str">
        <f t="shared" si="79"/>
        <v>2026//3/20</v>
      </c>
      <c r="ES69" s="9">
        <v>546047.02</v>
      </c>
      <c r="ET69" s="13">
        <f t="shared" si="80"/>
        <v>546197.02</v>
      </c>
      <c r="EU69" s="13">
        <f t="shared" si="81"/>
        <v>-150</v>
      </c>
      <c r="EV69" s="226">
        <f t="shared" si="82"/>
        <v>-0.000274626177931179</v>
      </c>
      <c r="EW69" s="224">
        <f>(ES69-ES74)/ES74</f>
        <v>-0.0140833113085993</v>
      </c>
      <c r="EX69" s="224"/>
      <c r="EZ69" s="9" t="str">
        <f t="shared" si="83"/>
        <v>2026//3/20</v>
      </c>
      <c r="FA69" s="227">
        <v>754508</v>
      </c>
      <c r="FB69" s="13">
        <f t="shared" si="84"/>
        <v>754908</v>
      </c>
      <c r="FC69" s="13">
        <f t="shared" si="85"/>
        <v>-400</v>
      </c>
      <c r="FD69" s="226">
        <f t="shared" si="86"/>
        <v>-0.000529865890943002</v>
      </c>
      <c r="FE69" s="224">
        <f>(FA69-FA74)/FA74</f>
        <v>-0.021527464375937</v>
      </c>
      <c r="FF69" s="224"/>
      <c r="FH69" s="9" t="str">
        <f t="shared" si="87"/>
        <v>2026//3/20</v>
      </c>
      <c r="FI69" s="225">
        <v>1125795.33</v>
      </c>
      <c r="FJ69" s="13">
        <f t="shared" si="88"/>
        <v>1126595.33</v>
      </c>
      <c r="FK69" s="13">
        <f t="shared" si="89"/>
        <v>-800</v>
      </c>
      <c r="FL69" s="226">
        <f t="shared" si="90"/>
        <v>-0.000710104132954288</v>
      </c>
      <c r="FM69" s="228">
        <f>(FI69-FI74)/FI74</f>
        <v>-0.0339798856067151</v>
      </c>
      <c r="FN69" s="228"/>
      <c r="FP69" s="9" t="str">
        <f t="shared" si="91"/>
        <v>2026//3/20</v>
      </c>
      <c r="FQ69" s="227">
        <v>2299318.73</v>
      </c>
      <c r="FR69" s="13">
        <f t="shared" si="92"/>
        <v>2300818.73</v>
      </c>
      <c r="FS69" s="13">
        <f t="shared" si="93"/>
        <v>-1500</v>
      </c>
      <c r="FT69" s="226">
        <f t="shared" si="94"/>
        <v>-0.000651941841589581</v>
      </c>
      <c r="FU69" s="224">
        <f>(FQ69-FQ74)/FQ74</f>
        <v>0.016849320896966</v>
      </c>
      <c r="FV69" s="224"/>
      <c r="FX69" s="9" t="str">
        <f t="shared" si="95"/>
        <v>2026//3/20</v>
      </c>
      <c r="FY69" s="227">
        <v>8389182.05</v>
      </c>
      <c r="FZ69" s="13">
        <f t="shared" si="96"/>
        <v>8322182.05</v>
      </c>
      <c r="GA69" s="13">
        <f t="shared" si="97"/>
        <v>67000.0000000009</v>
      </c>
      <c r="GB69" s="226">
        <f t="shared" si="98"/>
        <v>0.00805077317432643</v>
      </c>
      <c r="GC69" s="224">
        <f>(FY69-FY74)/FY74</f>
        <v>0.0291224665409205</v>
      </c>
      <c r="GD69" s="224"/>
      <c r="GF69" s="9" t="str">
        <f t="shared" si="99"/>
        <v>2026//3/20</v>
      </c>
      <c r="GG69" s="227">
        <v>4759269.49</v>
      </c>
      <c r="GH69" s="13">
        <f t="shared" si="100"/>
        <v>4750969.49</v>
      </c>
      <c r="GI69" s="13">
        <f t="shared" si="101"/>
        <v>8300</v>
      </c>
      <c r="GJ69" s="226">
        <f t="shared" si="102"/>
        <v>0.00174701185041708</v>
      </c>
      <c r="GK69" s="224">
        <f>(GG69-GG74)/GG74</f>
        <v>0.00615199942867163</v>
      </c>
      <c r="GL69" s="224"/>
      <c r="GN69" s="9" t="str">
        <f t="shared" si="103"/>
        <v>2026//3/20</v>
      </c>
      <c r="GO69" s="274">
        <v>1829278.12</v>
      </c>
      <c r="GP69" s="13">
        <f t="shared" si="104"/>
        <v>1835578.12</v>
      </c>
      <c r="GQ69" s="13">
        <f t="shared" si="105"/>
        <v>-6300</v>
      </c>
      <c r="GR69" s="226">
        <f t="shared" si="106"/>
        <v>-0.00343216119834769</v>
      </c>
      <c r="GS69" s="224">
        <f>(GO69-GO74)/GO74</f>
        <v>-0.00450597992514109</v>
      </c>
      <c r="GT69" s="224"/>
      <c r="GV69" s="9" t="str">
        <f t="shared" si="107"/>
        <v>2026//3/20</v>
      </c>
      <c r="GW69" s="227">
        <v>1047349.4</v>
      </c>
      <c r="GX69" s="13">
        <f t="shared" si="108"/>
        <v>1059749.4</v>
      </c>
      <c r="GY69" s="13">
        <f t="shared" si="109"/>
        <v>-12399.9999999999</v>
      </c>
      <c r="GZ69" s="226">
        <f t="shared" si="110"/>
        <v>-0.0117008794720713</v>
      </c>
      <c r="HA69" s="224">
        <f>(GW69-GW74)/GW74</f>
        <v>-0.0569087696594135</v>
      </c>
      <c r="HB69" s="224"/>
      <c r="HD69" s="9" t="str">
        <f t="shared" si="111"/>
        <v>2026//3/20</v>
      </c>
      <c r="HE69" s="274">
        <v>1041664.67</v>
      </c>
      <c r="HF69" s="13">
        <f t="shared" si="112"/>
        <v>1059864.67</v>
      </c>
      <c r="HG69" s="13">
        <f t="shared" si="113"/>
        <v>-18199.9999999999</v>
      </c>
      <c r="HH69" s="226">
        <f t="shared" si="114"/>
        <v>-0.0171720036672228</v>
      </c>
      <c r="HI69" s="228">
        <f>(HE69-HE74)/HE74</f>
        <v>-0.0278123962780778</v>
      </c>
      <c r="HJ69" s="224"/>
      <c r="HL69" s="9" t="str">
        <f t="shared" si="115"/>
        <v>2026//3/20</v>
      </c>
      <c r="HM69" s="227">
        <v>155704.25</v>
      </c>
      <c r="HN69" s="13">
        <f t="shared" si="116"/>
        <v>155054.25</v>
      </c>
      <c r="HO69" s="13">
        <f t="shared" si="117"/>
        <v>650</v>
      </c>
      <c r="HP69" s="226">
        <f t="shared" si="118"/>
        <v>0.00419208115869123</v>
      </c>
      <c r="HQ69" s="224">
        <f>(HM69-HM74)/HM74</f>
        <v>-0.041845059436907</v>
      </c>
      <c r="HR69" s="224"/>
      <c r="HT69" s="9" t="str">
        <f t="shared" si="119"/>
        <v>2026//3/20</v>
      </c>
      <c r="HU69" s="274">
        <v>255668.82</v>
      </c>
      <c r="HV69" s="13">
        <f t="shared" si="120"/>
        <v>278268.82</v>
      </c>
      <c r="HW69" s="13">
        <f t="shared" si="121"/>
        <v>-22600</v>
      </c>
      <c r="HX69" s="226">
        <f t="shared" si="122"/>
        <v>-0.0812164294943285</v>
      </c>
      <c r="HY69" s="224">
        <f>(HU69-HU74)/HU74</f>
        <v>-0.20145621925333</v>
      </c>
      <c r="HZ69" s="224"/>
      <c r="IB69" s="9" t="str">
        <f t="shared" si="123"/>
        <v>2026//3/20</v>
      </c>
      <c r="IC69" s="227">
        <v>476509.79</v>
      </c>
      <c r="ID69" s="13">
        <f t="shared" si="124"/>
        <v>481409.79</v>
      </c>
      <c r="IE69" s="13">
        <f t="shared" si="125"/>
        <v>-4900</v>
      </c>
      <c r="IF69" s="226">
        <f t="shared" si="126"/>
        <v>-0.0101784386229453</v>
      </c>
      <c r="IG69" s="228">
        <f>(IC69-IC74)/IC74</f>
        <v>0.000577446263428172</v>
      </c>
      <c r="IH69" s="224"/>
      <c r="IJ69" s="9" t="str">
        <f t="shared" si="127"/>
        <v>2026//3/20</v>
      </c>
      <c r="IK69" s="274">
        <v>542476.29</v>
      </c>
      <c r="IL69" s="13">
        <f t="shared" si="128"/>
        <v>535356.29</v>
      </c>
      <c r="IM69" s="13">
        <f t="shared" si="129"/>
        <v>7120</v>
      </c>
      <c r="IN69" s="226">
        <f t="shared" si="130"/>
        <v>0.0132995542090297</v>
      </c>
      <c r="IO69" s="224">
        <f>(IK69-IK74)/IK74</f>
        <v>-0.0301775456927462</v>
      </c>
      <c r="IP69" s="224"/>
      <c r="IR69" s="9" t="str">
        <f t="shared" si="131"/>
        <v>2026//3/20</v>
      </c>
      <c r="IS69" s="227">
        <v>146189</v>
      </c>
      <c r="IT69" s="13">
        <f t="shared" si="132"/>
        <v>145989</v>
      </c>
      <c r="IU69" s="13">
        <f t="shared" si="133"/>
        <v>200</v>
      </c>
      <c r="IV69" s="226">
        <f t="shared" si="134"/>
        <v>0.00136996623033242</v>
      </c>
      <c r="IW69" s="224">
        <f>(IS69-IS74)/IS74</f>
        <v>-0.0524988819682544</v>
      </c>
      <c r="IX69" s="224"/>
      <c r="IZ69" s="9" t="str">
        <f t="shared" si="135"/>
        <v>2026//3/20</v>
      </c>
      <c r="JA69" s="227">
        <v>5029829.15</v>
      </c>
      <c r="JB69" s="13">
        <f t="shared" si="136"/>
        <v>4995429.15</v>
      </c>
      <c r="JC69" s="13">
        <f t="shared" si="137"/>
        <v>34400</v>
      </c>
      <c r="JD69" s="226">
        <f t="shared" si="138"/>
        <v>0.00688629524452369</v>
      </c>
      <c r="JE69" s="224">
        <f>(JA69-JA74)/JA74</f>
        <v>0.01166572668733</v>
      </c>
      <c r="JF69" s="224"/>
      <c r="JH69" s="9" t="str">
        <f t="shared" si="139"/>
        <v>2026//3/20</v>
      </c>
      <c r="JI69" s="227">
        <v>1524027.99</v>
      </c>
      <c r="JJ69" s="13">
        <f t="shared" si="140"/>
        <v>1540767.99</v>
      </c>
      <c r="JK69" s="13">
        <f t="shared" si="141"/>
        <v>-16740</v>
      </c>
      <c r="JL69" s="226">
        <f t="shared" si="142"/>
        <v>-0.0108647116948477</v>
      </c>
      <c r="JM69" s="224">
        <f>(JI69-JI74)/JI74</f>
        <v>0.0266354462052603</v>
      </c>
      <c r="JN69" s="224"/>
      <c r="JP69" s="9" t="str">
        <f t="shared" si="143"/>
        <v>2026//3/20</v>
      </c>
      <c r="JQ69" s="274">
        <v>1082190.41</v>
      </c>
      <c r="JR69" s="13">
        <f t="shared" si="144"/>
        <v>1069590.41</v>
      </c>
      <c r="JS69" s="13">
        <f t="shared" si="145"/>
        <v>12600</v>
      </c>
      <c r="JT69" s="226">
        <f t="shared" si="146"/>
        <v>0.0117802103330377</v>
      </c>
      <c r="JU69" s="224">
        <f>(JQ69-JQ74)/JQ74</f>
        <v>-0.0203676974076384</v>
      </c>
      <c r="JV69" s="228"/>
      <c r="JX69" s="9" t="str">
        <f t="shared" si="147"/>
        <v>2026//3/20</v>
      </c>
      <c r="JY69" s="227">
        <v>1276298.8</v>
      </c>
      <c r="JZ69" s="13">
        <f t="shared" si="148"/>
        <v>1275948.8</v>
      </c>
      <c r="KA69" s="13">
        <f t="shared" si="149"/>
        <v>350</v>
      </c>
      <c r="KB69" s="226">
        <f t="shared" si="150"/>
        <v>0.00027430567746919</v>
      </c>
      <c r="KC69" s="224">
        <f>(JY69-JY74)/JY74</f>
        <v>-0.00179884417222979</v>
      </c>
      <c r="KD69" s="228"/>
      <c r="KF69" s="9" t="str">
        <f t="shared" si="151"/>
        <v>2026//3/20</v>
      </c>
      <c r="KG69" s="274">
        <v>755755.92</v>
      </c>
      <c r="KH69" s="13">
        <f t="shared" si="152"/>
        <v>755755.92</v>
      </c>
      <c r="KI69" s="13">
        <f t="shared" si="153"/>
        <v>0</v>
      </c>
      <c r="KJ69" s="226">
        <f t="shared" si="154"/>
        <v>0</v>
      </c>
      <c r="KK69" s="228">
        <f>(KG69-KG74)/KG74</f>
        <v>-0.00578828617160543</v>
      </c>
      <c r="KL69" s="228"/>
      <c r="KN69" s="9" t="str">
        <f t="shared" si="155"/>
        <v>2026//3/20</v>
      </c>
      <c r="KO69" s="227">
        <v>8129075.95</v>
      </c>
      <c r="KP69" s="13">
        <f t="shared" si="156"/>
        <v>8098375.95</v>
      </c>
      <c r="KQ69" s="13">
        <f t="shared" si="157"/>
        <v>30700</v>
      </c>
      <c r="KR69" s="226">
        <f t="shared" si="158"/>
        <v>0.00379088352893768</v>
      </c>
      <c r="KS69" s="224">
        <f>(KO69-KO74)/KO74</f>
        <v>0.00844810856928558</v>
      </c>
      <c r="KT69" s="224"/>
      <c r="KV69" s="9" t="str">
        <f t="shared" si="159"/>
        <v>2026//3/20</v>
      </c>
      <c r="KW69" s="274">
        <v>1011272.97</v>
      </c>
      <c r="KX69" s="13">
        <f t="shared" si="160"/>
        <v>1011272.97</v>
      </c>
      <c r="KY69" s="13">
        <f t="shared" si="161"/>
        <v>0</v>
      </c>
      <c r="KZ69" s="226">
        <f t="shared" si="162"/>
        <v>0</v>
      </c>
      <c r="LA69" s="228">
        <f>(KW69-KW74)/KW74</f>
        <v>-0.00364541727648176</v>
      </c>
      <c r="LB69" s="224"/>
      <c r="LD69" s="9" t="str">
        <f t="shared" si="163"/>
        <v>2026//3/20</v>
      </c>
      <c r="LE69" s="227">
        <v>479807.7</v>
      </c>
      <c r="LF69" s="13">
        <f t="shared" si="164"/>
        <v>486907.7</v>
      </c>
      <c r="LG69" s="13">
        <f t="shared" si="165"/>
        <v>-7100</v>
      </c>
      <c r="LH69" s="226">
        <f t="shared" si="166"/>
        <v>-0.0145818191004168</v>
      </c>
      <c r="LI69" s="224">
        <f>(LE69-LE74)/LE74</f>
        <v>-0.107015030679813</v>
      </c>
      <c r="LJ69" s="224"/>
      <c r="LL69" s="9" t="str">
        <f t="shared" si="167"/>
        <v>2026//3/20</v>
      </c>
      <c r="LM69" s="225">
        <v>3576535.02</v>
      </c>
      <c r="LN69" s="13">
        <f t="shared" si="168"/>
        <v>3568795.02</v>
      </c>
      <c r="LO69" s="13">
        <f t="shared" si="169"/>
        <v>7740</v>
      </c>
      <c r="LP69" s="226">
        <f t="shared" si="170"/>
        <v>0.00216879926042936</v>
      </c>
      <c r="LQ69" s="224">
        <f>(LM69-LM74)/LM74</f>
        <v>-0.00450909958842442</v>
      </c>
      <c r="LR69" s="224"/>
      <c r="LT69" s="9" t="str">
        <f t="shared" si="171"/>
        <v>2026//3/20</v>
      </c>
      <c r="LU69" s="274">
        <v>2746862.9</v>
      </c>
      <c r="LV69" s="13">
        <f t="shared" si="172"/>
        <v>2753262.9</v>
      </c>
      <c r="LW69" s="13">
        <f t="shared" si="173"/>
        <v>-6400</v>
      </c>
      <c r="LX69" s="226">
        <f t="shared" si="174"/>
        <v>-0.00232451466948543</v>
      </c>
      <c r="LY69" s="224">
        <f>(LU69-LU74)/LU74</f>
        <v>-0.0269919596903066</v>
      </c>
      <c r="LZ69" s="224"/>
      <c r="MB69" s="9" t="str">
        <f t="shared" si="175"/>
        <v>2026//3/20</v>
      </c>
      <c r="MC69" s="227">
        <v>791567.69</v>
      </c>
      <c r="MD69" s="13">
        <f t="shared" si="176"/>
        <v>775867.6</v>
      </c>
      <c r="ME69" s="13">
        <f t="shared" si="177"/>
        <v>15700.09</v>
      </c>
      <c r="MF69" s="226">
        <f t="shared" si="178"/>
        <v>0.0202355272987298</v>
      </c>
      <c r="MG69" s="224">
        <f>(MC69-MC74)/MC74</f>
        <v>-0.00882775336469194</v>
      </c>
      <c r="MH69" s="224"/>
      <c r="MI69" s="9"/>
      <c r="MJ69" s="9"/>
      <c r="MK69" s="9" t="str">
        <f t="shared" si="179"/>
        <v>2026//3/20</v>
      </c>
      <c r="ML69" s="275">
        <v>229065.53</v>
      </c>
      <c r="MM69" s="13">
        <f t="shared" si="180"/>
        <v>233265.53</v>
      </c>
      <c r="MN69" s="13">
        <f t="shared" si="181"/>
        <v>-4200</v>
      </c>
      <c r="MO69" s="226">
        <f t="shared" si="182"/>
        <v>-0.01800523206322</v>
      </c>
      <c r="MP69" s="224">
        <f>(ML69-ML74)/ML74</f>
        <v>-0.0614589040902253</v>
      </c>
      <c r="MQ69" s="228"/>
      <c r="MR69" s="228"/>
      <c r="MT69" s="233" t="str">
        <f t="shared" si="183"/>
        <v>2026//3/20</v>
      </c>
      <c r="MU69" s="9">
        <v>365214.8</v>
      </c>
      <c r="MV69" s="231">
        <f t="shared" si="184"/>
        <v>383614.8</v>
      </c>
      <c r="MW69" s="9">
        <f t="shared" si="185"/>
        <v>-18400</v>
      </c>
      <c r="MX69" s="224">
        <f t="shared" si="186"/>
        <v>-0.0479647813379463</v>
      </c>
      <c r="MY69" s="224">
        <f>(MU69-MU74)/MU74</f>
        <v>-0.186087020084918</v>
      </c>
      <c r="MZ69" s="224"/>
      <c r="NA69" s="224"/>
      <c r="NC69" s="233" t="str">
        <f t="shared" si="187"/>
        <v>2026//3/20</v>
      </c>
      <c r="ND69" s="9">
        <v>47091.48</v>
      </c>
      <c r="NE69" s="231">
        <f t="shared" si="188"/>
        <v>47291.48</v>
      </c>
      <c r="NF69" s="9">
        <f t="shared" si="189"/>
        <v>-200</v>
      </c>
      <c r="NG69" s="224">
        <f t="shared" si="190"/>
        <v>-0.00422909158266986</v>
      </c>
      <c r="NH69" s="224">
        <f>(ND69-ND74)/ND74</f>
        <v>-0.0446324598084699</v>
      </c>
      <c r="NI69" s="224"/>
      <c r="NJ69" s="224"/>
      <c r="NK69" s="224"/>
      <c r="NM69" s="233" t="str">
        <f t="shared" si="191"/>
        <v>2026//3/20</v>
      </c>
      <c r="NN69" s="9">
        <v>2607411.08</v>
      </c>
      <c r="NO69" s="9">
        <f t="shared" si="192"/>
        <v>2602411.08</v>
      </c>
      <c r="NP69" s="9">
        <f t="shared" si="193"/>
        <v>5000</v>
      </c>
      <c r="NQ69" s="224">
        <f t="shared" si="194"/>
        <v>0.00192129523211221</v>
      </c>
      <c r="NR69" s="224">
        <f>(NN69-NN74)/NN74</f>
        <v>0.0163716452023744</v>
      </c>
      <c r="NU69" s="9" t="str">
        <f t="shared" si="195"/>
        <v>2026//3/20</v>
      </c>
      <c r="NV69" s="9">
        <v>243926.5</v>
      </c>
      <c r="NW69" s="232">
        <f t="shared" si="196"/>
        <v>244726.5</v>
      </c>
      <c r="NX69" s="9">
        <f t="shared" si="197"/>
        <v>-800</v>
      </c>
      <c r="NY69" s="224">
        <f t="shared" si="198"/>
        <v>-0.0032689553440269</v>
      </c>
      <c r="NZ69" s="224">
        <f>(NV69-NV74)/NV74</f>
        <v>-0.00306527189983509</v>
      </c>
      <c r="OC69" s="9" t="str">
        <f t="shared" si="199"/>
        <v>2026//3/20</v>
      </c>
      <c r="OD69" s="227">
        <v>11442.97</v>
      </c>
      <c r="OE69" s="13">
        <f t="shared" si="200"/>
        <v>11533.97</v>
      </c>
      <c r="OF69" s="13">
        <f t="shared" si="201"/>
        <v>-91</v>
      </c>
      <c r="OG69" s="226">
        <f t="shared" si="202"/>
        <v>-0.00788973787863156</v>
      </c>
      <c r="OH69" s="224">
        <f>(OD69-OD74)/OD74</f>
        <v>-0.0262106021885853</v>
      </c>
      <c r="OI69" s="224"/>
      <c r="OK69" s="9" t="str">
        <f t="shared" si="203"/>
        <v>2026//3/20</v>
      </c>
      <c r="OL69" s="227">
        <v>10944.65</v>
      </c>
      <c r="OM69" s="13">
        <f t="shared" si="204"/>
        <v>10934.65</v>
      </c>
      <c r="ON69" s="13">
        <f t="shared" si="205"/>
        <v>10</v>
      </c>
      <c r="OO69" s="226">
        <f t="shared" si="206"/>
        <v>0.000914524013114274</v>
      </c>
      <c r="OP69" s="224">
        <f>(OL69-OL74)/OL74</f>
        <v>0.0101526122209762</v>
      </c>
      <c r="OQ69" s="224"/>
      <c r="OT69" s="234" t="str">
        <f t="shared" si="211"/>
        <v>2026//3/20</v>
      </c>
      <c r="OU69" s="206">
        <v>142872.4066</v>
      </c>
      <c r="OV69" s="8">
        <f t="shared" si="208"/>
        <v>142752.4066</v>
      </c>
      <c r="OW69" s="191">
        <f t="shared" si="209"/>
        <v>120</v>
      </c>
      <c r="OX69" s="192">
        <f t="shared" si="210"/>
        <v>0.000840616301035446</v>
      </c>
    </row>
    <row r="70" s="8" customFormat="1" ht="17" customHeight="1" spans="1:414">
      <c r="A70" s="15"/>
      <c r="B70" s="15"/>
      <c r="C70" s="287" t="s">
        <v>499</v>
      </c>
      <c r="D70" s="19">
        <v>4482228.77</v>
      </c>
      <c r="E70" s="19">
        <f t="shared" si="8"/>
        <v>4457568.77</v>
      </c>
      <c r="F70" s="19">
        <f t="shared" si="9"/>
        <v>24660</v>
      </c>
      <c r="G70" s="172">
        <f t="shared" si="10"/>
        <v>0.00553216366867179</v>
      </c>
      <c r="H70" s="18"/>
      <c r="I70" s="172"/>
      <c r="J70" s="172"/>
      <c r="K70" s="19" t="str">
        <f t="shared" si="11"/>
        <v>2026//3/19</v>
      </c>
      <c r="L70" s="19">
        <v>3170224.4</v>
      </c>
      <c r="M70" s="19">
        <f t="shared" si="12"/>
        <v>3163294.4</v>
      </c>
      <c r="N70" s="19">
        <f t="shared" si="13"/>
        <v>6930</v>
      </c>
      <c r="O70" s="172">
        <f t="shared" si="14"/>
        <v>0.00219075404426474</v>
      </c>
      <c r="P70" s="18"/>
      <c r="Q70" s="172"/>
      <c r="R70" s="19"/>
      <c r="S70" s="19" t="str">
        <f t="shared" si="15"/>
        <v>2026//3/19</v>
      </c>
      <c r="T70" s="19">
        <v>2328366.68</v>
      </c>
      <c r="U70" s="19">
        <f t="shared" si="16"/>
        <v>2328006.68</v>
      </c>
      <c r="V70" s="19">
        <f t="shared" si="17"/>
        <v>360</v>
      </c>
      <c r="W70" s="172">
        <f t="shared" si="18"/>
        <v>0.000154638731534911</v>
      </c>
      <c r="X70" s="18"/>
      <c r="Y70" s="172"/>
      <c r="Z70" s="19"/>
      <c r="AA70" s="19" t="str">
        <f t="shared" si="19"/>
        <v>2026//3/19</v>
      </c>
      <c r="AB70" s="19">
        <v>931536.86</v>
      </c>
      <c r="AC70" s="19">
        <f t="shared" si="20"/>
        <v>934416.86</v>
      </c>
      <c r="AD70" s="19">
        <f t="shared" si="21"/>
        <v>-2880</v>
      </c>
      <c r="AE70" s="172">
        <f t="shared" si="22"/>
        <v>-0.00308213616779132</v>
      </c>
      <c r="AF70" s="18"/>
      <c r="AG70" s="172"/>
      <c r="AH70" s="19"/>
      <c r="AI70" s="19" t="str">
        <f t="shared" si="23"/>
        <v>2026//3/19</v>
      </c>
      <c r="AJ70" s="19">
        <v>741921.76</v>
      </c>
      <c r="AK70" s="19">
        <f t="shared" si="24"/>
        <v>750921.76</v>
      </c>
      <c r="AL70" s="19">
        <f t="shared" si="25"/>
        <v>-9000</v>
      </c>
      <c r="AM70" s="172">
        <f t="shared" si="26"/>
        <v>-0.0119852699434359</v>
      </c>
      <c r="AN70" s="18"/>
      <c r="AO70" s="18"/>
      <c r="AP70" s="19"/>
      <c r="AQ70" s="19" t="str">
        <f t="shared" si="27"/>
        <v>2026//3/19</v>
      </c>
      <c r="AR70" s="21">
        <v>1636645.49</v>
      </c>
      <c r="AS70" s="19">
        <f t="shared" si="28"/>
        <v>1616345.49</v>
      </c>
      <c r="AT70" s="19">
        <f t="shared" si="29"/>
        <v>20300</v>
      </c>
      <c r="AU70" s="172">
        <f t="shared" si="30"/>
        <v>0.0125591961159244</v>
      </c>
      <c r="AV70" s="18"/>
      <c r="AW70" s="18"/>
      <c r="AX70" s="17"/>
      <c r="AY70" s="17"/>
      <c r="AZ70" s="19" t="str">
        <f t="shared" si="31"/>
        <v>2026//3/19</v>
      </c>
      <c r="BA70" s="255">
        <v>1985601.66</v>
      </c>
      <c r="BB70" s="205">
        <f t="shared" si="32"/>
        <v>1979661.66</v>
      </c>
      <c r="BC70" s="17">
        <f t="shared" si="33"/>
        <v>5940</v>
      </c>
      <c r="BD70" s="18">
        <f t="shared" si="34"/>
        <v>0.00300051272397729</v>
      </c>
      <c r="BE70" s="18"/>
      <c r="BF70" s="18"/>
      <c r="BG70" s="74"/>
      <c r="BH70" s="8" t="str">
        <f t="shared" si="35"/>
        <v>2026//3/19</v>
      </c>
      <c r="BI70" s="256">
        <v>1649426.55</v>
      </c>
      <c r="BJ70" s="195">
        <f t="shared" si="36"/>
        <v>1668126.55</v>
      </c>
      <c r="BK70" s="195">
        <f t="shared" si="37"/>
        <v>-18700</v>
      </c>
      <c r="BL70" s="196">
        <f t="shared" si="38"/>
        <v>-0.0112101806664488</v>
      </c>
      <c r="BM70" s="197"/>
      <c r="BN70" s="192"/>
      <c r="BP70" s="8" t="str">
        <f t="shared" si="39"/>
        <v>2026//3/19</v>
      </c>
      <c r="BQ70" s="198">
        <v>1278662.39</v>
      </c>
      <c r="BR70" s="12">
        <f t="shared" si="40"/>
        <v>1269662.39</v>
      </c>
      <c r="BS70" s="12">
        <f t="shared" si="41"/>
        <v>9000</v>
      </c>
      <c r="BT70" s="199">
        <f t="shared" si="42"/>
        <v>0.00708849854172651</v>
      </c>
      <c r="BU70" s="192"/>
      <c r="BV70" s="192"/>
      <c r="BX70" s="8" t="str">
        <f t="shared" si="43"/>
        <v>2026//3/19</v>
      </c>
      <c r="BY70" s="257">
        <v>3287360.7</v>
      </c>
      <c r="BZ70" s="12">
        <f t="shared" si="44"/>
        <v>3376210.7</v>
      </c>
      <c r="CA70" s="12">
        <f t="shared" si="45"/>
        <v>-88850</v>
      </c>
      <c r="CB70" s="199">
        <f t="shared" si="46"/>
        <v>-0.0263164855202905</v>
      </c>
      <c r="CC70" s="192"/>
      <c r="CD70" s="201"/>
      <c r="CF70" s="8" t="str">
        <f t="shared" si="47"/>
        <v>2026//3/19</v>
      </c>
      <c r="CG70" s="200">
        <v>1523903.9</v>
      </c>
      <c r="CH70" s="12">
        <f t="shared" si="48"/>
        <v>1555903.9</v>
      </c>
      <c r="CI70" s="12">
        <f t="shared" si="49"/>
        <v>-32000</v>
      </c>
      <c r="CJ70" s="199">
        <f t="shared" si="50"/>
        <v>-0.0205668229252462</v>
      </c>
      <c r="CK70" s="192"/>
      <c r="CL70" s="201"/>
      <c r="CN70" s="8" t="str">
        <f t="shared" si="51"/>
        <v>2026//3/19</v>
      </c>
      <c r="CO70" s="200">
        <v>747646.48</v>
      </c>
      <c r="CP70" s="12">
        <f t="shared" si="52"/>
        <v>765646.48</v>
      </c>
      <c r="CQ70" s="12">
        <f t="shared" si="53"/>
        <v>-18000</v>
      </c>
      <c r="CR70" s="199">
        <f t="shared" si="54"/>
        <v>-0.0235095445093668</v>
      </c>
      <c r="CS70" s="201"/>
      <c r="CT70" s="201"/>
      <c r="CV70" s="8" t="str">
        <f t="shared" si="55"/>
        <v>2026//3/19</v>
      </c>
      <c r="CW70" s="200">
        <v>605540.4</v>
      </c>
      <c r="CX70" s="12">
        <f t="shared" si="56"/>
        <v>612840.4</v>
      </c>
      <c r="CY70" s="12">
        <f t="shared" si="57"/>
        <v>-7300</v>
      </c>
      <c r="CZ70" s="199">
        <f t="shared" si="58"/>
        <v>-0.0119117473325845</v>
      </c>
      <c r="DA70" s="192"/>
      <c r="DB70" s="192"/>
      <c r="DC70" s="277"/>
      <c r="DD70" s="8" t="str">
        <f t="shared" si="59"/>
        <v>2026//3/19</v>
      </c>
      <c r="DE70" s="257">
        <v>2395717.98</v>
      </c>
      <c r="DF70" s="12">
        <f t="shared" si="60"/>
        <v>2376517.98</v>
      </c>
      <c r="DG70" s="12">
        <f t="shared" si="61"/>
        <v>19200</v>
      </c>
      <c r="DH70" s="199">
        <f t="shared" si="62"/>
        <v>0.00807904680780071</v>
      </c>
      <c r="DI70" s="192"/>
      <c r="DJ70" s="192"/>
      <c r="DL70" s="8" t="str">
        <f t="shared" si="63"/>
        <v>2026//3/19</v>
      </c>
      <c r="DM70" s="200">
        <v>1401100.36</v>
      </c>
      <c r="DN70" s="12">
        <f t="shared" si="64"/>
        <v>1360700.36</v>
      </c>
      <c r="DO70" s="12">
        <f t="shared" si="65"/>
        <v>40400</v>
      </c>
      <c r="DP70" s="199">
        <f t="shared" si="66"/>
        <v>0.0296905925710198</v>
      </c>
      <c r="DQ70" s="192"/>
      <c r="DR70" s="192"/>
      <c r="DT70" s="8" t="str">
        <f t="shared" si="67"/>
        <v>2026//3/19</v>
      </c>
      <c r="DU70" s="200">
        <v>1722689.48</v>
      </c>
      <c r="DV70" s="12">
        <f t="shared" si="68"/>
        <v>1718189.48</v>
      </c>
      <c r="DW70" s="12">
        <f t="shared" si="69"/>
        <v>4500</v>
      </c>
      <c r="DX70" s="199">
        <f t="shared" si="70"/>
        <v>0.00261903594008735</v>
      </c>
      <c r="DY70" s="192"/>
      <c r="DZ70" s="192"/>
      <c r="EB70" s="8" t="str">
        <f t="shared" si="71"/>
        <v>2026//3/19</v>
      </c>
      <c r="EC70" s="200">
        <v>5030666.82</v>
      </c>
      <c r="ED70" s="12">
        <f t="shared" si="72"/>
        <v>4927466.82</v>
      </c>
      <c r="EE70" s="12">
        <f t="shared" si="73"/>
        <v>103200</v>
      </c>
      <c r="EF70" s="199">
        <f t="shared" si="74"/>
        <v>0.0209438244375636</v>
      </c>
      <c r="EG70" s="192"/>
      <c r="EH70" s="192"/>
      <c r="EJ70" s="8" t="str">
        <f t="shared" si="75"/>
        <v>2026//3/19</v>
      </c>
      <c r="EK70" s="257">
        <v>1574922.96</v>
      </c>
      <c r="EL70" s="12">
        <f t="shared" si="76"/>
        <v>1574522.96</v>
      </c>
      <c r="EM70" s="12">
        <f t="shared" si="77"/>
        <v>400</v>
      </c>
      <c r="EN70" s="199">
        <f t="shared" si="78"/>
        <v>0.000254045199823571</v>
      </c>
      <c r="EO70" s="192"/>
      <c r="EP70" s="192"/>
      <c r="ER70" s="8" t="str">
        <f t="shared" si="79"/>
        <v>2026//3/19</v>
      </c>
      <c r="ES70" s="8">
        <v>546197.02</v>
      </c>
      <c r="ET70" s="12">
        <f t="shared" si="80"/>
        <v>548597.02</v>
      </c>
      <c r="EU70" s="12">
        <f t="shared" si="81"/>
        <v>-2400</v>
      </c>
      <c r="EV70" s="199">
        <f t="shared" si="82"/>
        <v>-0.00437479591121366</v>
      </c>
      <c r="EW70" s="192"/>
      <c r="EX70" s="192"/>
      <c r="EZ70" s="8" t="str">
        <f t="shared" si="83"/>
        <v>2026//3/19</v>
      </c>
      <c r="FA70" s="200">
        <v>754908</v>
      </c>
      <c r="FB70" s="12">
        <f t="shared" si="84"/>
        <v>757708</v>
      </c>
      <c r="FC70" s="12">
        <f t="shared" si="85"/>
        <v>-2800</v>
      </c>
      <c r="FD70" s="199">
        <f t="shared" si="86"/>
        <v>-0.00369535493884188</v>
      </c>
      <c r="FE70" s="192"/>
      <c r="FF70" s="192"/>
      <c r="FH70" s="8" t="str">
        <f t="shared" si="87"/>
        <v>2026//3/19</v>
      </c>
      <c r="FI70" s="198">
        <v>1126595.33</v>
      </c>
      <c r="FJ70" s="12">
        <f t="shared" si="88"/>
        <v>1116795.33</v>
      </c>
      <c r="FK70" s="12">
        <f t="shared" si="89"/>
        <v>9800</v>
      </c>
      <c r="FL70" s="199">
        <f t="shared" si="90"/>
        <v>0.00877510832714531</v>
      </c>
      <c r="FM70" s="201"/>
      <c r="FN70" s="201"/>
      <c r="FP70" s="8" t="str">
        <f t="shared" si="91"/>
        <v>2026//3/19</v>
      </c>
      <c r="FQ70" s="200">
        <v>2300818.73</v>
      </c>
      <c r="FR70" s="12">
        <f t="shared" si="92"/>
        <v>2286568.73</v>
      </c>
      <c r="FS70" s="12">
        <f t="shared" si="93"/>
        <v>14250</v>
      </c>
      <c r="FT70" s="199">
        <f t="shared" si="94"/>
        <v>0.00623204534070577</v>
      </c>
      <c r="FU70" s="192"/>
      <c r="FV70" s="192"/>
      <c r="FX70" s="8" t="str">
        <f t="shared" si="95"/>
        <v>2026//3/19</v>
      </c>
      <c r="FY70" s="200">
        <v>8322182.05</v>
      </c>
      <c r="FZ70" s="12">
        <f t="shared" si="96"/>
        <v>8234282.05</v>
      </c>
      <c r="GA70" s="12">
        <f t="shared" si="97"/>
        <v>87900</v>
      </c>
      <c r="GB70" s="199">
        <f t="shared" si="98"/>
        <v>0.0106748833069181</v>
      </c>
      <c r="GC70" s="192"/>
      <c r="GD70" s="192"/>
      <c r="GF70" s="8" t="str">
        <f t="shared" si="99"/>
        <v>2026//3/19</v>
      </c>
      <c r="GG70" s="200">
        <v>4750969.49</v>
      </c>
      <c r="GH70" s="12">
        <f t="shared" si="100"/>
        <v>4743569.49</v>
      </c>
      <c r="GI70" s="12">
        <f t="shared" si="101"/>
        <v>7400</v>
      </c>
      <c r="GJ70" s="199">
        <f t="shared" si="102"/>
        <v>0.00156000666072249</v>
      </c>
      <c r="GK70" s="192"/>
      <c r="GL70" s="192"/>
      <c r="GN70" s="8" t="str">
        <f t="shared" si="103"/>
        <v>2026//3/19</v>
      </c>
      <c r="GO70" s="257">
        <v>1835578.12</v>
      </c>
      <c r="GP70" s="12">
        <f t="shared" si="104"/>
        <v>1837318.12</v>
      </c>
      <c r="GQ70" s="12">
        <f t="shared" si="105"/>
        <v>-1740</v>
      </c>
      <c r="GR70" s="199">
        <f t="shared" si="106"/>
        <v>-0.000947032514978952</v>
      </c>
      <c r="GS70" s="192"/>
      <c r="GT70" s="192"/>
      <c r="GV70" s="8" t="str">
        <f t="shared" si="107"/>
        <v>2026//3/19</v>
      </c>
      <c r="GW70" s="200">
        <v>1059749.4</v>
      </c>
      <c r="GX70" s="12">
        <f t="shared" si="108"/>
        <v>1066549.4</v>
      </c>
      <c r="GY70" s="12">
        <f t="shared" si="109"/>
        <v>-6800</v>
      </c>
      <c r="GZ70" s="199">
        <f t="shared" si="110"/>
        <v>-0.00637570092862084</v>
      </c>
      <c r="HA70" s="192"/>
      <c r="HB70" s="192"/>
      <c r="HD70" s="8" t="str">
        <f t="shared" si="111"/>
        <v>2026//3/19</v>
      </c>
      <c r="HE70" s="257">
        <v>1059864.67</v>
      </c>
      <c r="HF70" s="12">
        <f t="shared" si="112"/>
        <v>1047264.67</v>
      </c>
      <c r="HG70" s="12">
        <f t="shared" si="113"/>
        <v>12599.9999999999</v>
      </c>
      <c r="HH70" s="199">
        <f t="shared" si="114"/>
        <v>0.012031342564053</v>
      </c>
      <c r="HI70" s="201"/>
      <c r="HJ70" s="192"/>
      <c r="HL70" s="8" t="str">
        <f t="shared" si="115"/>
        <v>2026//3/19</v>
      </c>
      <c r="HM70" s="200">
        <v>155054.25</v>
      </c>
      <c r="HN70" s="12">
        <f t="shared" si="116"/>
        <v>154904.25</v>
      </c>
      <c r="HO70" s="12">
        <f t="shared" si="117"/>
        <v>150</v>
      </c>
      <c r="HP70" s="199">
        <f t="shared" si="118"/>
        <v>0.000968340119783673</v>
      </c>
      <c r="HQ70" s="192"/>
      <c r="HR70" s="192"/>
      <c r="HT70" s="8" t="str">
        <f t="shared" si="119"/>
        <v>2026//3/19</v>
      </c>
      <c r="HU70" s="257">
        <v>278268.82</v>
      </c>
      <c r="HV70" s="12">
        <f t="shared" si="120"/>
        <v>296868.82</v>
      </c>
      <c r="HW70" s="12">
        <f t="shared" si="121"/>
        <v>-18600</v>
      </c>
      <c r="HX70" s="199">
        <f t="shared" si="122"/>
        <v>-0.0626539358360369</v>
      </c>
      <c r="HY70" s="192"/>
      <c r="HZ70" s="192"/>
      <c r="IB70" s="8" t="str">
        <f t="shared" si="123"/>
        <v>2026//3/19</v>
      </c>
      <c r="IC70" s="200">
        <v>481409.79</v>
      </c>
      <c r="ID70" s="12">
        <f t="shared" si="124"/>
        <v>481709.79</v>
      </c>
      <c r="IE70" s="12">
        <f t="shared" si="125"/>
        <v>-300</v>
      </c>
      <c r="IF70" s="199">
        <f t="shared" si="126"/>
        <v>-0.000622781612970747</v>
      </c>
      <c r="IG70" s="201"/>
      <c r="IH70" s="192"/>
      <c r="IJ70" s="8" t="str">
        <f t="shared" si="127"/>
        <v>2026//3/19</v>
      </c>
      <c r="IK70" s="257">
        <v>535356.29</v>
      </c>
      <c r="IL70" s="12">
        <f t="shared" si="128"/>
        <v>549916.29</v>
      </c>
      <c r="IM70" s="12">
        <f t="shared" si="129"/>
        <v>-14560</v>
      </c>
      <c r="IN70" s="199">
        <f t="shared" si="130"/>
        <v>-0.026476757035148</v>
      </c>
      <c r="IO70" s="192"/>
      <c r="IP70" s="192"/>
      <c r="IR70" s="8" t="str">
        <f t="shared" si="131"/>
        <v>2026//3/19</v>
      </c>
      <c r="IS70" s="200">
        <v>145989</v>
      </c>
      <c r="IT70" s="12">
        <f t="shared" si="132"/>
        <v>145289</v>
      </c>
      <c r="IU70" s="12">
        <f t="shared" si="133"/>
        <v>700</v>
      </c>
      <c r="IV70" s="199">
        <f t="shared" si="134"/>
        <v>0.00481798346743387</v>
      </c>
      <c r="IW70" s="192"/>
      <c r="IX70" s="192"/>
      <c r="IZ70" s="8" t="str">
        <f t="shared" si="135"/>
        <v>2026//3/19</v>
      </c>
      <c r="JA70" s="200">
        <v>4995429.15</v>
      </c>
      <c r="JB70" s="12">
        <f t="shared" si="136"/>
        <v>4940229.15</v>
      </c>
      <c r="JC70" s="12">
        <f t="shared" si="137"/>
        <v>55200</v>
      </c>
      <c r="JD70" s="199">
        <f t="shared" si="138"/>
        <v>0.011173570764425</v>
      </c>
      <c r="JE70" s="192"/>
      <c r="JF70" s="192"/>
      <c r="JH70" s="8" t="str">
        <f t="shared" si="139"/>
        <v>2026//3/19</v>
      </c>
      <c r="JI70" s="200">
        <v>1540767.99</v>
      </c>
      <c r="JJ70" s="12">
        <f t="shared" si="140"/>
        <v>1551507.99</v>
      </c>
      <c r="JK70" s="12">
        <f t="shared" si="141"/>
        <v>-10740</v>
      </c>
      <c r="JL70" s="199">
        <f t="shared" si="142"/>
        <v>-0.00692229757708177</v>
      </c>
      <c r="JM70" s="192"/>
      <c r="JN70" s="192"/>
      <c r="JP70" s="8" t="str">
        <f t="shared" si="143"/>
        <v>2026//3/19</v>
      </c>
      <c r="JQ70" s="257">
        <v>1069590.41</v>
      </c>
      <c r="JR70" s="12">
        <f t="shared" si="144"/>
        <v>1072590.41</v>
      </c>
      <c r="JS70" s="12">
        <f t="shared" si="145"/>
        <v>-3000</v>
      </c>
      <c r="JT70" s="199">
        <f t="shared" si="146"/>
        <v>-0.00279696701744704</v>
      </c>
      <c r="JU70" s="192"/>
      <c r="JV70" s="201"/>
      <c r="JX70" s="8" t="str">
        <f t="shared" si="147"/>
        <v>2026//3/19</v>
      </c>
      <c r="JY70" s="200">
        <v>1275948.8</v>
      </c>
      <c r="JZ70" s="12">
        <f t="shared" si="148"/>
        <v>1275398.8</v>
      </c>
      <c r="KA70" s="12">
        <f t="shared" si="149"/>
        <v>550</v>
      </c>
      <c r="KB70" s="199">
        <f t="shared" si="150"/>
        <v>0.00043123766464262</v>
      </c>
      <c r="KC70" s="192"/>
      <c r="KD70" s="201"/>
      <c r="KF70" s="8" t="str">
        <f t="shared" si="151"/>
        <v>2026//3/19</v>
      </c>
      <c r="KG70" s="257">
        <v>755755.92</v>
      </c>
      <c r="KH70" s="12">
        <f t="shared" si="152"/>
        <v>755755.92</v>
      </c>
      <c r="KI70" s="12">
        <f t="shared" si="153"/>
        <v>0</v>
      </c>
      <c r="KJ70" s="199">
        <f t="shared" si="154"/>
        <v>0</v>
      </c>
      <c r="KK70" s="201"/>
      <c r="KL70" s="201"/>
      <c r="KN70" s="8" t="str">
        <f t="shared" si="155"/>
        <v>2026//3/19</v>
      </c>
      <c r="KO70" s="200">
        <v>8098375.95</v>
      </c>
      <c r="KP70" s="12">
        <f t="shared" si="156"/>
        <v>8078375.95</v>
      </c>
      <c r="KQ70" s="12">
        <f t="shared" si="157"/>
        <v>20000</v>
      </c>
      <c r="KR70" s="199">
        <f t="shared" si="158"/>
        <v>0.00247574514033356</v>
      </c>
      <c r="KS70" s="192"/>
      <c r="KT70" s="192"/>
      <c r="KV70" s="8" t="str">
        <f t="shared" si="159"/>
        <v>2026//3/19</v>
      </c>
      <c r="KW70" s="257">
        <v>1011272.97</v>
      </c>
      <c r="KX70" s="12">
        <f t="shared" si="160"/>
        <v>1011272.97</v>
      </c>
      <c r="KY70" s="12">
        <f t="shared" si="161"/>
        <v>0</v>
      </c>
      <c r="KZ70" s="199">
        <f t="shared" si="162"/>
        <v>0</v>
      </c>
      <c r="LA70" s="201"/>
      <c r="LB70" s="192"/>
      <c r="LD70" s="8" t="str">
        <f t="shared" si="163"/>
        <v>2026//3/19</v>
      </c>
      <c r="LE70" s="200">
        <v>486907.7</v>
      </c>
      <c r="LF70" s="12">
        <f t="shared" si="164"/>
        <v>498857.7</v>
      </c>
      <c r="LG70" s="12">
        <f t="shared" si="165"/>
        <v>-11950</v>
      </c>
      <c r="LH70" s="199">
        <f t="shared" si="166"/>
        <v>-0.0239547269692339</v>
      </c>
      <c r="LI70" s="192"/>
      <c r="LJ70" s="192"/>
      <c r="LL70" s="8" t="str">
        <f t="shared" si="167"/>
        <v>2026//3/19</v>
      </c>
      <c r="LM70" s="198">
        <v>3568795.02</v>
      </c>
      <c r="LN70" s="12">
        <f t="shared" si="168"/>
        <v>3552595.02</v>
      </c>
      <c r="LO70" s="12">
        <f t="shared" si="169"/>
        <v>16200</v>
      </c>
      <c r="LP70" s="199">
        <f t="shared" si="170"/>
        <v>0.0045600469259229</v>
      </c>
      <c r="LQ70" s="192"/>
      <c r="LR70" s="192"/>
      <c r="LT70" s="8" t="str">
        <f t="shared" si="171"/>
        <v>2026//3/19</v>
      </c>
      <c r="LU70" s="257">
        <v>2753262.9</v>
      </c>
      <c r="LV70" s="12">
        <f t="shared" si="172"/>
        <v>2752662.9</v>
      </c>
      <c r="LW70" s="12">
        <f t="shared" si="173"/>
        <v>600</v>
      </c>
      <c r="LX70" s="199">
        <f t="shared" si="174"/>
        <v>0.000217970751158814</v>
      </c>
      <c r="LY70" s="192"/>
      <c r="LZ70" s="192"/>
      <c r="MB70" s="8" t="str">
        <f t="shared" si="175"/>
        <v>2026//3/19</v>
      </c>
      <c r="MC70" s="200">
        <v>775867.6</v>
      </c>
      <c r="MD70" s="12">
        <f t="shared" si="176"/>
        <v>771967.69</v>
      </c>
      <c r="ME70" s="12">
        <f t="shared" si="177"/>
        <v>3899.91000000003</v>
      </c>
      <c r="MF70" s="199">
        <f t="shared" si="178"/>
        <v>0.00505190832533423</v>
      </c>
      <c r="MG70" s="192"/>
      <c r="MH70" s="192"/>
      <c r="MI70" s="8"/>
      <c r="MJ70" s="8"/>
      <c r="MK70" s="8" t="str">
        <f t="shared" si="179"/>
        <v>2026//3/19</v>
      </c>
      <c r="ML70" s="258">
        <v>233265.53</v>
      </c>
      <c r="MM70" s="12">
        <f t="shared" si="180"/>
        <v>234345.53</v>
      </c>
      <c r="MN70" s="12">
        <f t="shared" si="181"/>
        <v>-1080</v>
      </c>
      <c r="MO70" s="199">
        <f t="shared" si="182"/>
        <v>-0.00460857947663862</v>
      </c>
      <c r="MP70" s="192"/>
      <c r="MQ70" s="201"/>
      <c r="MR70" s="201"/>
      <c r="MT70" s="26" t="str">
        <f t="shared" si="183"/>
        <v>2026//3/19</v>
      </c>
      <c r="MU70" s="8">
        <v>383614.8</v>
      </c>
      <c r="MV70" s="204">
        <f t="shared" si="184"/>
        <v>394414.8</v>
      </c>
      <c r="MW70" s="8">
        <f t="shared" si="185"/>
        <v>-10800</v>
      </c>
      <c r="MX70" s="192">
        <f t="shared" si="186"/>
        <v>-0.0273823396079457</v>
      </c>
      <c r="MY70" s="192"/>
      <c r="MZ70" s="192"/>
      <c r="NA70" s="192"/>
      <c r="NC70" s="26" t="str">
        <f t="shared" si="187"/>
        <v>2026//3/19</v>
      </c>
      <c r="ND70" s="8">
        <v>47291.48</v>
      </c>
      <c r="NE70" s="204">
        <f t="shared" si="188"/>
        <v>47891.48</v>
      </c>
      <c r="NF70" s="8">
        <f t="shared" si="189"/>
        <v>-600</v>
      </c>
      <c r="NG70" s="192">
        <f t="shared" si="190"/>
        <v>-0.0125283244535354</v>
      </c>
      <c r="NH70" s="192"/>
      <c r="NI70" s="192"/>
      <c r="NJ70" s="192"/>
      <c r="NK70" s="192"/>
      <c r="NM70" s="26" t="str">
        <f t="shared" si="191"/>
        <v>2026//3/19</v>
      </c>
      <c r="NN70" s="8">
        <v>2602411.08</v>
      </c>
      <c r="NO70" s="8">
        <f t="shared" si="192"/>
        <v>2609011.08</v>
      </c>
      <c r="NP70" s="210">
        <f t="shared" si="193"/>
        <v>-6600</v>
      </c>
      <c r="NQ70" s="211">
        <f t="shared" si="194"/>
        <v>-0.00252969412456462</v>
      </c>
      <c r="NR70" s="192"/>
      <c r="NU70" s="8" t="str">
        <f t="shared" si="195"/>
        <v>2026//3/19</v>
      </c>
      <c r="NV70" s="8">
        <v>244726.5</v>
      </c>
      <c r="NW70" s="205">
        <f t="shared" si="196"/>
        <v>243876.5</v>
      </c>
      <c r="NX70" s="210">
        <f t="shared" si="197"/>
        <v>850</v>
      </c>
      <c r="NY70" s="211">
        <f t="shared" si="198"/>
        <v>0.00348537066917067</v>
      </c>
      <c r="NZ70" s="192"/>
      <c r="OA70" s="8"/>
      <c r="OC70" s="8" t="str">
        <f t="shared" si="199"/>
        <v>2026//3/19</v>
      </c>
      <c r="OD70" s="200">
        <v>11533.97</v>
      </c>
      <c r="OE70" s="12">
        <f t="shared" si="200"/>
        <v>11511.97</v>
      </c>
      <c r="OF70" s="12">
        <f t="shared" si="201"/>
        <v>22</v>
      </c>
      <c r="OG70" s="199">
        <f t="shared" si="202"/>
        <v>0.00191105431998172</v>
      </c>
      <c r="OH70" s="192"/>
      <c r="OI70" s="192"/>
      <c r="OK70" s="8" t="str">
        <f t="shared" si="203"/>
        <v>2026//3/19</v>
      </c>
      <c r="OL70" s="200">
        <v>10934.65</v>
      </c>
      <c r="OM70" s="12">
        <f t="shared" si="204"/>
        <v>10864.65</v>
      </c>
      <c r="ON70" s="12">
        <f t="shared" si="205"/>
        <v>70</v>
      </c>
      <c r="OO70" s="199">
        <f t="shared" si="206"/>
        <v>0.00644291348547813</v>
      </c>
      <c r="OP70" s="192"/>
      <c r="OQ70" s="192"/>
      <c r="OT70" s="234" t="str">
        <f t="shared" si="211"/>
        <v>2026//3/19</v>
      </c>
      <c r="OU70" s="206">
        <v>142752.4066</v>
      </c>
      <c r="OV70" s="8">
        <f t="shared" si="208"/>
        <v>142632.4066</v>
      </c>
      <c r="OW70" s="191">
        <f t="shared" si="209"/>
        <v>120</v>
      </c>
      <c r="OX70" s="192">
        <f t="shared" si="210"/>
        <v>0.00084132353131031</v>
      </c>
    </row>
    <row r="71" s="8" customFormat="1" ht="17" customHeight="1" spans="1:414">
      <c r="A71" s="15"/>
      <c r="B71" s="15"/>
      <c r="C71" s="287" t="s">
        <v>500</v>
      </c>
      <c r="D71" s="19">
        <v>4457568.77</v>
      </c>
      <c r="E71" s="19">
        <f t="shared" si="8"/>
        <v>4433268.77</v>
      </c>
      <c r="F71" s="19">
        <f t="shared" si="9"/>
        <v>24300</v>
      </c>
      <c r="G71" s="172">
        <f t="shared" si="10"/>
        <v>0.00548128283230615</v>
      </c>
      <c r="H71" s="18"/>
      <c r="I71" s="172"/>
      <c r="J71" s="172"/>
      <c r="K71" s="19" t="str">
        <f t="shared" si="11"/>
        <v>2026//3/18</v>
      </c>
      <c r="L71" s="19">
        <v>3163294.4</v>
      </c>
      <c r="M71" s="19">
        <f t="shared" si="12"/>
        <v>3162934.4</v>
      </c>
      <c r="N71" s="19">
        <f t="shared" si="13"/>
        <v>360</v>
      </c>
      <c r="O71" s="172">
        <f t="shared" si="14"/>
        <v>0.000113818358041191</v>
      </c>
      <c r="P71" s="18"/>
      <c r="Q71" s="172"/>
      <c r="R71" s="19"/>
      <c r="S71" s="19" t="str">
        <f t="shared" si="15"/>
        <v>2026//3/18</v>
      </c>
      <c r="T71" s="19">
        <v>2328006.68</v>
      </c>
      <c r="U71" s="19">
        <f t="shared" si="16"/>
        <v>2312616.68</v>
      </c>
      <c r="V71" s="19">
        <f t="shared" si="17"/>
        <v>15390</v>
      </c>
      <c r="W71" s="172">
        <f t="shared" si="18"/>
        <v>0.00665479935913979</v>
      </c>
      <c r="X71" s="18"/>
      <c r="Y71" s="172"/>
      <c r="Z71" s="19"/>
      <c r="AA71" s="19" t="str">
        <f t="shared" si="19"/>
        <v>2026//3/18</v>
      </c>
      <c r="AB71" s="19">
        <v>934416.86</v>
      </c>
      <c r="AC71" s="19">
        <f t="shared" si="20"/>
        <v>924136.86</v>
      </c>
      <c r="AD71" s="19">
        <f t="shared" si="21"/>
        <v>10280</v>
      </c>
      <c r="AE71" s="172">
        <f t="shared" si="22"/>
        <v>0.0111238934891094</v>
      </c>
      <c r="AF71" s="18"/>
      <c r="AG71" s="172"/>
      <c r="AH71" s="19"/>
      <c r="AI71" s="19" t="str">
        <f t="shared" si="23"/>
        <v>2026//3/18</v>
      </c>
      <c r="AJ71" s="19">
        <v>750921.76</v>
      </c>
      <c r="AK71" s="19">
        <f t="shared" si="24"/>
        <v>740921.76</v>
      </c>
      <c r="AL71" s="19">
        <f t="shared" si="25"/>
        <v>10000</v>
      </c>
      <c r="AM71" s="172">
        <f t="shared" si="26"/>
        <v>0.013496701730018</v>
      </c>
      <c r="AN71" s="18"/>
      <c r="AO71" s="18"/>
      <c r="AP71" s="19"/>
      <c r="AQ71" s="19" t="str">
        <f t="shared" si="27"/>
        <v>2026//3/18</v>
      </c>
      <c r="AR71" s="21">
        <v>1616345.49</v>
      </c>
      <c r="AS71" s="19">
        <f t="shared" si="28"/>
        <v>1650045.49</v>
      </c>
      <c r="AT71" s="19">
        <f t="shared" si="29"/>
        <v>-33700</v>
      </c>
      <c r="AU71" s="172">
        <f t="shared" si="30"/>
        <v>-0.0204236793495918</v>
      </c>
      <c r="AV71" s="18"/>
      <c r="AW71" s="18"/>
      <c r="AX71" s="17"/>
      <c r="AY71" s="17"/>
      <c r="AZ71" s="19" t="str">
        <f t="shared" si="31"/>
        <v>2026//3/18</v>
      </c>
      <c r="BA71" s="255">
        <v>1979661.66</v>
      </c>
      <c r="BB71" s="205">
        <f t="shared" si="32"/>
        <v>1976241.66</v>
      </c>
      <c r="BC71" s="17">
        <f t="shared" si="33"/>
        <v>3420</v>
      </c>
      <c r="BD71" s="18">
        <f t="shared" si="34"/>
        <v>0.00173055758778003</v>
      </c>
      <c r="BE71" s="18"/>
      <c r="BF71" s="18"/>
      <c r="BG71" s="74"/>
      <c r="BH71" s="8" t="str">
        <f t="shared" si="35"/>
        <v>2026//3/18</v>
      </c>
      <c r="BI71" s="256">
        <v>1668126.55</v>
      </c>
      <c r="BJ71" s="195">
        <f t="shared" si="36"/>
        <v>1670026.55</v>
      </c>
      <c r="BK71" s="195">
        <f t="shared" si="37"/>
        <v>-1900</v>
      </c>
      <c r="BL71" s="196">
        <f t="shared" si="38"/>
        <v>-0.00113770646340922</v>
      </c>
      <c r="BM71" s="197"/>
      <c r="BN71" s="192"/>
      <c r="BP71" s="8" t="str">
        <f t="shared" si="39"/>
        <v>2026//3/18</v>
      </c>
      <c r="BQ71" s="198">
        <v>1269662.39</v>
      </c>
      <c r="BR71" s="12">
        <f t="shared" si="40"/>
        <v>1279362.39</v>
      </c>
      <c r="BS71" s="12">
        <f t="shared" si="41"/>
        <v>-9700</v>
      </c>
      <c r="BT71" s="199">
        <f t="shared" si="42"/>
        <v>-0.00758190179406478</v>
      </c>
      <c r="BU71" s="192"/>
      <c r="BV71" s="192"/>
      <c r="BX71" s="8" t="str">
        <f t="shared" si="43"/>
        <v>2026//3/18</v>
      </c>
      <c r="BY71" s="257">
        <v>3376210.7</v>
      </c>
      <c r="BZ71" s="12">
        <f t="shared" si="44"/>
        <v>3428360.7</v>
      </c>
      <c r="CA71" s="12">
        <f t="shared" si="45"/>
        <v>-52150</v>
      </c>
      <c r="CB71" s="199">
        <f t="shared" si="46"/>
        <v>-0.015211351594364</v>
      </c>
      <c r="CC71" s="192"/>
      <c r="CD71" s="201"/>
      <c r="CF71" s="8" t="str">
        <f t="shared" si="47"/>
        <v>2026//3/18</v>
      </c>
      <c r="CG71" s="200">
        <v>1555903.9</v>
      </c>
      <c r="CH71" s="12">
        <f t="shared" si="48"/>
        <v>1576453.9</v>
      </c>
      <c r="CI71" s="12">
        <f t="shared" si="49"/>
        <v>-20550</v>
      </c>
      <c r="CJ71" s="199">
        <f t="shared" si="50"/>
        <v>-0.0130355857535701</v>
      </c>
      <c r="CK71" s="192"/>
      <c r="CL71" s="201"/>
      <c r="CN71" s="8" t="str">
        <f t="shared" si="51"/>
        <v>2026//3/18</v>
      </c>
      <c r="CO71" s="200">
        <v>765646.48</v>
      </c>
      <c r="CP71" s="12">
        <f t="shared" si="52"/>
        <v>779246.48</v>
      </c>
      <c r="CQ71" s="12">
        <f t="shared" si="53"/>
        <v>-13600</v>
      </c>
      <c r="CR71" s="199">
        <f t="shared" si="54"/>
        <v>-0.0174527576948439</v>
      </c>
      <c r="CS71" s="201"/>
      <c r="CT71" s="201"/>
      <c r="CV71" s="8" t="str">
        <f t="shared" si="55"/>
        <v>2026//3/18</v>
      </c>
      <c r="CW71" s="200">
        <v>612840.4</v>
      </c>
      <c r="CX71" s="12">
        <f t="shared" si="56"/>
        <v>627190.4</v>
      </c>
      <c r="CY71" s="12">
        <f t="shared" si="57"/>
        <v>-14350</v>
      </c>
      <c r="CZ71" s="199">
        <f t="shared" si="58"/>
        <v>-0.0228798144869564</v>
      </c>
      <c r="DA71" s="192"/>
      <c r="DB71" s="192"/>
      <c r="DC71" s="277"/>
      <c r="DD71" s="8" t="str">
        <f t="shared" si="59"/>
        <v>2026//3/18</v>
      </c>
      <c r="DE71" s="257">
        <v>2376517.98</v>
      </c>
      <c r="DF71" s="12">
        <f t="shared" si="60"/>
        <v>2437717.98</v>
      </c>
      <c r="DG71" s="12">
        <f t="shared" si="61"/>
        <v>-61200</v>
      </c>
      <c r="DH71" s="199">
        <f t="shared" si="62"/>
        <v>-0.0251054471854862</v>
      </c>
      <c r="DI71" s="192"/>
      <c r="DJ71" s="192"/>
      <c r="DL71" s="8" t="str">
        <f t="shared" si="63"/>
        <v>2026//3/18</v>
      </c>
      <c r="DM71" s="200">
        <v>1360700.36</v>
      </c>
      <c r="DN71" s="12">
        <f t="shared" si="64"/>
        <v>1385100.36</v>
      </c>
      <c r="DO71" s="12">
        <f t="shared" si="65"/>
        <v>-24400</v>
      </c>
      <c r="DP71" s="199">
        <f t="shared" si="66"/>
        <v>-0.0176160520238403</v>
      </c>
      <c r="DQ71" s="192"/>
      <c r="DR71" s="192"/>
      <c r="DT71" s="8" t="str">
        <f t="shared" si="67"/>
        <v>2026//3/18</v>
      </c>
      <c r="DU71" s="200">
        <v>1718189.48</v>
      </c>
      <c r="DV71" s="12">
        <f t="shared" si="68"/>
        <v>1743089.48</v>
      </c>
      <c r="DW71" s="12">
        <f t="shared" si="69"/>
        <v>-24900</v>
      </c>
      <c r="DX71" s="199">
        <f t="shared" si="70"/>
        <v>-0.0142849809408522</v>
      </c>
      <c r="DY71" s="192"/>
      <c r="DZ71" s="192"/>
      <c r="EB71" s="8" t="str">
        <f t="shared" si="71"/>
        <v>2026//3/18</v>
      </c>
      <c r="EC71" s="200">
        <v>4927466.82</v>
      </c>
      <c r="ED71" s="12">
        <f t="shared" si="72"/>
        <v>4959566.82</v>
      </c>
      <c r="EE71" s="12">
        <f t="shared" si="73"/>
        <v>-32100</v>
      </c>
      <c r="EF71" s="199">
        <f t="shared" si="74"/>
        <v>-0.00647233945322668</v>
      </c>
      <c r="EG71" s="192"/>
      <c r="EH71" s="192"/>
      <c r="EJ71" s="8" t="str">
        <f t="shared" si="75"/>
        <v>2026//3/18</v>
      </c>
      <c r="EK71" s="257">
        <v>1574522.96</v>
      </c>
      <c r="EL71" s="12">
        <f t="shared" si="76"/>
        <v>1601522.96</v>
      </c>
      <c r="EM71" s="12">
        <f t="shared" si="77"/>
        <v>-27000</v>
      </c>
      <c r="EN71" s="199">
        <f t="shared" si="78"/>
        <v>-0.0168589528057718</v>
      </c>
      <c r="EO71" s="192"/>
      <c r="EP71" s="192"/>
      <c r="ER71" s="8" t="str">
        <f t="shared" si="79"/>
        <v>2026//3/18</v>
      </c>
      <c r="ES71" s="8">
        <v>548597.02</v>
      </c>
      <c r="ET71" s="12">
        <f t="shared" si="80"/>
        <v>554447.02</v>
      </c>
      <c r="EU71" s="12">
        <f t="shared" si="81"/>
        <v>-5850</v>
      </c>
      <c r="EV71" s="199">
        <f t="shared" si="82"/>
        <v>-0.0105510531917008</v>
      </c>
      <c r="EW71" s="192"/>
      <c r="EX71" s="192"/>
      <c r="EZ71" s="8" t="str">
        <f t="shared" si="83"/>
        <v>2026//3/18</v>
      </c>
      <c r="FA71" s="200">
        <v>757708</v>
      </c>
      <c r="FB71" s="12">
        <f t="shared" si="84"/>
        <v>769608</v>
      </c>
      <c r="FC71" s="12">
        <f t="shared" si="85"/>
        <v>-11900</v>
      </c>
      <c r="FD71" s="199">
        <f t="shared" si="86"/>
        <v>-0.0154624172305901</v>
      </c>
      <c r="FE71" s="192"/>
      <c r="FF71" s="192"/>
      <c r="FH71" s="8" t="str">
        <f t="shared" si="87"/>
        <v>2026//3/18</v>
      </c>
      <c r="FI71" s="198">
        <v>1116795.33</v>
      </c>
      <c r="FJ71" s="12">
        <f t="shared" si="88"/>
        <v>1137795.33</v>
      </c>
      <c r="FK71" s="12">
        <f t="shared" si="89"/>
        <v>-21000</v>
      </c>
      <c r="FL71" s="199">
        <f t="shared" si="90"/>
        <v>-0.0184567465222414</v>
      </c>
      <c r="FM71" s="201"/>
      <c r="FN71" s="201"/>
      <c r="FP71" s="8" t="str">
        <f t="shared" si="91"/>
        <v>2026//3/18</v>
      </c>
      <c r="FQ71" s="200">
        <v>2286568.73</v>
      </c>
      <c r="FR71" s="12">
        <f t="shared" si="92"/>
        <v>2282518.73</v>
      </c>
      <c r="FS71" s="12">
        <f t="shared" si="93"/>
        <v>4050</v>
      </c>
      <c r="FT71" s="199">
        <f t="shared" si="94"/>
        <v>0.00177435564789429</v>
      </c>
      <c r="FU71" s="192"/>
      <c r="FV71" s="192"/>
      <c r="FX71" s="8" t="str">
        <f t="shared" si="95"/>
        <v>2026//3/18</v>
      </c>
      <c r="FY71" s="200">
        <v>8234282.05</v>
      </c>
      <c r="FZ71" s="12">
        <f t="shared" si="96"/>
        <v>8216382.05</v>
      </c>
      <c r="GA71" s="12">
        <f t="shared" si="97"/>
        <v>17900</v>
      </c>
      <c r="GB71" s="199">
        <f t="shared" si="98"/>
        <v>0.00217857444932225</v>
      </c>
      <c r="GC71" s="192"/>
      <c r="GD71" s="192"/>
      <c r="GF71" s="8" t="str">
        <f t="shared" si="99"/>
        <v>2026//3/18</v>
      </c>
      <c r="GG71" s="200">
        <v>4743569.49</v>
      </c>
      <c r="GH71" s="12">
        <f t="shared" si="100"/>
        <v>4723269.49</v>
      </c>
      <c r="GI71" s="12">
        <f t="shared" si="101"/>
        <v>20300</v>
      </c>
      <c r="GJ71" s="199">
        <f t="shared" si="102"/>
        <v>0.00429787037199099</v>
      </c>
      <c r="GK71" s="192"/>
      <c r="GL71" s="192"/>
      <c r="GN71" s="8" t="str">
        <f t="shared" si="103"/>
        <v>2026//3/18</v>
      </c>
      <c r="GO71" s="257">
        <v>1837318.12</v>
      </c>
      <c r="GP71" s="12">
        <f t="shared" si="104"/>
        <v>1837978.12</v>
      </c>
      <c r="GQ71" s="12">
        <f t="shared" si="105"/>
        <v>-660</v>
      </c>
      <c r="GR71" s="199">
        <f t="shared" si="106"/>
        <v>-0.00035909023770098</v>
      </c>
      <c r="GS71" s="192"/>
      <c r="GT71" s="192"/>
      <c r="GV71" s="8" t="str">
        <f t="shared" si="107"/>
        <v>2026//3/18</v>
      </c>
      <c r="GW71" s="200">
        <v>1066549.4</v>
      </c>
      <c r="GX71" s="12">
        <f t="shared" si="108"/>
        <v>1072349.4</v>
      </c>
      <c r="GY71" s="12">
        <f t="shared" si="109"/>
        <v>-5800</v>
      </c>
      <c r="GZ71" s="199">
        <f t="shared" si="110"/>
        <v>-0.00540868489318873</v>
      </c>
      <c r="HA71" s="192"/>
      <c r="HB71" s="192"/>
      <c r="HD71" s="8" t="str">
        <f t="shared" si="111"/>
        <v>2026//3/18</v>
      </c>
      <c r="HE71" s="257">
        <v>1047264.67</v>
      </c>
      <c r="HF71" s="12">
        <f t="shared" si="112"/>
        <v>1060964.67</v>
      </c>
      <c r="HG71" s="12">
        <f t="shared" si="113"/>
        <v>-13699.9999999999</v>
      </c>
      <c r="HH71" s="199">
        <f t="shared" si="114"/>
        <v>-0.0129127768222479</v>
      </c>
      <c r="HI71" s="201"/>
      <c r="HJ71" s="192"/>
      <c r="HL71" s="8" t="str">
        <f t="shared" si="115"/>
        <v>2026//3/18</v>
      </c>
      <c r="HM71" s="200">
        <v>154904.25</v>
      </c>
      <c r="HN71" s="12">
        <f t="shared" si="116"/>
        <v>160454.25</v>
      </c>
      <c r="HO71" s="12">
        <f t="shared" si="117"/>
        <v>-5550</v>
      </c>
      <c r="HP71" s="199">
        <f t="shared" si="118"/>
        <v>-0.0345892988188222</v>
      </c>
      <c r="HQ71" s="192"/>
      <c r="HR71" s="192"/>
      <c r="HT71" s="8" t="str">
        <f t="shared" si="119"/>
        <v>2026//3/18</v>
      </c>
      <c r="HU71" s="257">
        <v>296868.82</v>
      </c>
      <c r="HV71" s="12">
        <f t="shared" si="120"/>
        <v>302368.82</v>
      </c>
      <c r="HW71" s="12">
        <f t="shared" si="121"/>
        <v>-5500</v>
      </c>
      <c r="HX71" s="199">
        <f t="shared" si="122"/>
        <v>-0.0181897062005269</v>
      </c>
      <c r="HY71" s="192"/>
      <c r="HZ71" s="192"/>
      <c r="IB71" s="8" t="str">
        <f t="shared" si="123"/>
        <v>2026//3/18</v>
      </c>
      <c r="IC71" s="200">
        <v>481709.79</v>
      </c>
      <c r="ID71" s="12">
        <f t="shared" si="124"/>
        <v>481184.79</v>
      </c>
      <c r="IE71" s="12">
        <f t="shared" si="125"/>
        <v>525</v>
      </c>
      <c r="IF71" s="199">
        <f t="shared" si="126"/>
        <v>0.00109105693054014</v>
      </c>
      <c r="IG71" s="201"/>
      <c r="IH71" s="192"/>
      <c r="IJ71" s="8" t="str">
        <f t="shared" si="127"/>
        <v>2026//3/18</v>
      </c>
      <c r="IK71" s="257">
        <v>549916.29</v>
      </c>
      <c r="IL71" s="12">
        <f t="shared" si="128"/>
        <v>540236.29</v>
      </c>
      <c r="IM71" s="12">
        <f t="shared" si="129"/>
        <v>9680</v>
      </c>
      <c r="IN71" s="199">
        <f t="shared" si="130"/>
        <v>0.017918085436282</v>
      </c>
      <c r="IO71" s="192"/>
      <c r="IP71" s="192"/>
      <c r="IR71" s="8" t="str">
        <f t="shared" si="131"/>
        <v>2026//3/18</v>
      </c>
      <c r="IS71" s="200">
        <v>145289</v>
      </c>
      <c r="IT71" s="12">
        <f t="shared" si="132"/>
        <v>149589</v>
      </c>
      <c r="IU71" s="12">
        <f t="shared" si="133"/>
        <v>-4300</v>
      </c>
      <c r="IV71" s="199">
        <f t="shared" si="134"/>
        <v>-0.0287454291425172</v>
      </c>
      <c r="IW71" s="192"/>
      <c r="IX71" s="192"/>
      <c r="IZ71" s="8" t="str">
        <f t="shared" si="135"/>
        <v>2026//3/18</v>
      </c>
      <c r="JA71" s="200">
        <v>4940229.15</v>
      </c>
      <c r="JB71" s="12">
        <f t="shared" si="136"/>
        <v>4902529.15</v>
      </c>
      <c r="JC71" s="12">
        <f t="shared" si="137"/>
        <v>37700</v>
      </c>
      <c r="JD71" s="199">
        <f t="shared" si="138"/>
        <v>0.00768990838126888</v>
      </c>
      <c r="JE71" s="192"/>
      <c r="JF71" s="192"/>
      <c r="JH71" s="8" t="str">
        <f t="shared" si="139"/>
        <v>2026//3/18</v>
      </c>
      <c r="JI71" s="200">
        <v>1551507.99</v>
      </c>
      <c r="JJ71" s="12">
        <f t="shared" si="140"/>
        <v>1525527.99</v>
      </c>
      <c r="JK71" s="12">
        <f t="shared" si="141"/>
        <v>25980</v>
      </c>
      <c r="JL71" s="199">
        <f t="shared" si="142"/>
        <v>0.0170301693382892</v>
      </c>
      <c r="JM71" s="192"/>
      <c r="JN71" s="192"/>
      <c r="JP71" s="8" t="str">
        <f t="shared" si="143"/>
        <v>2026//3/18</v>
      </c>
      <c r="JQ71" s="257">
        <v>1072590.41</v>
      </c>
      <c r="JR71" s="12">
        <f t="shared" si="144"/>
        <v>1083990.41</v>
      </c>
      <c r="JS71" s="12">
        <f t="shared" si="145"/>
        <v>-11400</v>
      </c>
      <c r="JT71" s="199">
        <f t="shared" si="146"/>
        <v>-0.0105166982058448</v>
      </c>
      <c r="JU71" s="192"/>
      <c r="JV71" s="201"/>
      <c r="JX71" s="8" t="str">
        <f t="shared" si="147"/>
        <v>2026//3/18</v>
      </c>
      <c r="JY71" s="200">
        <v>1275398.8</v>
      </c>
      <c r="JZ71" s="12">
        <f t="shared" si="148"/>
        <v>1275398.8</v>
      </c>
      <c r="KA71" s="12">
        <f t="shared" si="149"/>
        <v>0</v>
      </c>
      <c r="KB71" s="199">
        <f t="shared" si="150"/>
        <v>0</v>
      </c>
      <c r="KC71" s="192"/>
      <c r="KD71" s="201"/>
      <c r="KF71" s="8" t="str">
        <f t="shared" si="151"/>
        <v>2026//3/18</v>
      </c>
      <c r="KG71" s="257">
        <v>755755.92</v>
      </c>
      <c r="KH71" s="12">
        <f t="shared" si="152"/>
        <v>755755.92</v>
      </c>
      <c r="KI71" s="12">
        <f t="shared" si="153"/>
        <v>0</v>
      </c>
      <c r="KJ71" s="199">
        <f t="shared" si="154"/>
        <v>0</v>
      </c>
      <c r="KK71" s="201"/>
      <c r="KL71" s="201"/>
      <c r="KN71" s="8" t="str">
        <f t="shared" si="155"/>
        <v>2026//3/18</v>
      </c>
      <c r="KO71" s="200">
        <v>8078375.95</v>
      </c>
      <c r="KP71" s="12">
        <f t="shared" si="156"/>
        <v>8060975.95</v>
      </c>
      <c r="KQ71" s="12">
        <f t="shared" si="157"/>
        <v>17400</v>
      </c>
      <c r="KR71" s="199">
        <f t="shared" si="158"/>
        <v>0.00215854756395843</v>
      </c>
      <c r="KS71" s="192"/>
      <c r="KT71" s="192"/>
      <c r="KV71" s="8" t="str">
        <f t="shared" si="159"/>
        <v>2026//3/18</v>
      </c>
      <c r="KW71" s="257">
        <v>1011272.97</v>
      </c>
      <c r="KX71" s="12">
        <f t="shared" si="160"/>
        <v>1013372.97</v>
      </c>
      <c r="KY71" s="12">
        <f t="shared" si="161"/>
        <v>-2100</v>
      </c>
      <c r="KZ71" s="199">
        <f t="shared" si="162"/>
        <v>-0.00207228736325975</v>
      </c>
      <c r="LA71" s="201"/>
      <c r="LB71" s="192"/>
      <c r="LD71" s="8" t="str">
        <f t="shared" si="163"/>
        <v>2026//3/18</v>
      </c>
      <c r="LE71" s="200">
        <v>498857.7</v>
      </c>
      <c r="LF71" s="12">
        <f t="shared" si="164"/>
        <v>505157.7</v>
      </c>
      <c r="LG71" s="12">
        <f t="shared" si="165"/>
        <v>-6300</v>
      </c>
      <c r="LH71" s="199">
        <f t="shared" si="166"/>
        <v>-0.0124713530052101</v>
      </c>
      <c r="LI71" s="192"/>
      <c r="LJ71" s="192"/>
      <c r="LL71" s="8" t="str">
        <f t="shared" si="167"/>
        <v>2026//3/18</v>
      </c>
      <c r="LM71" s="198">
        <v>3552595.02</v>
      </c>
      <c r="LN71" s="12">
        <f t="shared" si="168"/>
        <v>3570055.02</v>
      </c>
      <c r="LO71" s="12">
        <f t="shared" si="169"/>
        <v>-17460</v>
      </c>
      <c r="LP71" s="199">
        <f t="shared" si="170"/>
        <v>-0.00489068092849729</v>
      </c>
      <c r="LQ71" s="192"/>
      <c r="LR71" s="192"/>
      <c r="LT71" s="8" t="str">
        <f t="shared" si="171"/>
        <v>2026//3/18</v>
      </c>
      <c r="LU71" s="257">
        <v>2752662.9</v>
      </c>
      <c r="LV71" s="12">
        <f t="shared" si="172"/>
        <v>2749862.9</v>
      </c>
      <c r="LW71" s="12">
        <f t="shared" si="173"/>
        <v>2800</v>
      </c>
      <c r="LX71" s="199">
        <f t="shared" si="174"/>
        <v>0.00101823258170435</v>
      </c>
      <c r="LY71" s="192"/>
      <c r="LZ71" s="192"/>
      <c r="MB71" s="8" t="str">
        <f t="shared" si="175"/>
        <v>2026//3/18</v>
      </c>
      <c r="MC71" s="200">
        <v>771967.69</v>
      </c>
      <c r="MD71" s="12">
        <f t="shared" si="176"/>
        <v>765967.69</v>
      </c>
      <c r="ME71" s="12">
        <f t="shared" si="177"/>
        <v>6000</v>
      </c>
      <c r="MF71" s="199">
        <f t="shared" si="178"/>
        <v>0.00783322857913237</v>
      </c>
      <c r="MG71" s="192"/>
      <c r="MH71" s="192"/>
      <c r="MI71" s="8"/>
      <c r="MJ71" s="8"/>
      <c r="MK71" s="8" t="str">
        <f t="shared" si="179"/>
        <v>2026//3/18</v>
      </c>
      <c r="ML71" s="258">
        <v>234345.53</v>
      </c>
      <c r="MM71" s="12">
        <f t="shared" si="180"/>
        <v>236385.53</v>
      </c>
      <c r="MN71" s="12">
        <f t="shared" si="181"/>
        <v>-2040</v>
      </c>
      <c r="MO71" s="199">
        <f t="shared" si="182"/>
        <v>-0.00862996986321455</v>
      </c>
      <c r="MP71" s="192"/>
      <c r="MQ71" s="201"/>
      <c r="MR71" s="201"/>
      <c r="MT71" s="26" t="str">
        <f t="shared" si="183"/>
        <v>2026//3/18</v>
      </c>
      <c r="MU71" s="8">
        <v>394414.8</v>
      </c>
      <c r="MV71" s="204">
        <f t="shared" si="184"/>
        <v>412214.8</v>
      </c>
      <c r="MW71" s="8">
        <f t="shared" si="185"/>
        <v>-17800</v>
      </c>
      <c r="MX71" s="192">
        <f t="shared" si="186"/>
        <v>-0.0431813704893662</v>
      </c>
      <c r="MY71" s="192"/>
      <c r="MZ71" s="192"/>
      <c r="NA71" s="192"/>
      <c r="NC71" s="26" t="str">
        <f t="shared" si="187"/>
        <v>2026//3/18</v>
      </c>
      <c r="ND71" s="8">
        <v>47891.48</v>
      </c>
      <c r="NE71" s="204">
        <f t="shared" si="188"/>
        <v>48891.48</v>
      </c>
      <c r="NF71" s="8">
        <f t="shared" si="189"/>
        <v>-1000</v>
      </c>
      <c r="NG71" s="192">
        <f t="shared" si="190"/>
        <v>-0.0204534614210901</v>
      </c>
      <c r="NH71" s="192"/>
      <c r="NI71" s="192"/>
      <c r="NJ71" s="192"/>
      <c r="NK71" s="192"/>
      <c r="NM71" s="26" t="str">
        <f t="shared" si="191"/>
        <v>2026//3/18</v>
      </c>
      <c r="NN71" s="8">
        <v>2609011.08</v>
      </c>
      <c r="NO71" s="8">
        <f t="shared" si="192"/>
        <v>2603911.08</v>
      </c>
      <c r="NP71" s="210">
        <f t="shared" si="193"/>
        <v>5100</v>
      </c>
      <c r="NQ71" s="211">
        <f t="shared" si="194"/>
        <v>0.00195859222658248</v>
      </c>
      <c r="NR71" s="192"/>
      <c r="NU71" s="8" t="str">
        <f t="shared" si="195"/>
        <v>2026//3/18</v>
      </c>
      <c r="NV71" s="8">
        <v>243876.5</v>
      </c>
      <c r="NW71" s="205">
        <f t="shared" si="196"/>
        <v>243876.5</v>
      </c>
      <c r="NX71" s="210">
        <f t="shared" si="197"/>
        <v>0</v>
      </c>
      <c r="NY71" s="211">
        <f t="shared" si="198"/>
        <v>0</v>
      </c>
      <c r="NZ71" s="192"/>
      <c r="OA71" s="8"/>
      <c r="OC71" s="8" t="str">
        <f t="shared" si="199"/>
        <v>2026//3/18</v>
      </c>
      <c r="OD71" s="200">
        <v>11511.97</v>
      </c>
      <c r="OE71" s="12">
        <f t="shared" si="200"/>
        <v>11596.97</v>
      </c>
      <c r="OF71" s="12">
        <f t="shared" si="201"/>
        <v>-85</v>
      </c>
      <c r="OG71" s="199">
        <f t="shared" si="202"/>
        <v>-0.00732950072303369</v>
      </c>
      <c r="OH71" s="192"/>
      <c r="OI71" s="192"/>
      <c r="OK71" s="8" t="str">
        <f t="shared" si="203"/>
        <v>2026//3/18</v>
      </c>
      <c r="OL71" s="200">
        <v>10864.65</v>
      </c>
      <c r="OM71" s="12">
        <f t="shared" si="204"/>
        <v>10834.65</v>
      </c>
      <c r="ON71" s="12">
        <f t="shared" si="205"/>
        <v>30</v>
      </c>
      <c r="OO71" s="199">
        <f t="shared" si="206"/>
        <v>0.00276889424208442</v>
      </c>
      <c r="OP71" s="192"/>
      <c r="OQ71" s="192"/>
      <c r="OT71" s="234" t="str">
        <f t="shared" si="211"/>
        <v>2026//3/18</v>
      </c>
      <c r="OU71" s="206">
        <v>142632.4066</v>
      </c>
      <c r="OV71" s="8">
        <f t="shared" si="208"/>
        <v>142512.4066</v>
      </c>
      <c r="OW71" s="191">
        <f t="shared" si="209"/>
        <v>120</v>
      </c>
      <c r="OX71" s="192">
        <f t="shared" si="210"/>
        <v>0.000842031952606153</v>
      </c>
    </row>
    <row r="72" s="8" customFormat="1" ht="17" customHeight="1" spans="1:414">
      <c r="A72" s="15"/>
      <c r="B72" s="15"/>
      <c r="C72" s="287" t="s">
        <v>501</v>
      </c>
      <c r="D72" s="19">
        <v>4433268.77</v>
      </c>
      <c r="E72" s="19">
        <f t="shared" si="8"/>
        <v>4409778.77</v>
      </c>
      <c r="F72" s="19">
        <f t="shared" si="9"/>
        <v>23490</v>
      </c>
      <c r="G72" s="172">
        <f t="shared" si="10"/>
        <v>0.00532679783389678</v>
      </c>
      <c r="H72" s="18"/>
      <c r="I72" s="172"/>
      <c r="J72" s="172"/>
      <c r="K72" s="19" t="str">
        <f t="shared" si="11"/>
        <v>2026//3/17</v>
      </c>
      <c r="L72" s="19">
        <v>3162934.4</v>
      </c>
      <c r="M72" s="19">
        <f t="shared" si="12"/>
        <v>3165184.4</v>
      </c>
      <c r="N72" s="19">
        <f t="shared" si="13"/>
        <v>-2250</v>
      </c>
      <c r="O72" s="172">
        <f t="shared" si="14"/>
        <v>-0.000710859057690288</v>
      </c>
      <c r="P72" s="18"/>
      <c r="Q72" s="172"/>
      <c r="R72" s="19"/>
      <c r="S72" s="19" t="str">
        <f t="shared" si="15"/>
        <v>2026//3/17</v>
      </c>
      <c r="T72" s="19">
        <v>2312616.68</v>
      </c>
      <c r="U72" s="19">
        <f t="shared" si="16"/>
        <v>2319186.68</v>
      </c>
      <c r="V72" s="19">
        <f t="shared" si="17"/>
        <v>-6570</v>
      </c>
      <c r="W72" s="172">
        <f t="shared" si="18"/>
        <v>-0.0028328896749269</v>
      </c>
      <c r="X72" s="18"/>
      <c r="Y72" s="172"/>
      <c r="Z72" s="19"/>
      <c r="AA72" s="19" t="str">
        <f t="shared" si="19"/>
        <v>2026//3/17</v>
      </c>
      <c r="AB72" s="19">
        <v>924136.86</v>
      </c>
      <c r="AC72" s="19">
        <f t="shared" si="20"/>
        <v>920416.86</v>
      </c>
      <c r="AD72" s="19">
        <f t="shared" si="21"/>
        <v>3720</v>
      </c>
      <c r="AE72" s="172">
        <f t="shared" si="22"/>
        <v>0.00404164695548928</v>
      </c>
      <c r="AF72" s="18"/>
      <c r="AG72" s="172"/>
      <c r="AH72" s="19"/>
      <c r="AI72" s="19" t="str">
        <f t="shared" si="23"/>
        <v>2026//3/17</v>
      </c>
      <c r="AJ72" s="19">
        <v>740921.76</v>
      </c>
      <c r="AK72" s="19">
        <f t="shared" si="24"/>
        <v>731321.76</v>
      </c>
      <c r="AL72" s="19">
        <f t="shared" si="25"/>
        <v>9600</v>
      </c>
      <c r="AM72" s="172">
        <f t="shared" si="26"/>
        <v>0.0131269169400894</v>
      </c>
      <c r="AN72" s="18"/>
      <c r="AO72" s="18"/>
      <c r="AP72" s="19"/>
      <c r="AQ72" s="19" t="str">
        <f t="shared" si="27"/>
        <v>2026//3/17</v>
      </c>
      <c r="AR72" s="21">
        <v>1650045.49</v>
      </c>
      <c r="AS72" s="19">
        <f t="shared" si="28"/>
        <v>1629445.49</v>
      </c>
      <c r="AT72" s="19">
        <f t="shared" si="29"/>
        <v>20600</v>
      </c>
      <c r="AU72" s="172">
        <f t="shared" si="30"/>
        <v>0.012642337608974</v>
      </c>
      <c r="AV72" s="18"/>
      <c r="AW72" s="18"/>
      <c r="AX72" s="17"/>
      <c r="AY72" s="17"/>
      <c r="AZ72" s="19" t="str">
        <f t="shared" si="31"/>
        <v>2026//3/17</v>
      </c>
      <c r="BA72" s="255">
        <v>1976241.66</v>
      </c>
      <c r="BB72" s="205">
        <f t="shared" si="32"/>
        <v>1972641.66</v>
      </c>
      <c r="BC72" s="17">
        <f t="shared" si="33"/>
        <v>3600</v>
      </c>
      <c r="BD72" s="18">
        <f t="shared" si="34"/>
        <v>0.00182496399270002</v>
      </c>
      <c r="BE72" s="18"/>
      <c r="BF72" s="18"/>
      <c r="BG72" s="74"/>
      <c r="BH72" s="8" t="str">
        <f t="shared" si="35"/>
        <v>2026//3/17</v>
      </c>
      <c r="BI72" s="256">
        <v>1670026.55</v>
      </c>
      <c r="BJ72" s="195">
        <f t="shared" si="36"/>
        <v>1675026.55</v>
      </c>
      <c r="BK72" s="195">
        <f t="shared" si="37"/>
        <v>-5000</v>
      </c>
      <c r="BL72" s="196">
        <f t="shared" si="38"/>
        <v>-0.00298502731195514</v>
      </c>
      <c r="BM72" s="197"/>
      <c r="BN72" s="192"/>
      <c r="BP72" s="8" t="str">
        <f t="shared" si="39"/>
        <v>2026//3/17</v>
      </c>
      <c r="BQ72" s="198">
        <v>1279362.39</v>
      </c>
      <c r="BR72" s="12">
        <f t="shared" si="40"/>
        <v>1285662.39</v>
      </c>
      <c r="BS72" s="12">
        <f t="shared" si="41"/>
        <v>-6300</v>
      </c>
      <c r="BT72" s="199">
        <f t="shared" si="42"/>
        <v>-0.00490019778831673</v>
      </c>
      <c r="BU72" s="192"/>
      <c r="BV72" s="192"/>
      <c r="BX72" s="8" t="str">
        <f t="shared" si="43"/>
        <v>2026//3/17</v>
      </c>
      <c r="BY72" s="257">
        <v>3428360.7</v>
      </c>
      <c r="BZ72" s="12">
        <f t="shared" si="44"/>
        <v>3508860.7</v>
      </c>
      <c r="CA72" s="12">
        <f t="shared" si="45"/>
        <v>-80500</v>
      </c>
      <c r="CB72" s="199">
        <f t="shared" si="46"/>
        <v>-0.0229419195809056</v>
      </c>
      <c r="CC72" s="192"/>
      <c r="CD72" s="201"/>
      <c r="CF72" s="8" t="str">
        <f t="shared" si="47"/>
        <v>2026//3/17</v>
      </c>
      <c r="CG72" s="200">
        <v>1576453.9</v>
      </c>
      <c r="CH72" s="12">
        <f t="shared" si="48"/>
        <v>1610753.9</v>
      </c>
      <c r="CI72" s="12">
        <f t="shared" si="49"/>
        <v>-34300</v>
      </c>
      <c r="CJ72" s="199">
        <f t="shared" si="50"/>
        <v>-0.0212943765028289</v>
      </c>
      <c r="CK72" s="192"/>
      <c r="CL72" s="201"/>
      <c r="CN72" s="8" t="str">
        <f t="shared" si="51"/>
        <v>2026//3/17</v>
      </c>
      <c r="CO72" s="200">
        <v>779246.48</v>
      </c>
      <c r="CP72" s="12">
        <f t="shared" si="52"/>
        <v>792946.48</v>
      </c>
      <c r="CQ72" s="12">
        <f t="shared" si="53"/>
        <v>-13700</v>
      </c>
      <c r="CR72" s="199">
        <f t="shared" si="54"/>
        <v>-0.0172773325130342</v>
      </c>
      <c r="CS72" s="201"/>
      <c r="CT72" s="201"/>
      <c r="CV72" s="8" t="str">
        <f t="shared" si="55"/>
        <v>2026//3/17</v>
      </c>
      <c r="CW72" s="200">
        <v>627190.4</v>
      </c>
      <c r="CX72" s="12">
        <f t="shared" si="56"/>
        <v>634440.4</v>
      </c>
      <c r="CY72" s="12">
        <f t="shared" si="57"/>
        <v>-7250</v>
      </c>
      <c r="CZ72" s="199">
        <f t="shared" si="58"/>
        <v>-0.0114273933374987</v>
      </c>
      <c r="DA72" s="192"/>
      <c r="DB72" s="192"/>
      <c r="DC72" s="277"/>
      <c r="DD72" s="8" t="str">
        <f t="shared" si="59"/>
        <v>2026//3/17</v>
      </c>
      <c r="DE72" s="257">
        <v>2437717.98</v>
      </c>
      <c r="DF72" s="12">
        <f t="shared" si="60"/>
        <v>2459117.98</v>
      </c>
      <c r="DG72" s="12">
        <f t="shared" si="61"/>
        <v>-21400</v>
      </c>
      <c r="DH72" s="199">
        <f t="shared" si="62"/>
        <v>-0.00870230715811366</v>
      </c>
      <c r="DI72" s="192"/>
      <c r="DJ72" s="192"/>
      <c r="DL72" s="8" t="str">
        <f t="shared" si="63"/>
        <v>2026//3/17</v>
      </c>
      <c r="DM72" s="200">
        <v>1385100.36</v>
      </c>
      <c r="DN72" s="12">
        <f t="shared" si="64"/>
        <v>1369900.36</v>
      </c>
      <c r="DO72" s="12">
        <f t="shared" si="65"/>
        <v>15200</v>
      </c>
      <c r="DP72" s="199">
        <f t="shared" si="66"/>
        <v>0.0110956975002182</v>
      </c>
      <c r="DQ72" s="192"/>
      <c r="DR72" s="192"/>
      <c r="DT72" s="8" t="str">
        <f t="shared" si="67"/>
        <v>2026//3/17</v>
      </c>
      <c r="DU72" s="200">
        <v>1743089.48</v>
      </c>
      <c r="DV72" s="12">
        <f t="shared" si="68"/>
        <v>1735889.48</v>
      </c>
      <c r="DW72" s="12">
        <f t="shared" si="69"/>
        <v>7200</v>
      </c>
      <c r="DX72" s="199">
        <f t="shared" si="70"/>
        <v>0.0041477294971567</v>
      </c>
      <c r="DY72" s="192"/>
      <c r="DZ72" s="192"/>
      <c r="EB72" s="8" t="str">
        <f t="shared" si="71"/>
        <v>2026//3/17</v>
      </c>
      <c r="EC72" s="200">
        <v>4959566.82</v>
      </c>
      <c r="ED72" s="12">
        <f t="shared" si="72"/>
        <v>4955066.82</v>
      </c>
      <c r="EE72" s="12">
        <f t="shared" si="73"/>
        <v>4500</v>
      </c>
      <c r="EF72" s="199">
        <f t="shared" si="74"/>
        <v>0.000908161315168702</v>
      </c>
      <c r="EG72" s="192"/>
      <c r="EH72" s="192"/>
      <c r="EJ72" s="8" t="str">
        <f t="shared" si="75"/>
        <v>2026//3/17</v>
      </c>
      <c r="EK72" s="257">
        <v>1601522.96</v>
      </c>
      <c r="EL72" s="12">
        <f t="shared" si="76"/>
        <v>1600322.96</v>
      </c>
      <c r="EM72" s="12">
        <f t="shared" si="77"/>
        <v>1200</v>
      </c>
      <c r="EN72" s="199">
        <f t="shared" si="78"/>
        <v>0.0007498486430514</v>
      </c>
      <c r="EO72" s="192"/>
      <c r="EP72" s="192"/>
      <c r="ER72" s="8" t="str">
        <f t="shared" si="79"/>
        <v>2026//3/17</v>
      </c>
      <c r="ES72" s="8">
        <v>554447.02</v>
      </c>
      <c r="ET72" s="12">
        <f t="shared" si="80"/>
        <v>552797.02</v>
      </c>
      <c r="EU72" s="12">
        <f t="shared" si="81"/>
        <v>1650</v>
      </c>
      <c r="EV72" s="199">
        <f t="shared" si="82"/>
        <v>0.00298482072135628</v>
      </c>
      <c r="EW72" s="192"/>
      <c r="EX72" s="192"/>
      <c r="EZ72" s="8" t="str">
        <f t="shared" si="83"/>
        <v>2026//3/17</v>
      </c>
      <c r="FA72" s="200">
        <v>769608</v>
      </c>
      <c r="FB72" s="12">
        <f t="shared" si="84"/>
        <v>767308</v>
      </c>
      <c r="FC72" s="12">
        <f t="shared" si="85"/>
        <v>2300</v>
      </c>
      <c r="FD72" s="199">
        <f t="shared" si="86"/>
        <v>0.00299749253233382</v>
      </c>
      <c r="FE72" s="192"/>
      <c r="FF72" s="192"/>
      <c r="FH72" s="8" t="str">
        <f t="shared" si="87"/>
        <v>2026//3/17</v>
      </c>
      <c r="FI72" s="198">
        <v>1137795.33</v>
      </c>
      <c r="FJ72" s="12">
        <f t="shared" si="88"/>
        <v>1150995.33</v>
      </c>
      <c r="FK72" s="12">
        <f t="shared" si="89"/>
        <v>-13200</v>
      </c>
      <c r="FL72" s="199">
        <f t="shared" si="90"/>
        <v>-0.0114683349757814</v>
      </c>
      <c r="FM72" s="201"/>
      <c r="FN72" s="201"/>
      <c r="FP72" s="8" t="str">
        <f t="shared" si="91"/>
        <v>2026//3/17</v>
      </c>
      <c r="FQ72" s="200">
        <v>2282518.73</v>
      </c>
      <c r="FR72" s="12">
        <f t="shared" si="92"/>
        <v>2273218.73</v>
      </c>
      <c r="FS72" s="12">
        <f t="shared" si="93"/>
        <v>9300</v>
      </c>
      <c r="FT72" s="199">
        <f t="shared" si="94"/>
        <v>0.0040911153323112</v>
      </c>
      <c r="FU72" s="192"/>
      <c r="FV72" s="192"/>
      <c r="FX72" s="8" t="str">
        <f t="shared" si="95"/>
        <v>2026//3/17</v>
      </c>
      <c r="FY72" s="200">
        <v>8216382.05</v>
      </c>
      <c r="FZ72" s="12">
        <f t="shared" si="96"/>
        <v>8170382.05</v>
      </c>
      <c r="GA72" s="12">
        <f t="shared" si="97"/>
        <v>46000</v>
      </c>
      <c r="GB72" s="199">
        <f t="shared" si="98"/>
        <v>0.00563009167973975</v>
      </c>
      <c r="GC72" s="192"/>
      <c r="GD72" s="192"/>
      <c r="GF72" s="8" t="str">
        <f t="shared" si="99"/>
        <v>2026//3/17</v>
      </c>
      <c r="GG72" s="200">
        <v>4723269.49</v>
      </c>
      <c r="GH72" s="12">
        <f t="shared" si="100"/>
        <v>4737269.49</v>
      </c>
      <c r="GI72" s="12">
        <f t="shared" si="101"/>
        <v>-14000</v>
      </c>
      <c r="GJ72" s="199">
        <f t="shared" si="102"/>
        <v>-0.00295528891264322</v>
      </c>
      <c r="GK72" s="192"/>
      <c r="GL72" s="192"/>
      <c r="GN72" s="8" t="str">
        <f t="shared" si="103"/>
        <v>2026//3/17</v>
      </c>
      <c r="GO72" s="257">
        <v>1837978.12</v>
      </c>
      <c r="GP72" s="12">
        <f t="shared" si="104"/>
        <v>1841878.12</v>
      </c>
      <c r="GQ72" s="12">
        <f t="shared" si="105"/>
        <v>-3900</v>
      </c>
      <c r="GR72" s="199">
        <f t="shared" si="106"/>
        <v>-0.00211740394635884</v>
      </c>
      <c r="GS72" s="192"/>
      <c r="GT72" s="192"/>
      <c r="GV72" s="8" t="str">
        <f t="shared" si="107"/>
        <v>2026//3/17</v>
      </c>
      <c r="GW72" s="200">
        <v>1072349.4</v>
      </c>
      <c r="GX72" s="12">
        <f t="shared" si="108"/>
        <v>1095749.4</v>
      </c>
      <c r="GY72" s="12">
        <f t="shared" si="109"/>
        <v>-23400</v>
      </c>
      <c r="GZ72" s="199">
        <f t="shared" si="110"/>
        <v>-0.0213552478331268</v>
      </c>
      <c r="HA72" s="192"/>
      <c r="HB72" s="192"/>
      <c r="HD72" s="8" t="str">
        <f t="shared" si="111"/>
        <v>2026//3/17</v>
      </c>
      <c r="HE72" s="257">
        <v>1060964.67</v>
      </c>
      <c r="HF72" s="12">
        <f t="shared" si="112"/>
        <v>1072264.67</v>
      </c>
      <c r="HG72" s="12">
        <f t="shared" si="113"/>
        <v>-11300</v>
      </c>
      <c r="HH72" s="199">
        <f t="shared" si="114"/>
        <v>-0.0105384429014154</v>
      </c>
      <c r="HI72" s="201"/>
      <c r="HJ72" s="192"/>
      <c r="HL72" s="8" t="str">
        <f t="shared" si="115"/>
        <v>2026//3/17</v>
      </c>
      <c r="HM72" s="200">
        <v>160454.25</v>
      </c>
      <c r="HN72" s="12">
        <f t="shared" si="116"/>
        <v>160054.25</v>
      </c>
      <c r="HO72" s="12">
        <f t="shared" si="117"/>
        <v>400</v>
      </c>
      <c r="HP72" s="199">
        <f t="shared" si="118"/>
        <v>0.00249915263106103</v>
      </c>
      <c r="HQ72" s="192"/>
      <c r="HR72" s="192"/>
      <c r="HT72" s="8" t="str">
        <f t="shared" si="119"/>
        <v>2026//3/17</v>
      </c>
      <c r="HU72" s="257">
        <v>302368.82</v>
      </c>
      <c r="HV72" s="12">
        <f t="shared" si="120"/>
        <v>303568.82</v>
      </c>
      <c r="HW72" s="12">
        <f t="shared" si="121"/>
        <v>-1200</v>
      </c>
      <c r="HX72" s="199">
        <f t="shared" si="122"/>
        <v>-0.00395297514415347</v>
      </c>
      <c r="HY72" s="192"/>
      <c r="HZ72" s="192"/>
      <c r="IB72" s="8" t="str">
        <f t="shared" si="123"/>
        <v>2026//3/17</v>
      </c>
      <c r="IC72" s="200">
        <v>481184.79</v>
      </c>
      <c r="ID72" s="12">
        <f t="shared" si="124"/>
        <v>479209.79</v>
      </c>
      <c r="IE72" s="12">
        <f t="shared" si="125"/>
        <v>1975</v>
      </c>
      <c r="IF72" s="199">
        <f t="shared" si="126"/>
        <v>0.00412136822163003</v>
      </c>
      <c r="IG72" s="201"/>
      <c r="IH72" s="192"/>
      <c r="IJ72" s="8" t="str">
        <f t="shared" si="127"/>
        <v>2026//3/17</v>
      </c>
      <c r="IK72" s="257">
        <v>540236.29</v>
      </c>
      <c r="IL72" s="12">
        <f t="shared" si="128"/>
        <v>542076.29</v>
      </c>
      <c r="IM72" s="12">
        <f t="shared" si="129"/>
        <v>-1840</v>
      </c>
      <c r="IN72" s="199">
        <f t="shared" si="130"/>
        <v>-0.00339435617078917</v>
      </c>
      <c r="IO72" s="192"/>
      <c r="IP72" s="192"/>
      <c r="IR72" s="8" t="str">
        <f t="shared" si="131"/>
        <v>2026//3/17</v>
      </c>
      <c r="IS72" s="200">
        <v>149589</v>
      </c>
      <c r="IT72" s="12">
        <f t="shared" si="132"/>
        <v>152189</v>
      </c>
      <c r="IU72" s="12">
        <f t="shared" si="133"/>
        <v>-2600</v>
      </c>
      <c r="IV72" s="199">
        <f t="shared" si="134"/>
        <v>-0.0170840205271077</v>
      </c>
      <c r="IW72" s="192"/>
      <c r="IX72" s="192"/>
      <c r="IZ72" s="8" t="str">
        <f t="shared" si="135"/>
        <v>2026//3/17</v>
      </c>
      <c r="JA72" s="200">
        <v>4902529.15</v>
      </c>
      <c r="JB72" s="12">
        <f t="shared" si="136"/>
        <v>4988729.15</v>
      </c>
      <c r="JC72" s="12">
        <f t="shared" si="137"/>
        <v>-86200</v>
      </c>
      <c r="JD72" s="199">
        <f t="shared" si="138"/>
        <v>-0.0172789496900228</v>
      </c>
      <c r="JE72" s="192"/>
      <c r="JF72" s="192"/>
      <c r="JH72" s="8" t="str">
        <f t="shared" si="139"/>
        <v>2026//3/17</v>
      </c>
      <c r="JI72" s="200">
        <v>1525527.99</v>
      </c>
      <c r="JJ72" s="12">
        <f t="shared" si="140"/>
        <v>1497927.99</v>
      </c>
      <c r="JK72" s="12">
        <f t="shared" si="141"/>
        <v>27600</v>
      </c>
      <c r="JL72" s="199">
        <f t="shared" si="142"/>
        <v>0.0184254518136082</v>
      </c>
      <c r="JM72" s="192"/>
      <c r="JN72" s="192"/>
      <c r="JP72" s="8" t="str">
        <f t="shared" si="143"/>
        <v>2026//3/17</v>
      </c>
      <c r="JQ72" s="257">
        <v>1083990.41</v>
      </c>
      <c r="JR72" s="12">
        <f t="shared" si="144"/>
        <v>1077590.41</v>
      </c>
      <c r="JS72" s="12">
        <f t="shared" si="145"/>
        <v>6400</v>
      </c>
      <c r="JT72" s="199">
        <f t="shared" si="146"/>
        <v>0.00593917683435954</v>
      </c>
      <c r="JU72" s="192"/>
      <c r="JV72" s="201"/>
      <c r="JX72" s="8" t="str">
        <f t="shared" si="147"/>
        <v>2026//3/17</v>
      </c>
      <c r="JY72" s="200">
        <v>1275398.8</v>
      </c>
      <c r="JZ72" s="12">
        <f t="shared" si="148"/>
        <v>1278598.8</v>
      </c>
      <c r="KA72" s="12">
        <f t="shared" si="149"/>
        <v>-3200</v>
      </c>
      <c r="KB72" s="199">
        <f t="shared" si="150"/>
        <v>-0.00250273971788492</v>
      </c>
      <c r="KC72" s="192"/>
      <c r="KD72" s="201"/>
      <c r="KF72" s="8" t="str">
        <f t="shared" si="151"/>
        <v>2026//3/17</v>
      </c>
      <c r="KG72" s="257">
        <v>755755.92</v>
      </c>
      <c r="KH72" s="12">
        <f t="shared" si="152"/>
        <v>755755.92</v>
      </c>
      <c r="KI72" s="12">
        <f t="shared" si="153"/>
        <v>0</v>
      </c>
      <c r="KJ72" s="199">
        <f t="shared" si="154"/>
        <v>0</v>
      </c>
      <c r="KK72" s="201"/>
      <c r="KL72" s="201"/>
      <c r="KN72" s="8" t="str">
        <f t="shared" si="155"/>
        <v>2026//3/17</v>
      </c>
      <c r="KO72" s="200">
        <v>8060975.95</v>
      </c>
      <c r="KP72" s="12">
        <f t="shared" si="156"/>
        <v>8060975.95</v>
      </c>
      <c r="KQ72" s="12">
        <f t="shared" si="157"/>
        <v>0</v>
      </c>
      <c r="KR72" s="199">
        <f t="shared" si="158"/>
        <v>0</v>
      </c>
      <c r="KS72" s="192"/>
      <c r="KT72" s="192"/>
      <c r="KV72" s="8" t="str">
        <f t="shared" si="159"/>
        <v>2026//3/17</v>
      </c>
      <c r="KW72" s="257">
        <v>1013372.97</v>
      </c>
      <c r="KX72" s="12">
        <f t="shared" si="160"/>
        <v>1015172.97</v>
      </c>
      <c r="KY72" s="12">
        <f t="shared" si="161"/>
        <v>-1800</v>
      </c>
      <c r="KZ72" s="199">
        <f t="shared" si="162"/>
        <v>-0.00177309685461779</v>
      </c>
      <c r="LA72" s="201"/>
      <c r="LB72" s="192"/>
      <c r="LD72" s="8" t="str">
        <f t="shared" si="163"/>
        <v>2026//3/17</v>
      </c>
      <c r="LE72" s="200">
        <v>505157.7</v>
      </c>
      <c r="LF72" s="12">
        <f t="shared" si="164"/>
        <v>515057.7</v>
      </c>
      <c r="LG72" s="12">
        <f t="shared" si="165"/>
        <v>-9900</v>
      </c>
      <c r="LH72" s="199">
        <f t="shared" si="166"/>
        <v>-0.0192211474559064</v>
      </c>
      <c r="LI72" s="192"/>
      <c r="LJ72" s="192"/>
      <c r="LL72" s="8" t="str">
        <f t="shared" si="167"/>
        <v>2026//3/17</v>
      </c>
      <c r="LM72" s="198">
        <v>3570055.02</v>
      </c>
      <c r="LN72" s="12">
        <f t="shared" si="168"/>
        <v>3571855.02</v>
      </c>
      <c r="LO72" s="12">
        <f t="shared" si="169"/>
        <v>-1800</v>
      </c>
      <c r="LP72" s="199">
        <f t="shared" si="170"/>
        <v>-0.000503939826762621</v>
      </c>
      <c r="LQ72" s="192"/>
      <c r="LR72" s="192"/>
      <c r="LT72" s="8" t="str">
        <f t="shared" si="171"/>
        <v>2026//3/17</v>
      </c>
      <c r="LU72" s="257">
        <v>2749862.9</v>
      </c>
      <c r="LV72" s="12">
        <f t="shared" si="172"/>
        <v>2804462.9</v>
      </c>
      <c r="LW72" s="12">
        <f t="shared" si="173"/>
        <v>-54600</v>
      </c>
      <c r="LX72" s="199">
        <f t="shared" si="174"/>
        <v>-0.0194689685500921</v>
      </c>
      <c r="LY72" s="192"/>
      <c r="LZ72" s="192"/>
      <c r="MB72" s="8" t="str">
        <f t="shared" si="175"/>
        <v>2026//3/17</v>
      </c>
      <c r="MC72" s="200">
        <v>765967.69</v>
      </c>
      <c r="MD72" s="12">
        <f t="shared" si="176"/>
        <v>794517.69</v>
      </c>
      <c r="ME72" s="12">
        <f t="shared" si="177"/>
        <v>-28550</v>
      </c>
      <c r="MF72" s="199">
        <f t="shared" si="178"/>
        <v>-0.0359337499458319</v>
      </c>
      <c r="MG72" s="192"/>
      <c r="MH72" s="192"/>
      <c r="MI72" s="8"/>
      <c r="MJ72" s="8"/>
      <c r="MK72" s="8" t="str">
        <f t="shared" si="179"/>
        <v>2026//3/17</v>
      </c>
      <c r="ML72" s="258">
        <v>236385.53</v>
      </c>
      <c r="MM72" s="12">
        <f t="shared" si="180"/>
        <v>241425.53</v>
      </c>
      <c r="MN72" s="12">
        <f t="shared" si="181"/>
        <v>-5040</v>
      </c>
      <c r="MO72" s="199">
        <f t="shared" si="182"/>
        <v>-0.0208760026331929</v>
      </c>
      <c r="MP72" s="192"/>
      <c r="MQ72" s="201"/>
      <c r="MR72" s="201"/>
      <c r="MT72" s="26" t="str">
        <f t="shared" si="183"/>
        <v>2026//3/17</v>
      </c>
      <c r="MU72" s="8">
        <v>412214.8</v>
      </c>
      <c r="MV72" s="204">
        <f t="shared" si="184"/>
        <v>424414.8</v>
      </c>
      <c r="MW72" s="8">
        <f t="shared" si="185"/>
        <v>-12200</v>
      </c>
      <c r="MX72" s="192">
        <f t="shared" si="186"/>
        <v>-0.0287454631648095</v>
      </c>
      <c r="MY72" s="192"/>
      <c r="MZ72" s="192"/>
      <c r="NA72" s="192"/>
      <c r="NC72" s="26" t="str">
        <f t="shared" si="187"/>
        <v>2026//3/17</v>
      </c>
      <c r="ND72" s="8">
        <v>48891.48</v>
      </c>
      <c r="NE72" s="204">
        <f t="shared" si="188"/>
        <v>49291.48</v>
      </c>
      <c r="NF72" s="8">
        <f t="shared" si="189"/>
        <v>-400</v>
      </c>
      <c r="NG72" s="192">
        <f t="shared" si="190"/>
        <v>-0.00811499269244908</v>
      </c>
      <c r="NH72" s="192"/>
      <c r="NI72" s="192"/>
      <c r="NJ72" s="192"/>
      <c r="NK72" s="192"/>
      <c r="NM72" s="26" t="str">
        <f t="shared" si="191"/>
        <v>2026//3/17</v>
      </c>
      <c r="NN72" s="8">
        <v>2603911.08</v>
      </c>
      <c r="NO72" s="8">
        <f t="shared" si="192"/>
        <v>2594011.08</v>
      </c>
      <c r="NP72" s="210">
        <f t="shared" si="193"/>
        <v>9900</v>
      </c>
      <c r="NQ72" s="211">
        <f t="shared" si="194"/>
        <v>0.00381648331278523</v>
      </c>
      <c r="NR72" s="192"/>
      <c r="NU72" s="8" t="str">
        <f t="shared" si="195"/>
        <v>2026//3/17</v>
      </c>
      <c r="NV72" s="8">
        <v>243876.5</v>
      </c>
      <c r="NW72" s="205">
        <f t="shared" si="196"/>
        <v>243976.5</v>
      </c>
      <c r="NX72" s="210">
        <f t="shared" si="197"/>
        <v>-100</v>
      </c>
      <c r="NY72" s="211">
        <f t="shared" si="198"/>
        <v>-0.000409875541291887</v>
      </c>
      <c r="NZ72" s="192"/>
      <c r="OA72" s="8"/>
      <c r="OC72" s="8" t="str">
        <f t="shared" si="199"/>
        <v>2026//3/17</v>
      </c>
      <c r="OD72" s="200">
        <v>11596.97</v>
      </c>
      <c r="OE72" s="12">
        <f t="shared" si="200"/>
        <v>11622.97</v>
      </c>
      <c r="OF72" s="12">
        <f t="shared" si="201"/>
        <v>-26</v>
      </c>
      <c r="OG72" s="199">
        <f t="shared" si="202"/>
        <v>-0.00223694976413085</v>
      </c>
      <c r="OH72" s="192"/>
      <c r="OI72" s="192"/>
      <c r="OK72" s="8" t="str">
        <f t="shared" si="203"/>
        <v>2026//3/17</v>
      </c>
      <c r="OL72" s="200">
        <v>10834.65</v>
      </c>
      <c r="OM72" s="12">
        <f t="shared" si="204"/>
        <v>10834.65</v>
      </c>
      <c r="ON72" s="12">
        <f t="shared" si="205"/>
        <v>0</v>
      </c>
      <c r="OO72" s="199">
        <f t="shared" si="206"/>
        <v>0</v>
      </c>
      <c r="OP72" s="192"/>
      <c r="OQ72" s="192"/>
      <c r="OT72" s="234" t="str">
        <f t="shared" si="211"/>
        <v>2026//3/17</v>
      </c>
      <c r="OU72" s="206">
        <v>142512.4066</v>
      </c>
      <c r="OV72" s="8">
        <f t="shared" si="208"/>
        <v>142392.4066</v>
      </c>
      <c r="OW72" s="191">
        <f t="shared" si="209"/>
        <v>120</v>
      </c>
      <c r="OX72" s="192">
        <f t="shared" si="210"/>
        <v>0.000842741567934143</v>
      </c>
    </row>
    <row r="73" s="8" customFormat="1" ht="17" customHeight="1" spans="1:414">
      <c r="A73" s="15"/>
      <c r="B73" s="15"/>
      <c r="C73" s="287" t="s">
        <v>502</v>
      </c>
      <c r="D73" s="19">
        <v>4409778.77</v>
      </c>
      <c r="E73" s="19">
        <f t="shared" si="8"/>
        <v>4398528.77</v>
      </c>
      <c r="F73" s="19">
        <f t="shared" si="9"/>
        <v>11250</v>
      </c>
      <c r="G73" s="172">
        <f t="shared" si="10"/>
        <v>0.00255767339223292</v>
      </c>
      <c r="H73" s="18"/>
      <c r="I73" s="172"/>
      <c r="J73" s="172"/>
      <c r="K73" s="19" t="str">
        <f t="shared" si="11"/>
        <v>2026//3/16</v>
      </c>
      <c r="L73" s="19">
        <v>3165184.4</v>
      </c>
      <c r="M73" s="19">
        <f t="shared" si="12"/>
        <v>3161944.4</v>
      </c>
      <c r="N73" s="19">
        <f t="shared" si="13"/>
        <v>3240</v>
      </c>
      <c r="O73" s="172">
        <f t="shared" si="14"/>
        <v>0.00102468594956951</v>
      </c>
      <c r="P73" s="18"/>
      <c r="Q73" s="172"/>
      <c r="R73" s="19"/>
      <c r="S73" s="19" t="str">
        <f t="shared" si="15"/>
        <v>2026//3/16</v>
      </c>
      <c r="T73" s="19">
        <v>2319186.68</v>
      </c>
      <c r="U73" s="19">
        <f t="shared" si="16"/>
        <v>2283186.68</v>
      </c>
      <c r="V73" s="19">
        <f t="shared" si="17"/>
        <v>36000</v>
      </c>
      <c r="W73" s="172">
        <f t="shared" si="18"/>
        <v>0.0157674360644045</v>
      </c>
      <c r="X73" s="18"/>
      <c r="Y73" s="172"/>
      <c r="Z73" s="19"/>
      <c r="AA73" s="19" t="str">
        <f t="shared" si="19"/>
        <v>2026//3/16</v>
      </c>
      <c r="AB73" s="19">
        <v>920416.86</v>
      </c>
      <c r="AC73" s="19">
        <f t="shared" si="20"/>
        <v>911736.86</v>
      </c>
      <c r="AD73" s="19">
        <f t="shared" si="21"/>
        <v>8680</v>
      </c>
      <c r="AE73" s="172">
        <f t="shared" si="22"/>
        <v>0.00952029075582181</v>
      </c>
      <c r="AF73" s="18"/>
      <c r="AG73" s="172"/>
      <c r="AH73" s="19"/>
      <c r="AI73" s="19" t="str">
        <f t="shared" si="23"/>
        <v>2026//3/16</v>
      </c>
      <c r="AJ73" s="19">
        <v>731321.76</v>
      </c>
      <c r="AK73" s="19">
        <f t="shared" si="24"/>
        <v>728721.76</v>
      </c>
      <c r="AL73" s="19">
        <f t="shared" si="25"/>
        <v>2600</v>
      </c>
      <c r="AM73" s="172">
        <f t="shared" si="26"/>
        <v>0.00356789126209158</v>
      </c>
      <c r="AN73" s="18"/>
      <c r="AO73" s="18"/>
      <c r="AP73" s="19"/>
      <c r="AQ73" s="19" t="str">
        <f t="shared" si="27"/>
        <v>2026//3/16</v>
      </c>
      <c r="AR73" s="21">
        <v>1629445.49</v>
      </c>
      <c r="AS73" s="19">
        <f t="shared" si="28"/>
        <v>1631045.49</v>
      </c>
      <c r="AT73" s="19">
        <f t="shared" si="29"/>
        <v>-1600</v>
      </c>
      <c r="AU73" s="172">
        <f t="shared" si="30"/>
        <v>-0.000980965895684491</v>
      </c>
      <c r="AV73" s="18"/>
      <c r="AW73" s="18"/>
      <c r="AX73" s="17"/>
      <c r="AY73" s="17"/>
      <c r="AZ73" s="19" t="str">
        <f t="shared" si="31"/>
        <v>2026//3/16</v>
      </c>
      <c r="BA73" s="255">
        <v>1972641.66</v>
      </c>
      <c r="BB73" s="205">
        <f t="shared" si="32"/>
        <v>1972101.66</v>
      </c>
      <c r="BC73" s="17">
        <f t="shared" si="33"/>
        <v>540</v>
      </c>
      <c r="BD73" s="18">
        <f t="shared" si="34"/>
        <v>0.000273819555529404</v>
      </c>
      <c r="BE73" s="18"/>
      <c r="BF73" s="18"/>
      <c r="BG73" s="74"/>
      <c r="BH73" s="8" t="str">
        <f t="shared" si="35"/>
        <v>2026//3/16</v>
      </c>
      <c r="BI73" s="256">
        <v>1675026.55</v>
      </c>
      <c r="BJ73" s="195">
        <f t="shared" si="36"/>
        <v>1664226.55</v>
      </c>
      <c r="BK73" s="195">
        <f t="shared" si="37"/>
        <v>10800</v>
      </c>
      <c r="BL73" s="196">
        <f t="shared" si="38"/>
        <v>0.00648950108385184</v>
      </c>
      <c r="BM73" s="197"/>
      <c r="BN73" s="192"/>
      <c r="BP73" s="8" t="str">
        <f t="shared" si="39"/>
        <v>2026//3/16</v>
      </c>
      <c r="BQ73" s="198">
        <v>1285662.39</v>
      </c>
      <c r="BR73" s="12">
        <f t="shared" si="40"/>
        <v>1279862.39</v>
      </c>
      <c r="BS73" s="12">
        <f t="shared" si="41"/>
        <v>5800</v>
      </c>
      <c r="BT73" s="199">
        <f t="shared" si="42"/>
        <v>0.00453173719715289</v>
      </c>
      <c r="BU73" s="192"/>
      <c r="BV73" s="192"/>
      <c r="BX73" s="8" t="str">
        <f t="shared" si="43"/>
        <v>2026//3/16</v>
      </c>
      <c r="BY73" s="257">
        <v>3508860.7</v>
      </c>
      <c r="BZ73" s="12">
        <f t="shared" si="44"/>
        <v>3691660.7</v>
      </c>
      <c r="CA73" s="12">
        <f t="shared" si="45"/>
        <v>-182800</v>
      </c>
      <c r="CB73" s="199">
        <f t="shared" si="46"/>
        <v>-0.0495170100545806</v>
      </c>
      <c r="CC73" s="192"/>
      <c r="CD73" s="201"/>
      <c r="CF73" s="8" t="str">
        <f t="shared" si="47"/>
        <v>2026//3/16</v>
      </c>
      <c r="CG73" s="200">
        <v>1610753.9</v>
      </c>
      <c r="CH73" s="12">
        <f t="shared" si="48"/>
        <v>1657553.9</v>
      </c>
      <c r="CI73" s="12">
        <f t="shared" si="49"/>
        <v>-46800</v>
      </c>
      <c r="CJ73" s="199">
        <f t="shared" si="50"/>
        <v>-0.0282343759681058</v>
      </c>
      <c r="CK73" s="192"/>
      <c r="CL73" s="201"/>
      <c r="CN73" s="8" t="str">
        <f t="shared" si="51"/>
        <v>2026//3/16</v>
      </c>
      <c r="CO73" s="200">
        <v>792946.48</v>
      </c>
      <c r="CP73" s="12">
        <f t="shared" si="52"/>
        <v>805046.48</v>
      </c>
      <c r="CQ73" s="12">
        <f t="shared" si="53"/>
        <v>-12100</v>
      </c>
      <c r="CR73" s="199">
        <f t="shared" si="54"/>
        <v>-0.0150301880706316</v>
      </c>
      <c r="CS73" s="201"/>
      <c r="CT73" s="201"/>
      <c r="CV73" s="8" t="str">
        <f t="shared" si="55"/>
        <v>2026//3/16</v>
      </c>
      <c r="CW73" s="200">
        <v>634440.4</v>
      </c>
      <c r="CX73" s="12">
        <f t="shared" si="56"/>
        <v>639090.4</v>
      </c>
      <c r="CY73" s="12">
        <f t="shared" si="57"/>
        <v>-4650</v>
      </c>
      <c r="CZ73" s="199">
        <f t="shared" si="58"/>
        <v>-0.00727596596663007</v>
      </c>
      <c r="DA73" s="192"/>
      <c r="DB73" s="192"/>
      <c r="DC73" s="277"/>
      <c r="DD73" s="8" t="str">
        <f t="shared" si="59"/>
        <v>2026//3/16</v>
      </c>
      <c r="DE73" s="257">
        <v>2459117.98</v>
      </c>
      <c r="DF73" s="12">
        <f t="shared" si="60"/>
        <v>2456917.98</v>
      </c>
      <c r="DG73" s="12">
        <f t="shared" si="61"/>
        <v>2200</v>
      </c>
      <c r="DH73" s="199">
        <f t="shared" si="62"/>
        <v>0.000895430786826673</v>
      </c>
      <c r="DI73" s="192"/>
      <c r="DJ73" s="192"/>
      <c r="DL73" s="8" t="str">
        <f t="shared" si="63"/>
        <v>2026//3/16</v>
      </c>
      <c r="DM73" s="200">
        <v>1369900.36</v>
      </c>
      <c r="DN73" s="12">
        <f t="shared" si="64"/>
        <v>1373500.36</v>
      </c>
      <c r="DO73" s="12">
        <f t="shared" si="65"/>
        <v>-3600</v>
      </c>
      <c r="DP73" s="199">
        <f t="shared" si="66"/>
        <v>-0.00262104044879901</v>
      </c>
      <c r="DQ73" s="192"/>
      <c r="DR73" s="192"/>
      <c r="DT73" s="8" t="str">
        <f t="shared" si="67"/>
        <v>2026//3/16</v>
      </c>
      <c r="DU73" s="200">
        <v>1735889.48</v>
      </c>
      <c r="DV73" s="12">
        <f t="shared" si="68"/>
        <v>1744589.48</v>
      </c>
      <c r="DW73" s="12">
        <f t="shared" si="69"/>
        <v>-8700</v>
      </c>
      <c r="DX73" s="199">
        <f t="shared" si="70"/>
        <v>-0.00498684653308812</v>
      </c>
      <c r="DY73" s="192"/>
      <c r="DZ73" s="192"/>
      <c r="EB73" s="8" t="str">
        <f t="shared" si="71"/>
        <v>2026//3/16</v>
      </c>
      <c r="EC73" s="200">
        <v>4955066.82</v>
      </c>
      <c r="ED73" s="12">
        <f t="shared" si="72"/>
        <v>4938566.82</v>
      </c>
      <c r="EE73" s="12">
        <f t="shared" si="73"/>
        <v>16500</v>
      </c>
      <c r="EF73" s="199">
        <f t="shared" si="74"/>
        <v>0.00334105026850685</v>
      </c>
      <c r="EG73" s="192"/>
      <c r="EH73" s="192"/>
      <c r="EJ73" s="8" t="str">
        <f t="shared" si="75"/>
        <v>2026//3/16</v>
      </c>
      <c r="EK73" s="257">
        <v>1600322.96</v>
      </c>
      <c r="EL73" s="12">
        <f t="shared" si="76"/>
        <v>1604922.96</v>
      </c>
      <c r="EM73" s="12">
        <f t="shared" si="77"/>
        <v>-4600</v>
      </c>
      <c r="EN73" s="199">
        <f t="shared" si="78"/>
        <v>-0.0028661811904043</v>
      </c>
      <c r="EO73" s="192"/>
      <c r="EP73" s="192"/>
      <c r="ER73" s="8" t="str">
        <f t="shared" si="79"/>
        <v>2026//3/16</v>
      </c>
      <c r="ES73" s="8">
        <v>552797.02</v>
      </c>
      <c r="ET73" s="12">
        <f t="shared" si="80"/>
        <v>553847.02</v>
      </c>
      <c r="EU73" s="12">
        <f t="shared" si="81"/>
        <v>-1050</v>
      </c>
      <c r="EV73" s="199">
        <f t="shared" si="82"/>
        <v>-0.00189583036846528</v>
      </c>
      <c r="EW73" s="192"/>
      <c r="EX73" s="192"/>
      <c r="EZ73" s="8" t="str">
        <f t="shared" si="83"/>
        <v>2026//3/16</v>
      </c>
      <c r="FA73" s="200">
        <v>767308</v>
      </c>
      <c r="FB73" s="12">
        <f t="shared" si="84"/>
        <v>771108</v>
      </c>
      <c r="FC73" s="12">
        <f t="shared" si="85"/>
        <v>-3800</v>
      </c>
      <c r="FD73" s="199">
        <f t="shared" si="86"/>
        <v>-0.00492797377280485</v>
      </c>
      <c r="FE73" s="192"/>
      <c r="FF73" s="192"/>
      <c r="FH73" s="8" t="str">
        <f t="shared" si="87"/>
        <v>2026//3/16</v>
      </c>
      <c r="FI73" s="198">
        <v>1150995.33</v>
      </c>
      <c r="FJ73" s="12">
        <f t="shared" si="88"/>
        <v>1165395.33</v>
      </c>
      <c r="FK73" s="12">
        <f t="shared" si="89"/>
        <v>-14400</v>
      </c>
      <c r="FL73" s="199">
        <f t="shared" si="90"/>
        <v>-0.0123563220388055</v>
      </c>
      <c r="FM73" s="201"/>
      <c r="FN73" s="201"/>
      <c r="FP73" s="8" t="str">
        <f t="shared" si="91"/>
        <v>2026//3/16</v>
      </c>
      <c r="FQ73" s="200">
        <v>2273218.73</v>
      </c>
      <c r="FR73" s="12">
        <f t="shared" si="92"/>
        <v>2261218.73</v>
      </c>
      <c r="FS73" s="12">
        <f t="shared" si="93"/>
        <v>12000</v>
      </c>
      <c r="FT73" s="199">
        <f t="shared" si="94"/>
        <v>0.00530687272345387</v>
      </c>
      <c r="FU73" s="192"/>
      <c r="FV73" s="192"/>
      <c r="FX73" s="8" t="str">
        <f t="shared" si="95"/>
        <v>2026//3/16</v>
      </c>
      <c r="FY73" s="200">
        <v>8170382.05</v>
      </c>
      <c r="FZ73" s="12">
        <f t="shared" si="96"/>
        <v>8151782.05</v>
      </c>
      <c r="GA73" s="12">
        <f t="shared" si="97"/>
        <v>18600</v>
      </c>
      <c r="GB73" s="199">
        <f t="shared" si="98"/>
        <v>0.00228170967843774</v>
      </c>
      <c r="GC73" s="192"/>
      <c r="GD73" s="192"/>
      <c r="GF73" s="8" t="str">
        <f t="shared" si="99"/>
        <v>2026//3/16</v>
      </c>
      <c r="GG73" s="200">
        <v>4737269.49</v>
      </c>
      <c r="GH73" s="12">
        <f t="shared" si="100"/>
        <v>4730169.49</v>
      </c>
      <c r="GI73" s="12">
        <f t="shared" si="101"/>
        <v>7100</v>
      </c>
      <c r="GJ73" s="199">
        <f t="shared" si="102"/>
        <v>0.00150100329702985</v>
      </c>
      <c r="GK73" s="192"/>
      <c r="GL73" s="192"/>
      <c r="GN73" s="8" t="str">
        <f t="shared" si="103"/>
        <v>2026//3/16</v>
      </c>
      <c r="GO73" s="257">
        <v>1841878.12</v>
      </c>
      <c r="GP73" s="12">
        <f t="shared" si="104"/>
        <v>1837558.12</v>
      </c>
      <c r="GQ73" s="12">
        <f t="shared" si="105"/>
        <v>4320</v>
      </c>
      <c r="GR73" s="199">
        <f t="shared" si="106"/>
        <v>0.0023509460478997</v>
      </c>
      <c r="GS73" s="192"/>
      <c r="GT73" s="192"/>
      <c r="GV73" s="8" t="str">
        <f t="shared" si="107"/>
        <v>2026//3/16</v>
      </c>
      <c r="GW73" s="200">
        <v>1095749.4</v>
      </c>
      <c r="GX73" s="12">
        <f t="shared" si="108"/>
        <v>1110549.4</v>
      </c>
      <c r="GY73" s="12">
        <f t="shared" si="109"/>
        <v>-14800</v>
      </c>
      <c r="GZ73" s="199">
        <f t="shared" si="110"/>
        <v>-0.0133267371987234</v>
      </c>
      <c r="HA73" s="192"/>
      <c r="HB73" s="192"/>
      <c r="HD73" s="8" t="str">
        <f t="shared" si="111"/>
        <v>2026//3/16</v>
      </c>
      <c r="HE73" s="257">
        <v>1072264.67</v>
      </c>
      <c r="HF73" s="12">
        <f t="shared" si="112"/>
        <v>1071464.67</v>
      </c>
      <c r="HG73" s="12">
        <f t="shared" si="113"/>
        <v>800</v>
      </c>
      <c r="HH73" s="199">
        <f t="shared" si="114"/>
        <v>0.000746641510820884</v>
      </c>
      <c r="HI73" s="201"/>
      <c r="HJ73" s="192"/>
      <c r="HL73" s="8" t="str">
        <f t="shared" si="115"/>
        <v>2026//3/16</v>
      </c>
      <c r="HM73" s="200">
        <v>160054.25</v>
      </c>
      <c r="HN73" s="12">
        <f t="shared" si="116"/>
        <v>162504.25</v>
      </c>
      <c r="HO73" s="12">
        <f t="shared" si="117"/>
        <v>-2450</v>
      </c>
      <c r="HP73" s="199">
        <f t="shared" si="118"/>
        <v>-0.0150765287677092</v>
      </c>
      <c r="HQ73" s="192"/>
      <c r="HR73" s="192"/>
      <c r="HT73" s="8" t="str">
        <f t="shared" si="119"/>
        <v>2026//3/16</v>
      </c>
      <c r="HU73" s="257">
        <v>303568.82</v>
      </c>
      <c r="HV73" s="12">
        <f t="shared" si="120"/>
        <v>320168.82</v>
      </c>
      <c r="HW73" s="12">
        <f t="shared" si="121"/>
        <v>-16600</v>
      </c>
      <c r="HX73" s="199">
        <f t="shared" si="122"/>
        <v>-0.0518476471256633</v>
      </c>
      <c r="HY73" s="192"/>
      <c r="HZ73" s="192"/>
      <c r="IB73" s="8" t="str">
        <f t="shared" si="123"/>
        <v>2026//3/16</v>
      </c>
      <c r="IC73" s="200">
        <v>479209.79</v>
      </c>
      <c r="ID73" s="12">
        <f t="shared" si="124"/>
        <v>476234.79</v>
      </c>
      <c r="IE73" s="12">
        <f t="shared" si="125"/>
        <v>2975</v>
      </c>
      <c r="IF73" s="199">
        <f t="shared" si="126"/>
        <v>0.00624691866799568</v>
      </c>
      <c r="IG73" s="201"/>
      <c r="IH73" s="192"/>
      <c r="IJ73" s="8" t="str">
        <f t="shared" si="127"/>
        <v>2026//3/16</v>
      </c>
      <c r="IK73" s="257">
        <v>542076.29</v>
      </c>
      <c r="IL73" s="12">
        <f t="shared" si="128"/>
        <v>559356.29</v>
      </c>
      <c r="IM73" s="12">
        <f t="shared" si="129"/>
        <v>-17280</v>
      </c>
      <c r="IN73" s="199">
        <f t="shared" si="130"/>
        <v>-0.0308926534105838</v>
      </c>
      <c r="IO73" s="192"/>
      <c r="IP73" s="192"/>
      <c r="IR73" s="8" t="str">
        <f t="shared" si="131"/>
        <v>2026//3/16</v>
      </c>
      <c r="IS73" s="200">
        <v>152189</v>
      </c>
      <c r="IT73" s="12">
        <f t="shared" si="132"/>
        <v>154289</v>
      </c>
      <c r="IU73" s="12">
        <f t="shared" si="133"/>
        <v>-2100</v>
      </c>
      <c r="IV73" s="199">
        <f t="shared" si="134"/>
        <v>-0.0136108212510289</v>
      </c>
      <c r="IW73" s="192"/>
      <c r="IX73" s="192"/>
      <c r="IZ73" s="8" t="str">
        <f t="shared" si="135"/>
        <v>2026//3/16</v>
      </c>
      <c r="JA73" s="200">
        <v>4988729.15</v>
      </c>
      <c r="JB73" s="12">
        <f t="shared" si="136"/>
        <v>4971829.15</v>
      </c>
      <c r="JC73" s="12">
        <f t="shared" si="137"/>
        <v>16900</v>
      </c>
      <c r="JD73" s="199">
        <f t="shared" si="138"/>
        <v>0.00339915139682545</v>
      </c>
      <c r="JE73" s="192"/>
      <c r="JF73" s="192"/>
      <c r="JH73" s="8" t="str">
        <f t="shared" si="139"/>
        <v>2026//3/16</v>
      </c>
      <c r="JI73" s="200">
        <v>1497927.99</v>
      </c>
      <c r="JJ73" s="12">
        <f t="shared" si="140"/>
        <v>1484487.99</v>
      </c>
      <c r="JK73" s="12">
        <f t="shared" si="141"/>
        <v>13440</v>
      </c>
      <c r="JL73" s="199">
        <f t="shared" si="142"/>
        <v>0.00905362663122657</v>
      </c>
      <c r="JM73" s="192"/>
      <c r="JN73" s="192"/>
      <c r="JP73" s="8" t="str">
        <f t="shared" si="143"/>
        <v>2026//3/16</v>
      </c>
      <c r="JQ73" s="257">
        <v>1077590.41</v>
      </c>
      <c r="JR73" s="12">
        <f t="shared" si="144"/>
        <v>1104690.41</v>
      </c>
      <c r="JS73" s="12">
        <f t="shared" si="145"/>
        <v>-27100</v>
      </c>
      <c r="JT73" s="199">
        <f t="shared" si="146"/>
        <v>-0.0245317599887556</v>
      </c>
      <c r="JU73" s="192"/>
      <c r="JV73" s="201"/>
      <c r="JX73" s="8" t="str">
        <f t="shared" si="147"/>
        <v>2026//3/16</v>
      </c>
      <c r="JY73" s="200">
        <v>1278598.8</v>
      </c>
      <c r="JZ73" s="12">
        <f t="shared" si="148"/>
        <v>1278598.8</v>
      </c>
      <c r="KA73" s="12">
        <f t="shared" si="149"/>
        <v>0</v>
      </c>
      <c r="KB73" s="199">
        <f t="shared" si="150"/>
        <v>0</v>
      </c>
      <c r="KC73" s="192"/>
      <c r="KD73" s="201"/>
      <c r="KF73" s="8" t="str">
        <f t="shared" si="151"/>
        <v>2026//3/16</v>
      </c>
      <c r="KG73" s="257">
        <v>755755.92</v>
      </c>
      <c r="KH73" s="12">
        <f t="shared" si="152"/>
        <v>760155.92</v>
      </c>
      <c r="KI73" s="12">
        <f t="shared" si="153"/>
        <v>-4400</v>
      </c>
      <c r="KJ73" s="199">
        <f t="shared" si="154"/>
        <v>-0.00578828617160543</v>
      </c>
      <c r="KK73" s="201"/>
      <c r="KL73" s="201"/>
      <c r="KN73" s="8" t="str">
        <f t="shared" si="155"/>
        <v>2026//3/16</v>
      </c>
      <c r="KO73" s="200">
        <v>8060975.95</v>
      </c>
      <c r="KP73" s="12">
        <f t="shared" si="156"/>
        <v>8060975.95</v>
      </c>
      <c r="KQ73" s="12">
        <f t="shared" si="157"/>
        <v>0</v>
      </c>
      <c r="KR73" s="199">
        <f t="shared" si="158"/>
        <v>0</v>
      </c>
      <c r="KS73" s="192"/>
      <c r="KT73" s="192"/>
      <c r="KV73" s="8" t="str">
        <f t="shared" si="159"/>
        <v>2026//3/16</v>
      </c>
      <c r="KW73" s="257">
        <v>1015172.97</v>
      </c>
      <c r="KX73" s="12">
        <f t="shared" si="160"/>
        <v>1014972.97</v>
      </c>
      <c r="KY73" s="12">
        <f t="shared" si="161"/>
        <v>200</v>
      </c>
      <c r="KZ73" s="199">
        <f t="shared" si="162"/>
        <v>0.000197049582512527</v>
      </c>
      <c r="LA73" s="201"/>
      <c r="LB73" s="192"/>
      <c r="LD73" s="8" t="str">
        <f t="shared" si="163"/>
        <v>2026//3/16</v>
      </c>
      <c r="LE73" s="200">
        <v>515057.7</v>
      </c>
      <c r="LF73" s="12">
        <f t="shared" si="164"/>
        <v>537307.7</v>
      </c>
      <c r="LG73" s="12">
        <f t="shared" si="165"/>
        <v>-22249.9999999999</v>
      </c>
      <c r="LH73" s="199">
        <f t="shared" si="166"/>
        <v>-0.0414101640456668</v>
      </c>
      <c r="LI73" s="192"/>
      <c r="LJ73" s="192"/>
      <c r="LL73" s="8" t="str">
        <f t="shared" si="167"/>
        <v>2026//3/16</v>
      </c>
      <c r="LM73" s="198">
        <v>3571855.02</v>
      </c>
      <c r="LN73" s="12">
        <f t="shared" si="168"/>
        <v>3592735.02</v>
      </c>
      <c r="LO73" s="12">
        <f t="shared" si="169"/>
        <v>-20880</v>
      </c>
      <c r="LP73" s="199">
        <f t="shared" si="170"/>
        <v>-0.0058117283584137</v>
      </c>
      <c r="LQ73" s="192"/>
      <c r="LR73" s="192"/>
      <c r="LT73" s="8" t="str">
        <f t="shared" si="171"/>
        <v>2026//3/16</v>
      </c>
      <c r="LU73" s="257">
        <v>2804462.9</v>
      </c>
      <c r="LV73" s="12">
        <f t="shared" si="172"/>
        <v>2823062.9</v>
      </c>
      <c r="LW73" s="12">
        <f t="shared" si="173"/>
        <v>-18600</v>
      </c>
      <c r="LX73" s="199">
        <f t="shared" si="174"/>
        <v>-0.00658858858582287</v>
      </c>
      <c r="LY73" s="192"/>
      <c r="LZ73" s="192"/>
      <c r="MB73" s="8" t="str">
        <f t="shared" si="175"/>
        <v>2026//3/16</v>
      </c>
      <c r="MC73" s="200">
        <v>794517.69</v>
      </c>
      <c r="MD73" s="12">
        <f t="shared" si="176"/>
        <v>798617.69</v>
      </c>
      <c r="ME73" s="12">
        <f t="shared" si="177"/>
        <v>-4100</v>
      </c>
      <c r="MF73" s="199">
        <f t="shared" si="178"/>
        <v>-0.00513387075109744</v>
      </c>
      <c r="MG73" s="192"/>
      <c r="MH73" s="192"/>
      <c r="MI73" s="8"/>
      <c r="MJ73" s="8"/>
      <c r="MK73" s="8" t="str">
        <f t="shared" si="179"/>
        <v>2026//3/16</v>
      </c>
      <c r="ML73" s="258">
        <v>241425.53</v>
      </c>
      <c r="MM73" s="12">
        <f t="shared" si="180"/>
        <v>244065.53</v>
      </c>
      <c r="MN73" s="12">
        <f t="shared" si="181"/>
        <v>-2640</v>
      </c>
      <c r="MO73" s="199">
        <f t="shared" si="182"/>
        <v>-0.0108167671198796</v>
      </c>
      <c r="MP73" s="192"/>
      <c r="MQ73" s="201"/>
      <c r="MR73" s="201"/>
      <c r="MT73" s="26" t="str">
        <f t="shared" si="183"/>
        <v>2026//3/16</v>
      </c>
      <c r="MU73" s="8">
        <v>424414.8</v>
      </c>
      <c r="MV73" s="204">
        <f t="shared" si="184"/>
        <v>448714.8</v>
      </c>
      <c r="MW73" s="8">
        <f t="shared" si="185"/>
        <v>-24300</v>
      </c>
      <c r="MX73" s="192">
        <f t="shared" si="186"/>
        <v>-0.0541546657253115</v>
      </c>
      <c r="MY73" s="192"/>
      <c r="MZ73" s="192"/>
      <c r="NA73" s="192"/>
      <c r="NC73" s="26" t="str">
        <f t="shared" si="187"/>
        <v>2026//3/16</v>
      </c>
      <c r="ND73" s="8">
        <v>49291.48</v>
      </c>
      <c r="NE73" s="204">
        <f t="shared" si="188"/>
        <v>49291.48</v>
      </c>
      <c r="NF73" s="8">
        <f t="shared" si="189"/>
        <v>0</v>
      </c>
      <c r="NG73" s="192">
        <f t="shared" si="190"/>
        <v>0</v>
      </c>
      <c r="NH73" s="192"/>
      <c r="NI73" s="192"/>
      <c r="NJ73" s="192"/>
      <c r="NK73" s="192"/>
      <c r="NM73" s="26" t="str">
        <f t="shared" si="191"/>
        <v>2026//3/16</v>
      </c>
      <c r="NN73" s="8">
        <v>2594011.08</v>
      </c>
      <c r="NO73" s="8">
        <f t="shared" si="192"/>
        <v>2565411.08</v>
      </c>
      <c r="NP73" s="210">
        <f t="shared" si="193"/>
        <v>28600</v>
      </c>
      <c r="NQ73" s="211">
        <f t="shared" si="194"/>
        <v>0.0111483107806644</v>
      </c>
      <c r="NR73" s="192"/>
      <c r="NU73" s="8" t="str">
        <f t="shared" si="195"/>
        <v>2026//3/16</v>
      </c>
      <c r="NV73" s="8">
        <v>243976.5</v>
      </c>
      <c r="NW73" s="205">
        <f t="shared" si="196"/>
        <v>244676.5</v>
      </c>
      <c r="NX73" s="210">
        <f t="shared" si="197"/>
        <v>-700</v>
      </c>
      <c r="NY73" s="211">
        <f t="shared" si="198"/>
        <v>-0.00286092043984608</v>
      </c>
      <c r="NZ73" s="192"/>
      <c r="OA73" s="8"/>
      <c r="OC73" s="8" t="str">
        <f t="shared" si="199"/>
        <v>2026//3/16</v>
      </c>
      <c r="OD73" s="200">
        <v>11622.97</v>
      </c>
      <c r="OE73" s="12">
        <f t="shared" si="200"/>
        <v>11750.97</v>
      </c>
      <c r="OF73" s="12">
        <f t="shared" si="201"/>
        <v>-128</v>
      </c>
      <c r="OG73" s="199">
        <f t="shared" si="202"/>
        <v>-0.0108927177926588</v>
      </c>
      <c r="OH73" s="192"/>
      <c r="OI73" s="192"/>
      <c r="OK73" s="8" t="str">
        <f t="shared" si="203"/>
        <v>2026//3/16</v>
      </c>
      <c r="OL73" s="200">
        <v>10834.65</v>
      </c>
      <c r="OM73" s="12">
        <f t="shared" si="204"/>
        <v>10834.65</v>
      </c>
      <c r="ON73" s="12">
        <f t="shared" si="205"/>
        <v>0</v>
      </c>
      <c r="OO73" s="199">
        <f t="shared" si="206"/>
        <v>0</v>
      </c>
      <c r="OP73" s="192"/>
      <c r="OQ73" s="192"/>
      <c r="OT73" s="234" t="str">
        <f t="shared" si="211"/>
        <v>2026//3/16</v>
      </c>
      <c r="OU73" s="206">
        <v>142392.4066</v>
      </c>
      <c r="OV73" s="8">
        <f t="shared" si="208"/>
        <v>142272.4066</v>
      </c>
      <c r="OW73" s="191">
        <f t="shared" si="209"/>
        <v>120</v>
      </c>
      <c r="OX73" s="192">
        <f t="shared" si="210"/>
        <v>0.000843452380315608</v>
      </c>
    </row>
    <row r="74" s="9" customFormat="1" ht="17" customHeight="1" spans="1:414">
      <c r="A74" s="212"/>
      <c r="B74" s="212"/>
      <c r="C74" s="284" t="s">
        <v>503</v>
      </c>
      <c r="D74" s="214">
        <v>4398528.77</v>
      </c>
      <c r="E74" s="214">
        <f t="shared" si="8"/>
        <v>4400778.77</v>
      </c>
      <c r="F74" s="214">
        <f t="shared" si="9"/>
        <v>-2250</v>
      </c>
      <c r="G74" s="215">
        <f t="shared" si="10"/>
        <v>-0.000511273144503013</v>
      </c>
      <c r="H74" s="216">
        <f>(D74-D79)/D79</f>
        <v>-0.0139218041226955</v>
      </c>
      <c r="I74" s="215">
        <f>(D74-D118)/D118</f>
        <v>-0.504835182735843</v>
      </c>
      <c r="J74" s="215"/>
      <c r="K74" s="214" t="str">
        <f t="shared" si="11"/>
        <v>2026//3/13</v>
      </c>
      <c r="L74" s="214">
        <v>3161944.4</v>
      </c>
      <c r="M74" s="214">
        <f t="shared" si="12"/>
        <v>3160864.4</v>
      </c>
      <c r="N74" s="214">
        <f t="shared" si="13"/>
        <v>1080</v>
      </c>
      <c r="O74" s="215">
        <f t="shared" si="14"/>
        <v>0.000341678687640001</v>
      </c>
      <c r="P74" s="216">
        <f>(L74-L79)/L79</f>
        <v>-0.00523816439115352</v>
      </c>
      <c r="Q74" s="215"/>
      <c r="R74" s="214"/>
      <c r="S74" s="214" t="str">
        <f t="shared" si="15"/>
        <v>2026//3/13</v>
      </c>
      <c r="T74" s="214">
        <v>2283186.68</v>
      </c>
      <c r="U74" s="214">
        <f t="shared" si="16"/>
        <v>2261136.68</v>
      </c>
      <c r="V74" s="214">
        <f t="shared" si="17"/>
        <v>22050</v>
      </c>
      <c r="W74" s="215">
        <f t="shared" si="18"/>
        <v>0.00975173247819765</v>
      </c>
      <c r="X74" s="216">
        <f>(T74-T79)/T79</f>
        <v>-0.00630637031142258</v>
      </c>
      <c r="Y74" s="215"/>
      <c r="Z74" s="214"/>
      <c r="AA74" s="214" t="str">
        <f t="shared" si="19"/>
        <v>2026//3/13</v>
      </c>
      <c r="AB74" s="214">
        <v>911736.86</v>
      </c>
      <c r="AC74" s="214">
        <f t="shared" si="20"/>
        <v>909976.86</v>
      </c>
      <c r="AD74" s="214">
        <f t="shared" si="21"/>
        <v>1760</v>
      </c>
      <c r="AE74" s="215">
        <f t="shared" si="22"/>
        <v>0.00193411511585031</v>
      </c>
      <c r="AF74" s="216">
        <f>(AB74-AB79)/AB79</f>
        <v>-0.0311152767230972</v>
      </c>
      <c r="AG74" s="215"/>
      <c r="AH74" s="214"/>
      <c r="AI74" s="214" t="str">
        <f t="shared" si="23"/>
        <v>2026//3/13</v>
      </c>
      <c r="AJ74" s="214">
        <v>728721.76</v>
      </c>
      <c r="AK74" s="214">
        <f t="shared" si="24"/>
        <v>723121.76</v>
      </c>
      <c r="AL74" s="214">
        <f t="shared" si="25"/>
        <v>5600</v>
      </c>
      <c r="AM74" s="215">
        <f t="shared" si="26"/>
        <v>0.00774420064471577</v>
      </c>
      <c r="AN74" s="216">
        <f>(AJ74-AJ79)/AJ79</f>
        <v>-0.0634862081224923</v>
      </c>
      <c r="AO74" s="216"/>
      <c r="AP74" s="214"/>
      <c r="AQ74" s="214" t="str">
        <f t="shared" si="27"/>
        <v>2026//3/13</v>
      </c>
      <c r="AR74" s="285">
        <v>1631045.49</v>
      </c>
      <c r="AS74" s="214">
        <f t="shared" si="28"/>
        <v>1631145.49</v>
      </c>
      <c r="AT74" s="214">
        <f t="shared" si="29"/>
        <v>-100</v>
      </c>
      <c r="AU74" s="215">
        <f t="shared" si="30"/>
        <v>-6.13066097494467e-5</v>
      </c>
      <c r="AV74" s="216">
        <f>(AR74-AR79)/AR79</f>
        <v>-0.0581494224073308</v>
      </c>
      <c r="AW74" s="216"/>
      <c r="AX74" s="217"/>
      <c r="AY74" s="217"/>
      <c r="AZ74" s="214" t="str">
        <f t="shared" si="31"/>
        <v>2026//3/13</v>
      </c>
      <c r="BA74" s="286">
        <v>1972101.66</v>
      </c>
      <c r="BB74" s="232">
        <f t="shared" si="32"/>
        <v>1977591.66</v>
      </c>
      <c r="BC74" s="217">
        <f t="shared" si="33"/>
        <v>-5490</v>
      </c>
      <c r="BD74" s="216">
        <f t="shared" si="34"/>
        <v>-0.00277610394048689</v>
      </c>
      <c r="BE74" s="216">
        <f>(BA74-BA79)/BA79</f>
        <v>-0.0100744330435862</v>
      </c>
      <c r="BF74" s="216"/>
      <c r="BG74" s="219"/>
      <c r="BH74" s="9" t="str">
        <f t="shared" si="35"/>
        <v>2026//3/13</v>
      </c>
      <c r="BI74" s="273">
        <v>1664226.55</v>
      </c>
      <c r="BJ74" s="221">
        <f t="shared" si="36"/>
        <v>1653826.55</v>
      </c>
      <c r="BK74" s="221">
        <f t="shared" si="37"/>
        <v>10400</v>
      </c>
      <c r="BL74" s="222">
        <f t="shared" si="38"/>
        <v>0.0062884466330523</v>
      </c>
      <c r="BM74" s="223">
        <f>(BI74-BI79)/BI79</f>
        <v>0.098915328709735</v>
      </c>
      <c r="BN74" s="224"/>
      <c r="BP74" s="9" t="str">
        <f t="shared" si="39"/>
        <v>2026//3/13</v>
      </c>
      <c r="BQ74" s="225">
        <v>1279862.39</v>
      </c>
      <c r="BR74" s="13">
        <f t="shared" si="40"/>
        <v>1270562.39</v>
      </c>
      <c r="BS74" s="13">
        <f t="shared" si="41"/>
        <v>9300</v>
      </c>
      <c r="BT74" s="226">
        <f t="shared" si="42"/>
        <v>0.00731959333378348</v>
      </c>
      <c r="BU74" s="224">
        <f>(BQ74-BQ79)/BQ79</f>
        <v>-0.0317733527466501</v>
      </c>
      <c r="BV74" s="224"/>
      <c r="BX74" s="9" t="str">
        <f t="shared" si="43"/>
        <v>2026//3/13</v>
      </c>
      <c r="BY74" s="274">
        <v>3691660.7</v>
      </c>
      <c r="BZ74" s="13">
        <f t="shared" si="44"/>
        <v>3769160.7</v>
      </c>
      <c r="CA74" s="13">
        <f t="shared" si="45"/>
        <v>-77500</v>
      </c>
      <c r="CB74" s="226">
        <f t="shared" si="46"/>
        <v>-0.0205616067258687</v>
      </c>
      <c r="CC74" s="224">
        <f>(BY74-BY79)/BY79</f>
        <v>-0.0354174386061368</v>
      </c>
      <c r="CD74" s="228"/>
      <c r="CF74" s="9" t="str">
        <f t="shared" si="47"/>
        <v>2026//3/13</v>
      </c>
      <c r="CG74" s="227">
        <v>1657553.9</v>
      </c>
      <c r="CH74" s="13">
        <f t="shared" si="48"/>
        <v>1672703.9</v>
      </c>
      <c r="CI74" s="13">
        <f t="shared" si="49"/>
        <v>-15150</v>
      </c>
      <c r="CJ74" s="226">
        <f t="shared" si="50"/>
        <v>-0.00905719177195677</v>
      </c>
      <c r="CK74" s="224">
        <f>(CG74-CG79)/CG79</f>
        <v>-0.0375111655235923</v>
      </c>
      <c r="CL74" s="228"/>
      <c r="CN74" s="9" t="str">
        <f t="shared" si="51"/>
        <v>2026//3/13</v>
      </c>
      <c r="CO74" s="227">
        <v>805046.48</v>
      </c>
      <c r="CP74" s="13">
        <f t="shared" si="52"/>
        <v>807646.48</v>
      </c>
      <c r="CQ74" s="13">
        <f t="shared" si="53"/>
        <v>-2600</v>
      </c>
      <c r="CR74" s="226">
        <f t="shared" si="54"/>
        <v>-0.00321923027510749</v>
      </c>
      <c r="CS74" s="228">
        <f>(CO74-CO79)/CO79</f>
        <v>0.00725683521308721</v>
      </c>
      <c r="CT74" s="228"/>
      <c r="CV74" s="9" t="str">
        <f t="shared" si="55"/>
        <v>2026//3/13</v>
      </c>
      <c r="CW74" s="227">
        <v>639090.4</v>
      </c>
      <c r="CX74" s="13">
        <f t="shared" si="56"/>
        <v>641440.4</v>
      </c>
      <c r="CY74" s="13">
        <f t="shared" si="57"/>
        <v>-2350</v>
      </c>
      <c r="CZ74" s="226">
        <f t="shared" si="58"/>
        <v>-0.00366362954375808</v>
      </c>
      <c r="DA74" s="224">
        <f>(CW74-CW79)/CW79</f>
        <v>0.00629831595627961</v>
      </c>
      <c r="DB74" s="224"/>
      <c r="DC74" s="276"/>
      <c r="DD74" s="9" t="str">
        <f t="shared" si="59"/>
        <v>2026//3/13</v>
      </c>
      <c r="DE74" s="274">
        <v>2456917.98</v>
      </c>
      <c r="DF74" s="13">
        <f t="shared" si="60"/>
        <v>2464117.98</v>
      </c>
      <c r="DG74" s="13">
        <f t="shared" si="61"/>
        <v>-7200</v>
      </c>
      <c r="DH74" s="226">
        <f t="shared" si="62"/>
        <v>-0.00292193801532182</v>
      </c>
      <c r="DI74" s="224">
        <f>(DE74-DE79)/DE79</f>
        <v>0.0430478565058544</v>
      </c>
      <c r="DJ74" s="224"/>
      <c r="DL74" s="9" t="str">
        <f t="shared" si="63"/>
        <v>2026//3/13</v>
      </c>
      <c r="DM74" s="227">
        <v>1373500.36</v>
      </c>
      <c r="DN74" s="13">
        <f t="shared" si="64"/>
        <v>1377100.36</v>
      </c>
      <c r="DO74" s="13">
        <f t="shared" si="65"/>
        <v>-3600</v>
      </c>
      <c r="DP74" s="226">
        <f t="shared" si="66"/>
        <v>-0.00261418855485594</v>
      </c>
      <c r="DQ74" s="224">
        <f>(DM74-DM79)/DM79</f>
        <v>0.0256888886207155</v>
      </c>
      <c r="DR74" s="224"/>
      <c r="DT74" s="9" t="str">
        <f t="shared" si="67"/>
        <v>2026//3/13</v>
      </c>
      <c r="DU74" s="227">
        <v>1744589.48</v>
      </c>
      <c r="DV74" s="13">
        <f t="shared" si="68"/>
        <v>1740689.48</v>
      </c>
      <c r="DW74" s="13">
        <f t="shared" si="69"/>
        <v>3900</v>
      </c>
      <c r="DX74" s="226">
        <f t="shared" si="70"/>
        <v>0.00224049150914613</v>
      </c>
      <c r="DY74" s="224">
        <f>(DU74-DU79)/DU79</f>
        <v>0.00640326931779246</v>
      </c>
      <c r="DZ74" s="224"/>
      <c r="EB74" s="9" t="str">
        <f t="shared" si="71"/>
        <v>2026//3/13</v>
      </c>
      <c r="EC74" s="227">
        <v>4938566.82</v>
      </c>
      <c r="ED74" s="13">
        <f t="shared" si="72"/>
        <v>4925066.82</v>
      </c>
      <c r="EE74" s="13">
        <f t="shared" si="73"/>
        <v>13500</v>
      </c>
      <c r="EF74" s="226">
        <f t="shared" si="74"/>
        <v>0.0027410795616373</v>
      </c>
      <c r="EG74" s="224">
        <f>(EC74-EC79)/EC79</f>
        <v>0.00802160842507451</v>
      </c>
      <c r="EH74" s="224"/>
      <c r="EJ74" s="9" t="str">
        <f t="shared" si="75"/>
        <v>2026//3/13</v>
      </c>
      <c r="EK74" s="274">
        <v>1604922.96</v>
      </c>
      <c r="EL74" s="13">
        <f t="shared" si="76"/>
        <v>1603922.96</v>
      </c>
      <c r="EM74" s="13">
        <f t="shared" si="77"/>
        <v>1000</v>
      </c>
      <c r="EN74" s="226">
        <f t="shared" si="78"/>
        <v>0.000623471341790631</v>
      </c>
      <c r="EO74" s="224">
        <f>(EK74-EK79)/EK79</f>
        <v>0.00149763844881199</v>
      </c>
      <c r="EP74" s="224"/>
      <c r="ER74" s="9" t="str">
        <f t="shared" si="79"/>
        <v>2026//3/13</v>
      </c>
      <c r="ES74" s="9">
        <v>553847.02</v>
      </c>
      <c r="ET74" s="13">
        <f t="shared" si="80"/>
        <v>551897.02</v>
      </c>
      <c r="EU74" s="13">
        <f t="shared" si="81"/>
        <v>1950</v>
      </c>
      <c r="EV74" s="226">
        <f t="shared" si="82"/>
        <v>0.00353326785493424</v>
      </c>
      <c r="EW74" s="224">
        <f>(ES74-ES79)/ES79</f>
        <v>0.0126154814775296</v>
      </c>
      <c r="EX74" s="224"/>
      <c r="EZ74" s="9" t="str">
        <f t="shared" si="83"/>
        <v>2026//3/13</v>
      </c>
      <c r="FA74" s="227">
        <v>771108</v>
      </c>
      <c r="FB74" s="13">
        <f t="shared" si="84"/>
        <v>775708</v>
      </c>
      <c r="FC74" s="13">
        <f t="shared" si="85"/>
        <v>-4600</v>
      </c>
      <c r="FD74" s="226">
        <f t="shared" si="86"/>
        <v>-0.00593006646831024</v>
      </c>
      <c r="FE74" s="224">
        <f>(FA74-FA79)/FA79</f>
        <v>-0.0187068596909169</v>
      </c>
      <c r="FF74" s="224"/>
      <c r="FH74" s="9" t="str">
        <f t="shared" si="87"/>
        <v>2026//3/13</v>
      </c>
      <c r="FI74" s="225">
        <v>1165395.33</v>
      </c>
      <c r="FJ74" s="13">
        <f t="shared" si="88"/>
        <v>1172995.33</v>
      </c>
      <c r="FK74" s="13">
        <f t="shared" si="89"/>
        <v>-7600</v>
      </c>
      <c r="FL74" s="226">
        <f t="shared" si="90"/>
        <v>-0.00647913917952256</v>
      </c>
      <c r="FM74" s="228">
        <f>(FI74-FI79)/FI79</f>
        <v>0.0104916751895631</v>
      </c>
      <c r="FN74" s="228"/>
      <c r="FP74" s="9" t="str">
        <f t="shared" si="91"/>
        <v>2026//3/13</v>
      </c>
      <c r="FQ74" s="227">
        <v>2261218.73</v>
      </c>
      <c r="FR74" s="13">
        <f t="shared" si="92"/>
        <v>2261218.73</v>
      </c>
      <c r="FS74" s="13">
        <f t="shared" si="93"/>
        <v>0</v>
      </c>
      <c r="FT74" s="226">
        <f t="shared" si="94"/>
        <v>0</v>
      </c>
      <c r="FU74" s="224">
        <f>(FQ74-FQ79)/FQ79</f>
        <v>-0.0167625550765707</v>
      </c>
      <c r="FV74" s="224"/>
      <c r="FX74" s="9" t="str">
        <f t="shared" si="95"/>
        <v>2026//3/13</v>
      </c>
      <c r="FY74" s="227">
        <v>8151782.05</v>
      </c>
      <c r="FZ74" s="13">
        <f t="shared" si="96"/>
        <v>8148282.05</v>
      </c>
      <c r="GA74" s="13">
        <f t="shared" si="97"/>
        <v>3500</v>
      </c>
      <c r="GB74" s="226">
        <f t="shared" si="98"/>
        <v>0.000429538395765277</v>
      </c>
      <c r="GC74" s="224">
        <f>(FY74-FY79)/FY79</f>
        <v>0.00540208398710009</v>
      </c>
      <c r="GD74" s="224"/>
      <c r="GF74" s="9" t="str">
        <f t="shared" si="99"/>
        <v>2026//3/13</v>
      </c>
      <c r="GG74" s="227">
        <v>4730169.49</v>
      </c>
      <c r="GH74" s="13">
        <f t="shared" si="100"/>
        <v>4705669.49</v>
      </c>
      <c r="GI74" s="13">
        <f t="shared" si="101"/>
        <v>24500</v>
      </c>
      <c r="GJ74" s="226">
        <f t="shared" si="102"/>
        <v>0.00520648550691137</v>
      </c>
      <c r="GK74" s="224">
        <f>(GG74-GG79)/GG79</f>
        <v>0.00307485501915445</v>
      </c>
      <c r="GL74" s="224"/>
      <c r="GN74" s="9" t="str">
        <f t="shared" si="103"/>
        <v>2026//3/13</v>
      </c>
      <c r="GO74" s="274">
        <v>1837558.12</v>
      </c>
      <c r="GP74" s="13">
        <f t="shared" si="104"/>
        <v>1833538.12</v>
      </c>
      <c r="GQ74" s="13">
        <f t="shared" si="105"/>
        <v>4020</v>
      </c>
      <c r="GR74" s="226">
        <f t="shared" si="106"/>
        <v>0.00219248236846038</v>
      </c>
      <c r="GS74" s="224">
        <f>(GO74-GO79)/GO79</f>
        <v>0.00396656693282294</v>
      </c>
      <c r="GT74" s="224"/>
      <c r="GV74" s="9" t="str">
        <f t="shared" si="107"/>
        <v>2026//3/13</v>
      </c>
      <c r="GW74" s="227">
        <v>1110549.4</v>
      </c>
      <c r="GX74" s="13">
        <f t="shared" si="108"/>
        <v>1118149.4</v>
      </c>
      <c r="GY74" s="13">
        <f t="shared" si="109"/>
        <v>-7600</v>
      </c>
      <c r="GZ74" s="226">
        <f t="shared" si="110"/>
        <v>-0.00679694502362565</v>
      </c>
      <c r="HA74" s="224">
        <f>(GW74-GW79)/GW79</f>
        <v>0.0991736126136165</v>
      </c>
      <c r="HB74" s="224"/>
      <c r="HD74" s="9" t="str">
        <f t="shared" si="111"/>
        <v>2026//3/13</v>
      </c>
      <c r="HE74" s="274">
        <v>1071464.67</v>
      </c>
      <c r="HF74" s="13">
        <f t="shared" si="112"/>
        <v>1063464.67</v>
      </c>
      <c r="HG74" s="13">
        <f t="shared" si="113"/>
        <v>8000</v>
      </c>
      <c r="HH74" s="226">
        <f t="shared" si="114"/>
        <v>0.0075225818268133</v>
      </c>
      <c r="HI74" s="228">
        <f>(HE74-HE79)/HE79</f>
        <v>0.00638698755731229</v>
      </c>
      <c r="HJ74" s="224"/>
      <c r="HL74" s="9" t="str">
        <f t="shared" si="115"/>
        <v>2026//3/13</v>
      </c>
      <c r="HM74" s="227">
        <v>162504.25</v>
      </c>
      <c r="HN74" s="13">
        <f t="shared" si="116"/>
        <v>162754.25</v>
      </c>
      <c r="HO74" s="13">
        <f t="shared" si="117"/>
        <v>-250</v>
      </c>
      <c r="HP74" s="226">
        <f t="shared" si="118"/>
        <v>-0.00153605819817301</v>
      </c>
      <c r="HQ74" s="224">
        <f>(HM74-HM79)/HM79</f>
        <v>0.115302058793755</v>
      </c>
      <c r="HR74" s="224"/>
      <c r="HT74" s="9" t="str">
        <f t="shared" si="119"/>
        <v>2026//3/13</v>
      </c>
      <c r="HU74" s="274">
        <v>320168.82</v>
      </c>
      <c r="HV74" s="13">
        <f t="shared" si="120"/>
        <v>313768.82</v>
      </c>
      <c r="HW74" s="13">
        <f t="shared" si="121"/>
        <v>6400</v>
      </c>
      <c r="HX74" s="226">
        <f t="shared" si="122"/>
        <v>0.0203971828685846</v>
      </c>
      <c r="HY74" s="224">
        <f>(HU74-HU79)/HU79</f>
        <v>-0.0662060784646443</v>
      </c>
      <c r="HZ74" s="224"/>
      <c r="IB74" s="9" t="str">
        <f t="shared" si="123"/>
        <v>2026//3/13</v>
      </c>
      <c r="IC74" s="227">
        <v>476234.79</v>
      </c>
      <c r="ID74" s="13">
        <f t="shared" si="124"/>
        <v>476584.79</v>
      </c>
      <c r="IE74" s="13">
        <f t="shared" si="125"/>
        <v>-350</v>
      </c>
      <c r="IF74" s="226">
        <f t="shared" si="126"/>
        <v>-0.000734391880194078</v>
      </c>
      <c r="IG74" s="228">
        <f>(IC74-IC79)/IC79</f>
        <v>-0.0222251974444452</v>
      </c>
      <c r="IH74" s="224"/>
      <c r="IJ74" s="9" t="str">
        <f t="shared" si="127"/>
        <v>2026//3/13</v>
      </c>
      <c r="IK74" s="274">
        <v>559356.29</v>
      </c>
      <c r="IL74" s="13">
        <f t="shared" si="128"/>
        <v>535676.29</v>
      </c>
      <c r="IM74" s="13">
        <f t="shared" si="129"/>
        <v>23680</v>
      </c>
      <c r="IN74" s="226">
        <f t="shared" si="130"/>
        <v>0.0442058019779072</v>
      </c>
      <c r="IO74" s="224">
        <f>(IK74-IK79)/IK79</f>
        <v>0.182480714111807</v>
      </c>
      <c r="IP74" s="224"/>
      <c r="IR74" s="9" t="str">
        <f t="shared" si="131"/>
        <v>2026//3/13</v>
      </c>
      <c r="IS74" s="227">
        <v>154289</v>
      </c>
      <c r="IT74" s="13">
        <f t="shared" si="132"/>
        <v>159489</v>
      </c>
      <c r="IU74" s="13">
        <f t="shared" si="133"/>
        <v>-5200</v>
      </c>
      <c r="IV74" s="226">
        <f t="shared" si="134"/>
        <v>-0.0326041294383939</v>
      </c>
      <c r="IW74" s="224">
        <f>(IS74-IS79)/IS79</f>
        <v>0.0446885008362166</v>
      </c>
      <c r="IX74" s="224"/>
      <c r="IZ74" s="9" t="str">
        <f t="shared" si="135"/>
        <v>2026//3/13</v>
      </c>
      <c r="JA74" s="227">
        <v>4971829.15</v>
      </c>
      <c r="JB74" s="13">
        <f t="shared" si="136"/>
        <v>4944729.15</v>
      </c>
      <c r="JC74" s="13">
        <f t="shared" si="137"/>
        <v>27100</v>
      </c>
      <c r="JD74" s="226">
        <f t="shared" si="138"/>
        <v>0.00548058329949174</v>
      </c>
      <c r="JE74" s="224">
        <f>(JA74-JA79)/JA79</f>
        <v>0.00929754952830517</v>
      </c>
      <c r="JF74" s="224"/>
      <c r="JH74" s="9" t="str">
        <f t="shared" si="139"/>
        <v>2026//3/13</v>
      </c>
      <c r="JI74" s="264">
        <v>1484487.99</v>
      </c>
      <c r="JJ74" s="13">
        <f t="shared" si="140"/>
        <v>1473267.99</v>
      </c>
      <c r="JK74" s="13">
        <f t="shared" si="141"/>
        <v>11220</v>
      </c>
      <c r="JL74" s="226">
        <f t="shared" si="142"/>
        <v>0.00761572237784112</v>
      </c>
      <c r="JM74" s="224">
        <f>(JI74-JI79)/JI79</f>
        <v>-0.0268638871930705</v>
      </c>
      <c r="JN74" s="224"/>
      <c r="JP74" s="9" t="str">
        <f t="shared" si="143"/>
        <v>2026//3/13</v>
      </c>
      <c r="JQ74" s="274">
        <v>1104690.41</v>
      </c>
      <c r="JR74" s="13">
        <f t="shared" si="144"/>
        <v>1096990.41</v>
      </c>
      <c r="JS74" s="13">
        <f t="shared" si="145"/>
        <v>7700</v>
      </c>
      <c r="JT74" s="226">
        <f t="shared" si="146"/>
        <v>0.00701920447964536</v>
      </c>
      <c r="JU74" s="224">
        <f>(JQ74-JQ79)/JQ79</f>
        <v>-0.0242030139624626</v>
      </c>
      <c r="JV74" s="228"/>
      <c r="JX74" s="9" t="str">
        <f t="shared" si="147"/>
        <v>2026//3/13</v>
      </c>
      <c r="JY74" s="227">
        <v>1278598.8</v>
      </c>
      <c r="JZ74" s="13">
        <f t="shared" si="148"/>
        <v>1278598.8</v>
      </c>
      <c r="KA74" s="13">
        <f t="shared" si="149"/>
        <v>0</v>
      </c>
      <c r="KB74" s="226">
        <f t="shared" si="150"/>
        <v>0</v>
      </c>
      <c r="KC74" s="224">
        <f>(JY74-JY79)/JY79</f>
        <v>-0.0255316139302924</v>
      </c>
      <c r="KD74" s="228"/>
      <c r="KF74" s="9" t="str">
        <f t="shared" si="151"/>
        <v>2026//3/13</v>
      </c>
      <c r="KG74" s="274">
        <v>760155.92</v>
      </c>
      <c r="KH74" s="13">
        <f t="shared" si="152"/>
        <v>768755.92</v>
      </c>
      <c r="KI74" s="13">
        <f t="shared" si="153"/>
        <v>-8600</v>
      </c>
      <c r="KJ74" s="226">
        <f t="shared" si="154"/>
        <v>-0.0111869057216496</v>
      </c>
      <c r="KK74" s="228">
        <f>(KG74-KG79)/KG79</f>
        <v>-0.0211188912190638</v>
      </c>
      <c r="KL74" s="228"/>
      <c r="KN74" s="9" t="str">
        <f t="shared" si="155"/>
        <v>2026//3/13</v>
      </c>
      <c r="KO74" s="227">
        <v>8060975.95</v>
      </c>
      <c r="KP74" s="13">
        <f t="shared" si="156"/>
        <v>8060975.95</v>
      </c>
      <c r="KQ74" s="13">
        <f t="shared" si="157"/>
        <v>0</v>
      </c>
      <c r="KR74" s="226">
        <f t="shared" si="158"/>
        <v>0</v>
      </c>
      <c r="KS74" s="224">
        <f>(KO74-KO79)/KO79</f>
        <v>0.00843177076462256</v>
      </c>
      <c r="KT74" s="224"/>
      <c r="KV74" s="9" t="str">
        <f t="shared" si="159"/>
        <v>2026//3/13</v>
      </c>
      <c r="KW74" s="274">
        <v>1014972.97</v>
      </c>
      <c r="KX74" s="13">
        <f t="shared" si="160"/>
        <v>1012572.97</v>
      </c>
      <c r="KY74" s="13">
        <f t="shared" si="161"/>
        <v>2400</v>
      </c>
      <c r="KZ74" s="226">
        <f t="shared" si="162"/>
        <v>0.00237019955213697</v>
      </c>
      <c r="LA74" s="228">
        <f>(KW74-KW79)/KW79</f>
        <v>-0.00470693001404028</v>
      </c>
      <c r="LB74" s="224"/>
      <c r="LD74" s="9" t="str">
        <f t="shared" si="163"/>
        <v>2026//3/13</v>
      </c>
      <c r="LE74" s="227">
        <v>537307.7</v>
      </c>
      <c r="LF74" s="13">
        <f t="shared" si="164"/>
        <v>548357.7</v>
      </c>
      <c r="LG74" s="13">
        <f t="shared" si="165"/>
        <v>-11050</v>
      </c>
      <c r="LH74" s="226">
        <f t="shared" si="166"/>
        <v>-0.0201510802164354</v>
      </c>
      <c r="LI74" s="224">
        <f>(LE74-LE79)/LE79</f>
        <v>-0.0502026046313317</v>
      </c>
      <c r="LJ74" s="224"/>
      <c r="LL74" s="9" t="str">
        <f t="shared" si="167"/>
        <v>2026//3/13</v>
      </c>
      <c r="LM74" s="225">
        <v>3592735.02</v>
      </c>
      <c r="LN74" s="13">
        <f t="shared" si="168"/>
        <v>3589855.02</v>
      </c>
      <c r="LO74" s="13">
        <f t="shared" si="169"/>
        <v>2880</v>
      </c>
      <c r="LP74" s="226">
        <f t="shared" si="170"/>
        <v>0.00080226081107866</v>
      </c>
      <c r="LQ74" s="224">
        <f>(LM74-LM79)/LM79</f>
        <v>0.00447897020322296</v>
      </c>
      <c r="LR74" s="224"/>
      <c r="LT74" s="9" t="str">
        <f t="shared" si="171"/>
        <v>2026//3/13</v>
      </c>
      <c r="LU74" s="274">
        <v>2823062.9</v>
      </c>
      <c r="LV74" s="13">
        <f t="shared" si="172"/>
        <v>2821262.9</v>
      </c>
      <c r="LW74" s="13">
        <f t="shared" si="173"/>
        <v>1800</v>
      </c>
      <c r="LX74" s="226">
        <f t="shared" si="174"/>
        <v>0.000638012146971486</v>
      </c>
      <c r="LY74" s="224">
        <f>(LU74-LU79)/LU79</f>
        <v>-0.00968195853673193</v>
      </c>
      <c r="LZ74" s="224"/>
      <c r="MB74" s="9" t="str">
        <f t="shared" si="175"/>
        <v>2026//3/13</v>
      </c>
      <c r="MC74" s="227">
        <v>798617.69</v>
      </c>
      <c r="MD74" s="13">
        <f t="shared" si="176"/>
        <v>769367.69</v>
      </c>
      <c r="ME74" s="13">
        <f t="shared" si="177"/>
        <v>29250</v>
      </c>
      <c r="MF74" s="226">
        <f t="shared" si="178"/>
        <v>0.0380182328686041</v>
      </c>
      <c r="MG74" s="224">
        <f>(MC74-MC79)/MC79</f>
        <v>-0.0399125919046035</v>
      </c>
      <c r="MH74" s="224"/>
      <c r="MI74" s="9"/>
      <c r="MJ74" s="9"/>
      <c r="MK74" s="9" t="str">
        <f t="shared" si="179"/>
        <v>2026//3/13</v>
      </c>
      <c r="ML74" s="275">
        <v>244065.53</v>
      </c>
      <c r="MM74" s="13">
        <f t="shared" si="180"/>
        <v>246465.53</v>
      </c>
      <c r="MN74" s="13">
        <f t="shared" si="181"/>
        <v>-2400</v>
      </c>
      <c r="MO74" s="226">
        <f t="shared" si="182"/>
        <v>-0.00973767001008214</v>
      </c>
      <c r="MP74" s="224">
        <f>(ML74-ML79)/ML79</f>
        <v>-0.0188144084438422</v>
      </c>
      <c r="MQ74" s="228"/>
      <c r="MR74" s="228"/>
      <c r="MT74" s="233" t="str">
        <f t="shared" si="183"/>
        <v>2026//3/13</v>
      </c>
      <c r="MU74" s="9">
        <v>448714.8</v>
      </c>
      <c r="MV74" s="231">
        <f t="shared" si="184"/>
        <v>463514.8</v>
      </c>
      <c r="MW74" s="9">
        <f t="shared" si="185"/>
        <v>-14800</v>
      </c>
      <c r="MX74" s="224">
        <f t="shared" si="186"/>
        <v>-0.0319299405326432</v>
      </c>
      <c r="MY74" s="224">
        <f>(MU74-MU79)/MU79</f>
        <v>-0.206397144185119</v>
      </c>
      <c r="MZ74" s="224"/>
      <c r="NA74" s="224"/>
      <c r="NC74" s="233" t="str">
        <f t="shared" si="187"/>
        <v>2026//3/13</v>
      </c>
      <c r="ND74" s="9">
        <v>49291.48</v>
      </c>
      <c r="NE74" s="231">
        <f t="shared" si="188"/>
        <v>48691.48</v>
      </c>
      <c r="NF74" s="9">
        <f t="shared" si="189"/>
        <v>600</v>
      </c>
      <c r="NG74" s="224">
        <f t="shared" si="190"/>
        <v>0.0123224843442836</v>
      </c>
      <c r="NH74" s="224">
        <f>(ND74-ND79)/ND79</f>
        <v>-0.00404109959936539</v>
      </c>
      <c r="NI74" s="224"/>
      <c r="NJ74" s="224"/>
      <c r="NK74" s="224"/>
      <c r="NM74" s="233" t="str">
        <f t="shared" si="191"/>
        <v>2026//3/13</v>
      </c>
      <c r="NN74" s="9">
        <v>2565411.08</v>
      </c>
      <c r="NO74" s="9">
        <f t="shared" si="192"/>
        <v>2560811.08</v>
      </c>
      <c r="NP74" s="9">
        <f t="shared" si="193"/>
        <v>4600</v>
      </c>
      <c r="NQ74" s="224">
        <f t="shared" si="194"/>
        <v>0.00179630587977618</v>
      </c>
      <c r="NR74" s="224">
        <f>(NN74-NN79)/NN79</f>
        <v>0.0176119813007724</v>
      </c>
      <c r="NU74" s="9" t="str">
        <f t="shared" si="195"/>
        <v>2026//3/13</v>
      </c>
      <c r="NV74" s="9">
        <v>244676.5</v>
      </c>
      <c r="NW74" s="232">
        <f t="shared" si="196"/>
        <v>244376.5</v>
      </c>
      <c r="NX74" s="9">
        <f t="shared" si="197"/>
        <v>300</v>
      </c>
      <c r="NY74" s="224">
        <f t="shared" si="198"/>
        <v>0.00122761394814968</v>
      </c>
      <c r="NZ74" s="224">
        <f>(NV74-NV79)/NV79</f>
        <v>-0.00951314939895112</v>
      </c>
      <c r="OC74" s="9" t="str">
        <f t="shared" si="199"/>
        <v>2026//3/13</v>
      </c>
      <c r="OD74" s="227">
        <v>11750.97</v>
      </c>
      <c r="OE74" s="13">
        <f t="shared" si="200"/>
        <v>12007.97</v>
      </c>
      <c r="OF74" s="13">
        <f t="shared" si="201"/>
        <v>-257</v>
      </c>
      <c r="OG74" s="226">
        <f t="shared" si="202"/>
        <v>-0.0214024518715486</v>
      </c>
      <c r="OH74" s="224">
        <f>(OD74-OD79)/OD79</f>
        <v>-0.0581117139589146</v>
      </c>
      <c r="OI74" s="224"/>
      <c r="OK74" s="9" t="str">
        <f t="shared" si="203"/>
        <v>2026//3/13</v>
      </c>
      <c r="OL74" s="227">
        <v>10834.65</v>
      </c>
      <c r="OM74" s="13">
        <f t="shared" si="204"/>
        <v>10834.65</v>
      </c>
      <c r="ON74" s="13">
        <f t="shared" si="205"/>
        <v>0</v>
      </c>
      <c r="OO74" s="226">
        <f t="shared" si="206"/>
        <v>0</v>
      </c>
      <c r="OP74" s="224">
        <f>(OL74-OL79)/OL79</f>
        <v>0</v>
      </c>
      <c r="OQ74" s="224"/>
      <c r="OT74" s="234" t="str">
        <f t="shared" si="211"/>
        <v>2026//3/13</v>
      </c>
      <c r="OU74" s="206">
        <v>142272.4066</v>
      </c>
      <c r="OV74" s="8">
        <f t="shared" si="208"/>
        <v>142152.4066</v>
      </c>
      <c r="OW74" s="191">
        <f t="shared" si="209"/>
        <v>120</v>
      </c>
      <c r="OX74" s="192">
        <f t="shared" si="210"/>
        <v>0.000844164392782078</v>
      </c>
    </row>
    <row r="75" s="8" customFormat="1" ht="17" customHeight="1" spans="1:414">
      <c r="A75" s="15"/>
      <c r="B75" s="15"/>
      <c r="C75" s="287" t="s">
        <v>504</v>
      </c>
      <c r="D75" s="19">
        <v>4400778.77</v>
      </c>
      <c r="E75" s="19">
        <f t="shared" si="8"/>
        <v>4409418.77</v>
      </c>
      <c r="F75" s="19">
        <f t="shared" si="9"/>
        <v>-8640</v>
      </c>
      <c r="G75" s="172">
        <f t="shared" si="10"/>
        <v>-0.00195944192436048</v>
      </c>
      <c r="H75" s="18"/>
      <c r="I75" s="172"/>
      <c r="J75" s="172"/>
      <c r="K75" s="19" t="str">
        <f t="shared" si="11"/>
        <v>2026//3/12</v>
      </c>
      <c r="L75" s="19">
        <v>3160864.4</v>
      </c>
      <c r="M75" s="19">
        <f t="shared" si="12"/>
        <v>3165454.4</v>
      </c>
      <c r="N75" s="19">
        <f t="shared" si="13"/>
        <v>-4590</v>
      </c>
      <c r="O75" s="172">
        <f t="shared" si="14"/>
        <v>-0.00145002878575664</v>
      </c>
      <c r="P75" s="18"/>
      <c r="Q75" s="172"/>
      <c r="R75" s="19"/>
      <c r="S75" s="19" t="str">
        <f t="shared" si="15"/>
        <v>2026//3/12</v>
      </c>
      <c r="T75" s="19">
        <v>2261136.68</v>
      </c>
      <c r="U75" s="19">
        <f t="shared" si="16"/>
        <v>2292186.68</v>
      </c>
      <c r="V75" s="19">
        <f t="shared" si="17"/>
        <v>-31050</v>
      </c>
      <c r="W75" s="172">
        <f t="shared" si="18"/>
        <v>-0.0135460171158485</v>
      </c>
      <c r="X75" s="18"/>
      <c r="Y75" s="172"/>
      <c r="Z75" s="19"/>
      <c r="AA75" s="19" t="str">
        <f t="shared" si="19"/>
        <v>2026//3/12</v>
      </c>
      <c r="AB75" s="19">
        <v>909976.86</v>
      </c>
      <c r="AC75" s="19">
        <f t="shared" si="20"/>
        <v>931176.86</v>
      </c>
      <c r="AD75" s="19">
        <f t="shared" si="21"/>
        <v>-21200</v>
      </c>
      <c r="AE75" s="172">
        <f t="shared" si="22"/>
        <v>-0.0227668887734173</v>
      </c>
      <c r="AF75" s="18"/>
      <c r="AG75" s="172"/>
      <c r="AH75" s="19"/>
      <c r="AI75" s="19" t="str">
        <f t="shared" si="23"/>
        <v>2026//3/12</v>
      </c>
      <c r="AJ75" s="19">
        <v>723121.76</v>
      </c>
      <c r="AK75" s="19">
        <f t="shared" si="24"/>
        <v>747521.76</v>
      </c>
      <c r="AL75" s="19">
        <f t="shared" si="25"/>
        <v>-24400</v>
      </c>
      <c r="AM75" s="172">
        <f t="shared" si="26"/>
        <v>-0.0326411902711702</v>
      </c>
      <c r="AN75" s="18"/>
      <c r="AO75" s="18"/>
      <c r="AP75" s="19"/>
      <c r="AQ75" s="19" t="str">
        <f t="shared" si="27"/>
        <v>2026//3/12</v>
      </c>
      <c r="AR75" s="21">
        <v>1631145.49</v>
      </c>
      <c r="AS75" s="19">
        <f t="shared" si="28"/>
        <v>1617345.49</v>
      </c>
      <c r="AT75" s="19">
        <f t="shared" si="29"/>
        <v>13800</v>
      </c>
      <c r="AU75" s="172">
        <f t="shared" si="30"/>
        <v>0.00853249975674647</v>
      </c>
      <c r="AV75" s="18"/>
      <c r="AW75" s="18"/>
      <c r="AX75" s="17"/>
      <c r="AY75" s="17"/>
      <c r="AZ75" s="19" t="str">
        <f t="shared" si="31"/>
        <v>2026//3/12</v>
      </c>
      <c r="BA75" s="255">
        <v>1977591.66</v>
      </c>
      <c r="BB75" s="205">
        <f t="shared" si="32"/>
        <v>1980381.66</v>
      </c>
      <c r="BC75" s="17">
        <f t="shared" si="33"/>
        <v>-2790</v>
      </c>
      <c r="BD75" s="18">
        <f t="shared" si="34"/>
        <v>-0.00140881934848861</v>
      </c>
      <c r="BE75" s="18"/>
      <c r="BF75" s="18"/>
      <c r="BG75" s="74"/>
      <c r="BH75" s="8" t="str">
        <f t="shared" si="35"/>
        <v>2026//3/12</v>
      </c>
      <c r="BI75" s="256">
        <v>1653826.55</v>
      </c>
      <c r="BJ75" s="195">
        <f t="shared" si="36"/>
        <v>1630826.55</v>
      </c>
      <c r="BK75" s="195">
        <f t="shared" si="37"/>
        <v>23000</v>
      </c>
      <c r="BL75" s="196">
        <f t="shared" si="38"/>
        <v>0.0141032778746458</v>
      </c>
      <c r="BM75" s="197"/>
      <c r="BN75" s="192"/>
      <c r="BP75" s="8" t="str">
        <f t="shared" si="39"/>
        <v>2026//3/12</v>
      </c>
      <c r="BQ75" s="198">
        <v>1270562.39</v>
      </c>
      <c r="BR75" s="12">
        <f t="shared" si="40"/>
        <v>1282262.39</v>
      </c>
      <c r="BS75" s="12">
        <f t="shared" si="41"/>
        <v>-11700</v>
      </c>
      <c r="BT75" s="199">
        <f t="shared" si="42"/>
        <v>-0.00912449752191515</v>
      </c>
      <c r="BU75" s="192"/>
      <c r="BV75" s="192"/>
      <c r="BX75" s="8" t="str">
        <f t="shared" si="43"/>
        <v>2026//3/12</v>
      </c>
      <c r="BY75" s="257">
        <v>3769160.7</v>
      </c>
      <c r="BZ75" s="12">
        <f t="shared" si="44"/>
        <v>3817010.7</v>
      </c>
      <c r="CA75" s="12">
        <f t="shared" si="45"/>
        <v>-47850</v>
      </c>
      <c r="CB75" s="199">
        <f t="shared" si="46"/>
        <v>-0.0125359879132642</v>
      </c>
      <c r="CC75" s="192"/>
      <c r="CD75" s="201"/>
      <c r="CF75" s="8" t="str">
        <f t="shared" si="47"/>
        <v>2026//3/12</v>
      </c>
      <c r="CG75" s="200">
        <v>1672703.9</v>
      </c>
      <c r="CH75" s="12">
        <f t="shared" si="48"/>
        <v>1704003.9</v>
      </c>
      <c r="CI75" s="12">
        <f t="shared" si="49"/>
        <v>-31300</v>
      </c>
      <c r="CJ75" s="199">
        <f t="shared" si="50"/>
        <v>-0.0183685025603521</v>
      </c>
      <c r="CK75" s="192"/>
      <c r="CL75" s="201"/>
      <c r="CN75" s="8" t="str">
        <f t="shared" si="51"/>
        <v>2026//3/12</v>
      </c>
      <c r="CO75" s="200">
        <v>807646.48</v>
      </c>
      <c r="CP75" s="12">
        <f t="shared" si="52"/>
        <v>811046.48</v>
      </c>
      <c r="CQ75" s="12">
        <f t="shared" si="53"/>
        <v>-3400</v>
      </c>
      <c r="CR75" s="199">
        <f t="shared" si="54"/>
        <v>-0.00419211485881796</v>
      </c>
      <c r="CS75" s="201"/>
      <c r="CT75" s="201"/>
      <c r="CV75" s="8" t="str">
        <f t="shared" si="55"/>
        <v>2026//3/12</v>
      </c>
      <c r="CW75" s="200">
        <v>641440.4</v>
      </c>
      <c r="CX75" s="12">
        <f t="shared" si="56"/>
        <v>643390.4</v>
      </c>
      <c r="CY75" s="12">
        <f t="shared" si="57"/>
        <v>-1950</v>
      </c>
      <c r="CZ75" s="199">
        <f t="shared" si="58"/>
        <v>-0.00303081923510205</v>
      </c>
      <c r="DA75" s="192"/>
      <c r="DB75" s="192"/>
      <c r="DC75" s="277"/>
      <c r="DD75" s="8" t="str">
        <f t="shared" si="59"/>
        <v>2026//3/12</v>
      </c>
      <c r="DE75" s="257">
        <v>2464117.98</v>
      </c>
      <c r="DF75" s="12">
        <f t="shared" si="60"/>
        <v>2468717.98</v>
      </c>
      <c r="DG75" s="12">
        <f t="shared" si="61"/>
        <v>-4600</v>
      </c>
      <c r="DH75" s="199">
        <f t="shared" si="62"/>
        <v>-0.0018633153066759</v>
      </c>
      <c r="DI75" s="192"/>
      <c r="DJ75" s="192"/>
      <c r="DL75" s="8" t="str">
        <f t="shared" si="63"/>
        <v>2026//3/12</v>
      </c>
      <c r="DM75" s="200">
        <v>1377100.36</v>
      </c>
      <c r="DN75" s="12">
        <f t="shared" si="64"/>
        <v>1356900.36</v>
      </c>
      <c r="DO75" s="12">
        <f t="shared" si="65"/>
        <v>20200</v>
      </c>
      <c r="DP75" s="199">
        <f t="shared" si="66"/>
        <v>0.0148868705436853</v>
      </c>
      <c r="DQ75" s="192"/>
      <c r="DR75" s="192"/>
      <c r="DT75" s="8" t="str">
        <f t="shared" si="67"/>
        <v>2026//3/12</v>
      </c>
      <c r="DU75" s="200">
        <v>1740689.48</v>
      </c>
      <c r="DV75" s="12">
        <f t="shared" si="68"/>
        <v>1724189.48</v>
      </c>
      <c r="DW75" s="12">
        <f t="shared" si="69"/>
        <v>16500</v>
      </c>
      <c r="DX75" s="199">
        <f t="shared" si="70"/>
        <v>0.00956971388086651</v>
      </c>
      <c r="DY75" s="192"/>
      <c r="DZ75" s="192"/>
      <c r="EB75" s="8" t="str">
        <f t="shared" si="71"/>
        <v>2026//3/12</v>
      </c>
      <c r="EC75" s="200">
        <v>4925066.82</v>
      </c>
      <c r="ED75" s="12">
        <f t="shared" si="72"/>
        <v>4884566.82</v>
      </c>
      <c r="EE75" s="12">
        <f t="shared" si="73"/>
        <v>40500</v>
      </c>
      <c r="EF75" s="199">
        <f t="shared" si="74"/>
        <v>0.00829142101898813</v>
      </c>
      <c r="EG75" s="192"/>
      <c r="EH75" s="192"/>
      <c r="EJ75" s="8" t="str">
        <f t="shared" si="75"/>
        <v>2026//3/12</v>
      </c>
      <c r="EK75" s="257">
        <v>1603922.96</v>
      </c>
      <c r="EL75" s="12">
        <f t="shared" si="76"/>
        <v>1600122.96</v>
      </c>
      <c r="EM75" s="12">
        <f t="shared" si="77"/>
        <v>3800</v>
      </c>
      <c r="EN75" s="199">
        <f t="shared" si="78"/>
        <v>0.00237481749527549</v>
      </c>
      <c r="EO75" s="192"/>
      <c r="EP75" s="192"/>
      <c r="ER75" s="8" t="str">
        <f t="shared" si="79"/>
        <v>2026//3/12</v>
      </c>
      <c r="ES75" s="262">
        <v>551897.02</v>
      </c>
      <c r="ET75" s="12">
        <f t="shared" si="80"/>
        <v>549947.02</v>
      </c>
      <c r="EU75" s="12">
        <f t="shared" si="81"/>
        <v>1950</v>
      </c>
      <c r="EV75" s="199">
        <f t="shared" si="82"/>
        <v>0.00354579610232273</v>
      </c>
      <c r="EW75" s="192"/>
      <c r="EX75" s="192"/>
      <c r="EZ75" s="8" t="str">
        <f t="shared" si="83"/>
        <v>2026//3/12</v>
      </c>
      <c r="FA75" s="200">
        <v>775708</v>
      </c>
      <c r="FB75" s="12">
        <f t="shared" si="84"/>
        <v>782008</v>
      </c>
      <c r="FC75" s="12">
        <f t="shared" si="85"/>
        <v>-6300</v>
      </c>
      <c r="FD75" s="199">
        <f t="shared" si="86"/>
        <v>-0.00805618356845454</v>
      </c>
      <c r="FE75" s="192"/>
      <c r="FF75" s="192"/>
      <c r="FH75" s="8" t="str">
        <f t="shared" si="87"/>
        <v>2026//3/12</v>
      </c>
      <c r="FI75" s="198">
        <v>1172995.33</v>
      </c>
      <c r="FJ75" s="12">
        <f t="shared" si="88"/>
        <v>1183695.33</v>
      </c>
      <c r="FK75" s="12">
        <f t="shared" si="89"/>
        <v>-10700</v>
      </c>
      <c r="FL75" s="199">
        <f t="shared" si="90"/>
        <v>-0.00903948822709303</v>
      </c>
      <c r="FM75" s="201"/>
      <c r="FN75" s="201"/>
      <c r="FP75" s="8" t="str">
        <f t="shared" si="91"/>
        <v>2026//3/12</v>
      </c>
      <c r="FQ75" s="200">
        <v>2261218.73</v>
      </c>
      <c r="FR75" s="12">
        <f t="shared" si="92"/>
        <v>2264368.73</v>
      </c>
      <c r="FS75" s="12">
        <f t="shared" si="93"/>
        <v>-3150</v>
      </c>
      <c r="FT75" s="199">
        <f t="shared" si="94"/>
        <v>-0.00139111618980889</v>
      </c>
      <c r="FU75" s="192"/>
      <c r="FV75" s="192"/>
      <c r="FX75" s="8" t="str">
        <f t="shared" si="95"/>
        <v>2026//3/12</v>
      </c>
      <c r="FY75" s="200">
        <v>8148282.05</v>
      </c>
      <c r="FZ75" s="12">
        <f t="shared" si="96"/>
        <v>8116382.05</v>
      </c>
      <c r="GA75" s="12">
        <f t="shared" si="97"/>
        <v>31900</v>
      </c>
      <c r="GB75" s="199">
        <f t="shared" si="98"/>
        <v>0.00393032262447527</v>
      </c>
      <c r="GC75" s="192"/>
      <c r="GD75" s="192"/>
      <c r="GF75" s="8" t="str">
        <f t="shared" si="99"/>
        <v>2026//3/12</v>
      </c>
      <c r="GG75" s="200">
        <v>4705669.49</v>
      </c>
      <c r="GH75" s="12">
        <f t="shared" si="100"/>
        <v>4695369.49</v>
      </c>
      <c r="GI75" s="12">
        <f t="shared" si="101"/>
        <v>10300</v>
      </c>
      <c r="GJ75" s="199">
        <f t="shared" si="102"/>
        <v>0.00219365057892388</v>
      </c>
      <c r="GK75" s="192"/>
      <c r="GL75" s="192"/>
      <c r="GN75" s="8" t="str">
        <f t="shared" si="103"/>
        <v>2026//3/12</v>
      </c>
      <c r="GO75" s="257">
        <v>1833538.12</v>
      </c>
      <c r="GP75" s="12">
        <f t="shared" si="104"/>
        <v>1829218.12</v>
      </c>
      <c r="GQ75" s="12">
        <f t="shared" si="105"/>
        <v>4320</v>
      </c>
      <c r="GR75" s="199">
        <f t="shared" si="106"/>
        <v>0.00236166477511167</v>
      </c>
      <c r="GS75" s="192"/>
      <c r="GT75" s="192"/>
      <c r="GV75" s="8" t="str">
        <f t="shared" si="107"/>
        <v>2026//3/12</v>
      </c>
      <c r="GW75" s="200">
        <v>1118149.4</v>
      </c>
      <c r="GX75" s="12">
        <f t="shared" si="108"/>
        <v>1093349.4</v>
      </c>
      <c r="GY75" s="12">
        <f t="shared" si="109"/>
        <v>24800</v>
      </c>
      <c r="GZ75" s="199">
        <f t="shared" si="110"/>
        <v>0.0226825935057906</v>
      </c>
      <c r="HA75" s="192"/>
      <c r="HB75" s="192"/>
      <c r="HD75" s="8" t="str">
        <f t="shared" si="111"/>
        <v>2026//3/12</v>
      </c>
      <c r="HE75" s="257">
        <v>1063464.67</v>
      </c>
      <c r="HF75" s="12">
        <f t="shared" si="112"/>
        <v>1053664.67</v>
      </c>
      <c r="HG75" s="12">
        <f t="shared" si="113"/>
        <v>9800</v>
      </c>
      <c r="HH75" s="199">
        <f t="shared" si="114"/>
        <v>0.00930087178494843</v>
      </c>
      <c r="HI75" s="201"/>
      <c r="HJ75" s="192"/>
      <c r="HL75" s="8" t="str">
        <f t="shared" si="115"/>
        <v>2026//3/12</v>
      </c>
      <c r="HM75" s="200">
        <v>162754.25</v>
      </c>
      <c r="HN75" s="12">
        <f t="shared" si="116"/>
        <v>156054.25</v>
      </c>
      <c r="HO75" s="12">
        <f t="shared" si="117"/>
        <v>6700</v>
      </c>
      <c r="HP75" s="199">
        <f t="shared" si="118"/>
        <v>0.042933787448916</v>
      </c>
      <c r="HQ75" s="192"/>
      <c r="HR75" s="192"/>
      <c r="HT75" s="8" t="str">
        <f t="shared" si="119"/>
        <v>2026//3/12</v>
      </c>
      <c r="HU75" s="257">
        <v>313768.82</v>
      </c>
      <c r="HV75" s="12">
        <f t="shared" si="120"/>
        <v>323368.82</v>
      </c>
      <c r="HW75" s="12">
        <f t="shared" si="121"/>
        <v>-9600</v>
      </c>
      <c r="HX75" s="199">
        <f t="shared" si="122"/>
        <v>-0.0296874633738652</v>
      </c>
      <c r="HY75" s="192"/>
      <c r="HZ75" s="192"/>
      <c r="IB75" s="8" t="str">
        <f t="shared" si="123"/>
        <v>2026//3/12</v>
      </c>
      <c r="IC75" s="200">
        <v>476584.79</v>
      </c>
      <c r="ID75" s="12">
        <f t="shared" si="124"/>
        <v>478009.79</v>
      </c>
      <c r="IE75" s="12">
        <f t="shared" si="125"/>
        <v>-1425</v>
      </c>
      <c r="IF75" s="199">
        <f t="shared" si="126"/>
        <v>-0.00298111049148177</v>
      </c>
      <c r="IG75" s="201"/>
      <c r="IH75" s="192"/>
      <c r="IJ75" s="8" t="str">
        <f t="shared" si="127"/>
        <v>2026//3/12</v>
      </c>
      <c r="IK75" s="257">
        <v>535676.29</v>
      </c>
      <c r="IL75" s="12">
        <f t="shared" si="128"/>
        <v>514636.29</v>
      </c>
      <c r="IM75" s="12">
        <f t="shared" si="129"/>
        <v>21040.0000000001</v>
      </c>
      <c r="IN75" s="199">
        <f t="shared" si="130"/>
        <v>0.0408832420271024</v>
      </c>
      <c r="IO75" s="192"/>
      <c r="IP75" s="192"/>
      <c r="IR75" s="8" t="str">
        <f t="shared" si="131"/>
        <v>2026//3/12</v>
      </c>
      <c r="IS75" s="200">
        <v>159489</v>
      </c>
      <c r="IT75" s="12">
        <f t="shared" si="132"/>
        <v>159189</v>
      </c>
      <c r="IU75" s="12">
        <f t="shared" si="133"/>
        <v>300</v>
      </c>
      <c r="IV75" s="199">
        <f t="shared" si="134"/>
        <v>0.00188455232459529</v>
      </c>
      <c r="IW75" s="192"/>
      <c r="IX75" s="192"/>
      <c r="IZ75" s="8" t="str">
        <f t="shared" si="135"/>
        <v>2026//3/12</v>
      </c>
      <c r="JA75" s="200">
        <v>4944729.15</v>
      </c>
      <c r="JB75" s="12">
        <f t="shared" si="136"/>
        <v>4948729.15</v>
      </c>
      <c r="JC75" s="12">
        <f t="shared" si="137"/>
        <v>-4000</v>
      </c>
      <c r="JD75" s="199">
        <f t="shared" si="138"/>
        <v>-0.000808288325902823</v>
      </c>
      <c r="JE75" s="192"/>
      <c r="JF75" s="192"/>
      <c r="JH75" s="8" t="str">
        <f t="shared" si="139"/>
        <v>2026//3/12</v>
      </c>
      <c r="JI75" s="200">
        <v>1473267.99</v>
      </c>
      <c r="JJ75" s="12">
        <f t="shared" si="140"/>
        <v>1487367.99</v>
      </c>
      <c r="JK75" s="12">
        <f t="shared" si="141"/>
        <v>-14100</v>
      </c>
      <c r="JL75" s="199">
        <f t="shared" si="142"/>
        <v>-0.00947983289596006</v>
      </c>
      <c r="JM75" s="192"/>
      <c r="JN75" s="192"/>
      <c r="JP75" s="8" t="str">
        <f t="shared" si="143"/>
        <v>2026//3/12</v>
      </c>
      <c r="JQ75" s="257">
        <v>1096990.41</v>
      </c>
      <c r="JR75" s="12">
        <f t="shared" si="144"/>
        <v>1102590.41</v>
      </c>
      <c r="JS75" s="12">
        <f t="shared" si="145"/>
        <v>-5600</v>
      </c>
      <c r="JT75" s="199">
        <f t="shared" si="146"/>
        <v>-0.00507894858254753</v>
      </c>
      <c r="JU75" s="192"/>
      <c r="JV75" s="201"/>
      <c r="JX75" s="8" t="str">
        <f t="shared" si="147"/>
        <v>2026//3/12</v>
      </c>
      <c r="JY75" s="200">
        <v>1278598.8</v>
      </c>
      <c r="JZ75" s="12">
        <f t="shared" si="148"/>
        <v>1277898.8</v>
      </c>
      <c r="KA75" s="12">
        <f t="shared" si="149"/>
        <v>700</v>
      </c>
      <c r="KB75" s="199">
        <f t="shared" si="150"/>
        <v>0.000547774205594371</v>
      </c>
      <c r="KC75" s="192"/>
      <c r="KD75" s="201"/>
      <c r="KF75" s="8" t="str">
        <f t="shared" si="151"/>
        <v>2026//3/12</v>
      </c>
      <c r="KG75" s="257">
        <v>768755.92</v>
      </c>
      <c r="KH75" s="12">
        <f t="shared" si="152"/>
        <v>771755.92</v>
      </c>
      <c r="KI75" s="12">
        <f t="shared" si="153"/>
        <v>-3000</v>
      </c>
      <c r="KJ75" s="199">
        <f t="shared" si="154"/>
        <v>-0.00388723937485313</v>
      </c>
      <c r="KK75" s="201"/>
      <c r="KL75" s="201"/>
      <c r="KN75" s="8" t="str">
        <f t="shared" si="155"/>
        <v>2026//3/12</v>
      </c>
      <c r="KO75" s="200">
        <v>8060975.95</v>
      </c>
      <c r="KP75" s="12">
        <f t="shared" si="156"/>
        <v>8060975.95</v>
      </c>
      <c r="KQ75" s="12">
        <f t="shared" si="157"/>
        <v>0</v>
      </c>
      <c r="KR75" s="199">
        <f t="shared" si="158"/>
        <v>0</v>
      </c>
      <c r="KS75" s="192"/>
      <c r="KT75" s="192"/>
      <c r="KV75" s="8" t="str">
        <f t="shared" si="159"/>
        <v>2026//3/12</v>
      </c>
      <c r="KW75" s="257">
        <v>1012572.97</v>
      </c>
      <c r="KX75" s="12">
        <f t="shared" si="160"/>
        <v>1007372.97</v>
      </c>
      <c r="KY75" s="12">
        <f t="shared" si="161"/>
        <v>5200</v>
      </c>
      <c r="KZ75" s="199">
        <f t="shared" si="162"/>
        <v>0.0051619411626659</v>
      </c>
      <c r="LA75" s="201"/>
      <c r="LB75" s="192"/>
      <c r="LD75" s="8" t="str">
        <f t="shared" si="163"/>
        <v>2026//3/12</v>
      </c>
      <c r="LE75" s="262">
        <v>548357.7</v>
      </c>
      <c r="LF75" s="12">
        <f t="shared" si="164"/>
        <v>566657.7</v>
      </c>
      <c r="LG75" s="12">
        <f t="shared" si="165"/>
        <v>-18300</v>
      </c>
      <c r="LH75" s="199">
        <f t="shared" si="166"/>
        <v>-0.0322946286620653</v>
      </c>
      <c r="LI75" s="192"/>
      <c r="LJ75" s="192"/>
      <c r="LL75" s="8" t="str">
        <f t="shared" si="167"/>
        <v>2026//3/12</v>
      </c>
      <c r="LM75" s="262">
        <v>3589855.02</v>
      </c>
      <c r="LN75" s="12">
        <f t="shared" si="168"/>
        <v>3564835.02</v>
      </c>
      <c r="LO75" s="12">
        <f t="shared" si="169"/>
        <v>25020</v>
      </c>
      <c r="LP75" s="199">
        <f t="shared" si="170"/>
        <v>0.0070185576217774</v>
      </c>
      <c r="LQ75" s="192"/>
      <c r="LR75" s="192"/>
      <c r="LT75" s="8" t="str">
        <f t="shared" si="171"/>
        <v>2026//3/12</v>
      </c>
      <c r="LU75" s="257">
        <v>2821262.9</v>
      </c>
      <c r="LV75" s="12">
        <f t="shared" si="172"/>
        <v>2831862.9</v>
      </c>
      <c r="LW75" s="12">
        <f t="shared" si="173"/>
        <v>-10600</v>
      </c>
      <c r="LX75" s="199">
        <f t="shared" si="174"/>
        <v>-0.00374311906130766</v>
      </c>
      <c r="LY75" s="192"/>
      <c r="LZ75" s="192"/>
      <c r="MB75" s="8" t="str">
        <f t="shared" si="175"/>
        <v>2026//3/12</v>
      </c>
      <c r="MC75" s="200">
        <v>769367.69</v>
      </c>
      <c r="MD75" s="12">
        <f t="shared" si="176"/>
        <v>763267.69</v>
      </c>
      <c r="ME75" s="12">
        <f t="shared" si="177"/>
        <v>6100</v>
      </c>
      <c r="MF75" s="199">
        <f t="shared" si="178"/>
        <v>0.00799195364866028</v>
      </c>
      <c r="MG75" s="192"/>
      <c r="MH75" s="192"/>
      <c r="MI75" s="8"/>
      <c r="MJ75" s="8"/>
      <c r="MK75" s="8" t="str">
        <f t="shared" si="179"/>
        <v>2026//3/12</v>
      </c>
      <c r="ML75" s="258">
        <v>246465.53</v>
      </c>
      <c r="MM75" s="12">
        <f t="shared" si="180"/>
        <v>245865.53</v>
      </c>
      <c r="MN75" s="12">
        <f t="shared" si="181"/>
        <v>600</v>
      </c>
      <c r="MO75" s="199">
        <f t="shared" si="182"/>
        <v>0.00244035835360898</v>
      </c>
      <c r="MP75" s="192"/>
      <c r="MQ75" s="201"/>
      <c r="MR75" s="201"/>
      <c r="MT75" s="26" t="str">
        <f t="shared" si="183"/>
        <v>2026//3/12</v>
      </c>
      <c r="MU75" s="8">
        <v>463514.8</v>
      </c>
      <c r="MV75" s="204">
        <f t="shared" si="184"/>
        <v>472014.8</v>
      </c>
      <c r="MW75" s="8">
        <f t="shared" si="185"/>
        <v>-8500</v>
      </c>
      <c r="MX75" s="192">
        <f t="shared" si="186"/>
        <v>-0.0180079099214686</v>
      </c>
      <c r="MY75" s="192"/>
      <c r="MZ75" s="192"/>
      <c r="NA75" s="192"/>
      <c r="NC75" s="26" t="str">
        <f t="shared" si="187"/>
        <v>2026//3/12</v>
      </c>
      <c r="ND75" s="8">
        <v>48691.48</v>
      </c>
      <c r="NE75" s="204">
        <f t="shared" si="188"/>
        <v>49091.48</v>
      </c>
      <c r="NF75" s="8">
        <f t="shared" si="189"/>
        <v>-400</v>
      </c>
      <c r="NG75" s="192">
        <f t="shared" si="190"/>
        <v>-0.00814805338930503</v>
      </c>
      <c r="NH75" s="192"/>
      <c r="NI75" s="192"/>
      <c r="NJ75" s="192"/>
      <c r="NK75" s="192"/>
      <c r="NM75" s="26" t="str">
        <f t="shared" si="191"/>
        <v>2026//3/12</v>
      </c>
      <c r="NN75" s="8">
        <v>2560811.08</v>
      </c>
      <c r="NO75" s="8">
        <f t="shared" si="192"/>
        <v>2571811.08</v>
      </c>
      <c r="NP75" s="210">
        <f t="shared" si="193"/>
        <v>-11000</v>
      </c>
      <c r="NQ75" s="211">
        <f t="shared" si="194"/>
        <v>-0.00427714153871676</v>
      </c>
      <c r="NR75" s="192"/>
      <c r="NU75" s="8" t="str">
        <f t="shared" si="195"/>
        <v>2026//3/12</v>
      </c>
      <c r="NV75" s="8">
        <v>244376.5</v>
      </c>
      <c r="NW75" s="205">
        <f t="shared" si="196"/>
        <v>244776.5</v>
      </c>
      <c r="NX75" s="210">
        <f t="shared" si="197"/>
        <v>-400</v>
      </c>
      <c r="NY75" s="211">
        <f t="shared" si="198"/>
        <v>-0.00163414380056909</v>
      </c>
      <c r="NZ75" s="192"/>
      <c r="OA75" s="8"/>
      <c r="OC75" s="8" t="str">
        <f t="shared" si="199"/>
        <v>2026//3/12</v>
      </c>
      <c r="OD75" s="200">
        <v>12007.97</v>
      </c>
      <c r="OE75" s="12">
        <f t="shared" si="200"/>
        <v>12061.97</v>
      </c>
      <c r="OF75" s="12">
        <f t="shared" si="201"/>
        <v>-54</v>
      </c>
      <c r="OG75" s="199">
        <f t="shared" si="202"/>
        <v>-0.00447688064221682</v>
      </c>
      <c r="OH75" s="192"/>
      <c r="OI75" s="192"/>
      <c r="OK75" s="8" t="str">
        <f t="shared" si="203"/>
        <v>2026//3/12</v>
      </c>
      <c r="OL75" s="200">
        <v>10834.65</v>
      </c>
      <c r="OM75" s="12">
        <f t="shared" si="204"/>
        <v>10834.65</v>
      </c>
      <c r="ON75" s="12">
        <f t="shared" si="205"/>
        <v>0</v>
      </c>
      <c r="OO75" s="199">
        <f t="shared" si="206"/>
        <v>0</v>
      </c>
      <c r="OP75" s="192"/>
      <c r="OQ75" s="192"/>
      <c r="OT75" s="234" t="str">
        <f t="shared" si="211"/>
        <v>2026//3/12</v>
      </c>
      <c r="OU75" s="206">
        <v>142152.4066</v>
      </c>
      <c r="OV75" s="8">
        <f t="shared" si="208"/>
        <v>142032.4066</v>
      </c>
      <c r="OW75" s="191">
        <f t="shared" si="209"/>
        <v>120</v>
      </c>
      <c r="OX75" s="192">
        <f t="shared" si="210"/>
        <v>0.000844877608375327</v>
      </c>
    </row>
    <row r="76" s="8" customFormat="1" ht="17" customHeight="1" spans="1:414">
      <c r="A76" s="15"/>
      <c r="B76" s="15"/>
      <c r="C76" s="287" t="s">
        <v>505</v>
      </c>
      <c r="D76" s="19">
        <v>4409418.77</v>
      </c>
      <c r="E76" s="19">
        <f t="shared" si="8"/>
        <v>4452258.77</v>
      </c>
      <c r="F76" s="19">
        <f t="shared" si="9"/>
        <v>-42840</v>
      </c>
      <c r="G76" s="172">
        <f t="shared" si="10"/>
        <v>-0.0096220822313075</v>
      </c>
      <c r="H76" s="18"/>
      <c r="I76" s="172"/>
      <c r="J76" s="172"/>
      <c r="K76" s="19" t="str">
        <f t="shared" si="11"/>
        <v>2026//3/11</v>
      </c>
      <c r="L76" s="19">
        <v>3165454.4</v>
      </c>
      <c r="M76" s="19">
        <f t="shared" si="12"/>
        <v>3172924.4</v>
      </c>
      <c r="N76" s="19">
        <f t="shared" si="13"/>
        <v>-7470</v>
      </c>
      <c r="O76" s="172">
        <f t="shared" si="14"/>
        <v>-0.00235429498414775</v>
      </c>
      <c r="P76" s="18"/>
      <c r="Q76" s="172"/>
      <c r="R76" s="19"/>
      <c r="S76" s="19" t="str">
        <f t="shared" si="15"/>
        <v>2026//3/11</v>
      </c>
      <c r="T76" s="19">
        <v>2292186.68</v>
      </c>
      <c r="U76" s="19">
        <f t="shared" si="16"/>
        <v>2302806.68</v>
      </c>
      <c r="V76" s="19">
        <f t="shared" si="17"/>
        <v>-10620</v>
      </c>
      <c r="W76" s="172">
        <f t="shared" si="18"/>
        <v>-0.00461176358929096</v>
      </c>
      <c r="X76" s="18"/>
      <c r="Y76" s="172"/>
      <c r="Z76" s="19"/>
      <c r="AA76" s="19" t="str">
        <f t="shared" si="19"/>
        <v>2026//3/11</v>
      </c>
      <c r="AB76" s="19">
        <v>931176.86</v>
      </c>
      <c r="AC76" s="19">
        <f t="shared" si="20"/>
        <v>954296.86</v>
      </c>
      <c r="AD76" s="19">
        <f t="shared" si="21"/>
        <v>-23120</v>
      </c>
      <c r="AE76" s="172">
        <f t="shared" si="22"/>
        <v>-0.0242272619444645</v>
      </c>
      <c r="AF76" s="18"/>
      <c r="AG76" s="172"/>
      <c r="AH76" s="19"/>
      <c r="AI76" s="19" t="str">
        <f t="shared" si="23"/>
        <v>2026//3/11</v>
      </c>
      <c r="AJ76" s="19">
        <v>747521.76</v>
      </c>
      <c r="AK76" s="19">
        <f t="shared" si="24"/>
        <v>773521.76</v>
      </c>
      <c r="AL76" s="19">
        <f t="shared" si="25"/>
        <v>-26000</v>
      </c>
      <c r="AM76" s="172">
        <f t="shared" si="26"/>
        <v>-0.0336124997957394</v>
      </c>
      <c r="AN76" s="18"/>
      <c r="AO76" s="18"/>
      <c r="AP76" s="19"/>
      <c r="AQ76" s="19" t="str">
        <f t="shared" si="27"/>
        <v>2026//3/11</v>
      </c>
      <c r="AR76" s="21">
        <v>1617345.49</v>
      </c>
      <c r="AS76" s="19">
        <f t="shared" si="28"/>
        <v>1653545.49</v>
      </c>
      <c r="AT76" s="19">
        <f t="shared" si="29"/>
        <v>-36200</v>
      </c>
      <c r="AU76" s="172">
        <f t="shared" si="30"/>
        <v>-0.0218923520513488</v>
      </c>
      <c r="AV76" s="18"/>
      <c r="AW76" s="18"/>
      <c r="AX76" s="17"/>
      <c r="AY76" s="17"/>
      <c r="AZ76" s="19" t="str">
        <f t="shared" si="31"/>
        <v>2026//3/11</v>
      </c>
      <c r="BA76" s="255">
        <v>1980381.66</v>
      </c>
      <c r="BB76" s="205">
        <f t="shared" si="32"/>
        <v>1987761.66</v>
      </c>
      <c r="BC76" s="17">
        <f t="shared" si="33"/>
        <v>-7380</v>
      </c>
      <c r="BD76" s="18">
        <f t="shared" si="34"/>
        <v>-0.00371271875723773</v>
      </c>
      <c r="BE76" s="18"/>
      <c r="BF76" s="18"/>
      <c r="BG76" s="74"/>
      <c r="BH76" s="8" t="str">
        <f t="shared" si="35"/>
        <v>2026//3/11</v>
      </c>
      <c r="BI76" s="256">
        <v>1630826.55</v>
      </c>
      <c r="BJ76" s="195">
        <f t="shared" si="36"/>
        <v>1596526.55</v>
      </c>
      <c r="BK76" s="195">
        <f t="shared" si="37"/>
        <v>34300</v>
      </c>
      <c r="BL76" s="196">
        <f t="shared" si="38"/>
        <v>0.0214841400539189</v>
      </c>
      <c r="BM76" s="197"/>
      <c r="BN76" s="192"/>
      <c r="BP76" s="8" t="str">
        <f t="shared" si="39"/>
        <v>2026//3/11</v>
      </c>
      <c r="BQ76" s="263">
        <v>1282262.39</v>
      </c>
      <c r="BR76" s="12">
        <f t="shared" si="40"/>
        <v>1300562.39</v>
      </c>
      <c r="BS76" s="12">
        <f t="shared" si="41"/>
        <v>-18300</v>
      </c>
      <c r="BT76" s="199">
        <f t="shared" si="42"/>
        <v>-0.0140708359250647</v>
      </c>
      <c r="BU76" s="192"/>
      <c r="BV76" s="192"/>
      <c r="BX76" s="8" t="str">
        <f t="shared" si="43"/>
        <v>2026//3/11</v>
      </c>
      <c r="BY76" s="257">
        <v>3817010.7</v>
      </c>
      <c r="BZ76" s="12">
        <f t="shared" si="44"/>
        <v>3882860.7</v>
      </c>
      <c r="CA76" s="12">
        <f t="shared" si="45"/>
        <v>-65850</v>
      </c>
      <c r="CB76" s="199">
        <f t="shared" si="46"/>
        <v>-0.0169591456113787</v>
      </c>
      <c r="CC76" s="192"/>
      <c r="CD76" s="201"/>
      <c r="CF76" s="8" t="str">
        <f t="shared" si="47"/>
        <v>2026//3/11</v>
      </c>
      <c r="CG76" s="200">
        <v>1704003.9</v>
      </c>
      <c r="CH76" s="12">
        <f t="shared" si="48"/>
        <v>1703903.9</v>
      </c>
      <c r="CI76" s="12">
        <f t="shared" si="49"/>
        <v>100</v>
      </c>
      <c r="CJ76" s="199">
        <f t="shared" si="50"/>
        <v>5.86887558623465e-5</v>
      </c>
      <c r="CK76" s="192"/>
      <c r="CL76" s="201"/>
      <c r="CN76" s="8" t="str">
        <f t="shared" si="51"/>
        <v>2026//3/11</v>
      </c>
      <c r="CO76" s="200">
        <v>811046.48</v>
      </c>
      <c r="CP76" s="12">
        <f t="shared" si="52"/>
        <v>812746.48</v>
      </c>
      <c r="CQ76" s="12">
        <f t="shared" si="53"/>
        <v>-1700</v>
      </c>
      <c r="CR76" s="199">
        <f t="shared" si="54"/>
        <v>-0.00209167316233717</v>
      </c>
      <c r="CS76" s="201"/>
      <c r="CT76" s="201"/>
      <c r="CV76" s="8" t="str">
        <f t="shared" si="55"/>
        <v>2026//3/11</v>
      </c>
      <c r="CW76" s="200">
        <v>643390.4</v>
      </c>
      <c r="CX76" s="12">
        <f t="shared" si="56"/>
        <v>641390.4</v>
      </c>
      <c r="CY76" s="12">
        <f t="shared" si="57"/>
        <v>2000</v>
      </c>
      <c r="CZ76" s="199">
        <f t="shared" si="58"/>
        <v>0.00311822565476502</v>
      </c>
      <c r="DA76" s="192"/>
      <c r="DB76" s="192"/>
      <c r="DC76" s="277"/>
      <c r="DD76" s="8" t="str">
        <f t="shared" si="59"/>
        <v>2026//3/11</v>
      </c>
      <c r="DE76" s="257">
        <v>2468717.98</v>
      </c>
      <c r="DF76" s="12">
        <f t="shared" si="60"/>
        <v>2362917.98</v>
      </c>
      <c r="DG76" s="12">
        <f t="shared" si="61"/>
        <v>105800</v>
      </c>
      <c r="DH76" s="199">
        <f t="shared" si="62"/>
        <v>0.0447751470408634</v>
      </c>
      <c r="DI76" s="192"/>
      <c r="DJ76" s="192"/>
      <c r="DL76" s="8" t="str">
        <f t="shared" si="63"/>
        <v>2026//3/11</v>
      </c>
      <c r="DM76" s="200">
        <v>1356900.36</v>
      </c>
      <c r="DN76" s="12">
        <f t="shared" si="64"/>
        <v>1334900.36</v>
      </c>
      <c r="DO76" s="12">
        <f t="shared" si="65"/>
        <v>22000</v>
      </c>
      <c r="DP76" s="199">
        <f t="shared" si="66"/>
        <v>0.0164806308090291</v>
      </c>
      <c r="DQ76" s="192"/>
      <c r="DR76" s="192"/>
      <c r="DT76" s="8" t="str">
        <f t="shared" si="67"/>
        <v>2026//3/11</v>
      </c>
      <c r="DU76" s="200">
        <v>1724189.48</v>
      </c>
      <c r="DV76" s="12">
        <f t="shared" si="68"/>
        <v>1716689.48</v>
      </c>
      <c r="DW76" s="12">
        <f t="shared" si="69"/>
        <v>7500</v>
      </c>
      <c r="DX76" s="199">
        <f t="shared" si="70"/>
        <v>0.0043688739794689</v>
      </c>
      <c r="DY76" s="192"/>
      <c r="DZ76" s="192"/>
      <c r="EB76" s="8" t="str">
        <f t="shared" si="71"/>
        <v>2026//3/11</v>
      </c>
      <c r="EC76" s="200">
        <v>4884566.82</v>
      </c>
      <c r="ED76" s="12">
        <f t="shared" si="72"/>
        <v>4873466.82</v>
      </c>
      <c r="EE76" s="12">
        <f t="shared" si="73"/>
        <v>11100</v>
      </c>
      <c r="EF76" s="199">
        <f t="shared" si="74"/>
        <v>0.00227763939100749</v>
      </c>
      <c r="EG76" s="192"/>
      <c r="EH76" s="192"/>
      <c r="EJ76" s="8" t="str">
        <f t="shared" si="75"/>
        <v>2026//3/11</v>
      </c>
      <c r="EK76" s="257">
        <v>1600122.96</v>
      </c>
      <c r="EL76" s="12">
        <f t="shared" si="76"/>
        <v>1599122.96</v>
      </c>
      <c r="EM76" s="12">
        <f t="shared" si="77"/>
        <v>1000</v>
      </c>
      <c r="EN76" s="199">
        <f t="shared" si="78"/>
        <v>0.000625342781645759</v>
      </c>
      <c r="EO76" s="192"/>
      <c r="EP76" s="192"/>
      <c r="ER76" s="8" t="str">
        <f t="shared" si="79"/>
        <v>2026//3/11</v>
      </c>
      <c r="ES76" s="8">
        <v>549947.02</v>
      </c>
      <c r="ET76" s="12">
        <f t="shared" si="80"/>
        <v>548597.02</v>
      </c>
      <c r="EU76" s="12">
        <f t="shared" si="81"/>
        <v>1350</v>
      </c>
      <c r="EV76" s="199">
        <f t="shared" si="82"/>
        <v>0.00246082270005769</v>
      </c>
      <c r="EW76" s="192"/>
      <c r="EX76" s="192"/>
      <c r="EZ76" s="8" t="str">
        <f t="shared" si="83"/>
        <v>2026//3/11</v>
      </c>
      <c r="FA76" s="200">
        <v>782008</v>
      </c>
      <c r="FB76" s="12">
        <f t="shared" si="84"/>
        <v>786108</v>
      </c>
      <c r="FC76" s="12">
        <f t="shared" si="85"/>
        <v>-4100</v>
      </c>
      <c r="FD76" s="199">
        <f t="shared" si="86"/>
        <v>-0.00521556834429875</v>
      </c>
      <c r="FE76" s="192"/>
      <c r="FF76" s="192"/>
      <c r="FH76" s="8" t="str">
        <f t="shared" si="87"/>
        <v>2026//3/11</v>
      </c>
      <c r="FI76" s="198">
        <v>1183695.33</v>
      </c>
      <c r="FJ76" s="12">
        <f t="shared" si="88"/>
        <v>1168295.33</v>
      </c>
      <c r="FK76" s="12">
        <f t="shared" si="89"/>
        <v>15400</v>
      </c>
      <c r="FL76" s="199">
        <f t="shared" si="90"/>
        <v>0.0131815985261192</v>
      </c>
      <c r="FM76" s="201"/>
      <c r="FN76" s="201"/>
      <c r="FP76" s="8" t="str">
        <f t="shared" si="91"/>
        <v>2026//3/11</v>
      </c>
      <c r="FQ76" s="200">
        <v>2264368.73</v>
      </c>
      <c r="FR76" s="12">
        <f t="shared" si="92"/>
        <v>2271568.73</v>
      </c>
      <c r="FS76" s="12">
        <f t="shared" si="93"/>
        <v>-7200</v>
      </c>
      <c r="FT76" s="199">
        <f t="shared" si="94"/>
        <v>-0.00316961573951584</v>
      </c>
      <c r="FU76" s="192"/>
      <c r="FV76" s="192"/>
      <c r="FX76" s="8" t="str">
        <f t="shared" si="95"/>
        <v>2026//3/11</v>
      </c>
      <c r="FY76" s="200">
        <v>8116382.05</v>
      </c>
      <c r="FZ76" s="12">
        <f t="shared" si="96"/>
        <v>8135182.05</v>
      </c>
      <c r="GA76" s="12">
        <f t="shared" si="97"/>
        <v>-18800</v>
      </c>
      <c r="GB76" s="199">
        <f t="shared" si="98"/>
        <v>-0.00231095012803063</v>
      </c>
      <c r="GC76" s="192"/>
      <c r="GD76" s="192"/>
      <c r="GF76" s="8" t="str">
        <f t="shared" si="99"/>
        <v>2026//3/11</v>
      </c>
      <c r="GG76" s="200">
        <v>4695369.49</v>
      </c>
      <c r="GH76" s="12">
        <f t="shared" si="100"/>
        <v>4700469.49</v>
      </c>
      <c r="GI76" s="12">
        <f t="shared" si="101"/>
        <v>-5100</v>
      </c>
      <c r="GJ76" s="199">
        <f t="shared" si="102"/>
        <v>-0.00108499800091246</v>
      </c>
      <c r="GK76" s="192"/>
      <c r="GL76" s="192"/>
      <c r="GN76" s="8" t="str">
        <f t="shared" si="103"/>
        <v>2026//3/11</v>
      </c>
      <c r="GO76" s="257">
        <v>1829218.12</v>
      </c>
      <c r="GP76" s="12">
        <f t="shared" si="104"/>
        <v>1818598.12</v>
      </c>
      <c r="GQ76" s="12">
        <f t="shared" si="105"/>
        <v>10620</v>
      </c>
      <c r="GR76" s="199">
        <f t="shared" si="106"/>
        <v>0.00583966291574083</v>
      </c>
      <c r="GS76" s="192"/>
      <c r="GT76" s="192"/>
      <c r="GV76" s="8" t="str">
        <f t="shared" si="107"/>
        <v>2026//3/11</v>
      </c>
      <c r="GW76" s="200">
        <v>1093349.4</v>
      </c>
      <c r="GX76" s="12">
        <f t="shared" si="108"/>
        <v>1066949.4</v>
      </c>
      <c r="GY76" s="12">
        <f t="shared" si="109"/>
        <v>26400</v>
      </c>
      <c r="GZ76" s="199">
        <f t="shared" si="110"/>
        <v>0.0247434414415529</v>
      </c>
      <c r="HA76" s="192"/>
      <c r="HB76" s="192"/>
      <c r="HD76" s="8" t="str">
        <f t="shared" si="111"/>
        <v>2026//3/11</v>
      </c>
      <c r="HE76" s="257">
        <v>1053664.67</v>
      </c>
      <c r="HF76" s="12">
        <f t="shared" si="112"/>
        <v>1064764.67</v>
      </c>
      <c r="HG76" s="12">
        <f t="shared" si="113"/>
        <v>-11100</v>
      </c>
      <c r="HH76" s="199">
        <f t="shared" si="114"/>
        <v>-0.0104248387580328</v>
      </c>
      <c r="HI76" s="201"/>
      <c r="HJ76" s="192"/>
      <c r="HL76" s="8" t="str">
        <f t="shared" si="115"/>
        <v>2026//3/11</v>
      </c>
      <c r="HM76" s="200">
        <v>156054.25</v>
      </c>
      <c r="HN76" s="12">
        <f t="shared" si="116"/>
        <v>149454.25</v>
      </c>
      <c r="HO76" s="12">
        <f t="shared" si="117"/>
        <v>6600</v>
      </c>
      <c r="HP76" s="199">
        <f t="shared" si="118"/>
        <v>0.0441606712422029</v>
      </c>
      <c r="HQ76" s="192"/>
      <c r="HR76" s="192"/>
      <c r="HT76" s="8" t="str">
        <f t="shared" si="119"/>
        <v>2026//3/11</v>
      </c>
      <c r="HU76" s="257">
        <v>323368.82</v>
      </c>
      <c r="HV76" s="12">
        <f t="shared" si="120"/>
        <v>336868.82</v>
      </c>
      <c r="HW76" s="12">
        <f t="shared" si="121"/>
        <v>-13500</v>
      </c>
      <c r="HX76" s="199">
        <f t="shared" si="122"/>
        <v>-0.0400749466810256</v>
      </c>
      <c r="HY76" s="192"/>
      <c r="HZ76" s="192"/>
      <c r="IB76" s="8" t="str">
        <f t="shared" si="123"/>
        <v>2026//3/11</v>
      </c>
      <c r="IC76" s="200">
        <v>478009.79</v>
      </c>
      <c r="ID76" s="12">
        <f t="shared" si="124"/>
        <v>478784.79</v>
      </c>
      <c r="IE76" s="12">
        <f t="shared" si="125"/>
        <v>-775</v>
      </c>
      <c r="IF76" s="199">
        <f t="shared" si="126"/>
        <v>-0.00161868132861948</v>
      </c>
      <c r="IG76" s="201"/>
      <c r="IH76" s="192"/>
      <c r="IJ76" s="8" t="str">
        <f t="shared" si="127"/>
        <v>2026//3/11</v>
      </c>
      <c r="IK76" s="257">
        <v>514636.29</v>
      </c>
      <c r="IL76" s="12">
        <f t="shared" si="128"/>
        <v>503036.29</v>
      </c>
      <c r="IM76" s="12">
        <f t="shared" si="129"/>
        <v>11600</v>
      </c>
      <c r="IN76" s="199">
        <f t="shared" si="130"/>
        <v>0.0230599665085793</v>
      </c>
      <c r="IO76" s="192"/>
      <c r="IP76" s="192"/>
      <c r="IR76" s="8" t="str">
        <f t="shared" si="131"/>
        <v>2026//3/11</v>
      </c>
      <c r="IS76" s="200">
        <v>159189</v>
      </c>
      <c r="IT76" s="12">
        <f t="shared" si="132"/>
        <v>158989</v>
      </c>
      <c r="IU76" s="12">
        <f t="shared" si="133"/>
        <v>200</v>
      </c>
      <c r="IV76" s="199">
        <f t="shared" si="134"/>
        <v>0.00125794866311506</v>
      </c>
      <c r="IW76" s="192"/>
      <c r="IX76" s="192"/>
      <c r="IZ76" s="8" t="str">
        <f t="shared" si="135"/>
        <v>2026//3/11</v>
      </c>
      <c r="JA76" s="200">
        <v>4948729.15</v>
      </c>
      <c r="JB76" s="12">
        <f t="shared" si="136"/>
        <v>4944729.15</v>
      </c>
      <c r="JC76" s="12">
        <f t="shared" si="137"/>
        <v>4000</v>
      </c>
      <c r="JD76" s="199">
        <f t="shared" si="138"/>
        <v>0.000808942184426825</v>
      </c>
      <c r="JE76" s="192"/>
      <c r="JF76" s="192"/>
      <c r="JH76" s="8" t="str">
        <f t="shared" si="139"/>
        <v>2026//3/11</v>
      </c>
      <c r="JI76" s="200">
        <v>1487367.99</v>
      </c>
      <c r="JJ76" s="12">
        <f t="shared" si="140"/>
        <v>1502067.99</v>
      </c>
      <c r="JK76" s="12">
        <f t="shared" si="141"/>
        <v>-14700</v>
      </c>
      <c r="JL76" s="199">
        <f t="shared" si="142"/>
        <v>-0.00978650773324848</v>
      </c>
      <c r="JM76" s="192"/>
      <c r="JN76" s="192"/>
      <c r="JP76" s="8" t="str">
        <f t="shared" si="143"/>
        <v>2026//3/11</v>
      </c>
      <c r="JQ76" s="257">
        <v>1102590.41</v>
      </c>
      <c r="JR76" s="12">
        <f t="shared" si="144"/>
        <v>1111690.41</v>
      </c>
      <c r="JS76" s="12">
        <f t="shared" si="145"/>
        <v>-9100</v>
      </c>
      <c r="JT76" s="199">
        <f t="shared" si="146"/>
        <v>-0.00818573221298185</v>
      </c>
      <c r="JU76" s="192"/>
      <c r="JV76" s="201"/>
      <c r="JX76" s="8" t="str">
        <f t="shared" si="147"/>
        <v>2026//3/11</v>
      </c>
      <c r="JY76" s="200">
        <v>1277898.8</v>
      </c>
      <c r="JZ76" s="12">
        <f t="shared" si="148"/>
        <v>1277898.8</v>
      </c>
      <c r="KA76" s="12">
        <f t="shared" si="149"/>
        <v>0</v>
      </c>
      <c r="KB76" s="199">
        <f t="shared" si="150"/>
        <v>0</v>
      </c>
      <c r="KC76" s="192"/>
      <c r="KD76" s="201"/>
      <c r="KF76" s="8" t="str">
        <f t="shared" si="151"/>
        <v>2026//3/11</v>
      </c>
      <c r="KG76" s="257">
        <v>771755.92</v>
      </c>
      <c r="KH76" s="12">
        <f t="shared" si="152"/>
        <v>776555.92</v>
      </c>
      <c r="KI76" s="12">
        <f t="shared" si="153"/>
        <v>-4800</v>
      </c>
      <c r="KJ76" s="199">
        <f t="shared" si="154"/>
        <v>-0.00618113889338452</v>
      </c>
      <c r="KK76" s="201"/>
      <c r="KL76" s="201"/>
      <c r="KN76" s="8" t="str">
        <f t="shared" si="155"/>
        <v>2026//3/11</v>
      </c>
      <c r="KO76" s="200">
        <v>8060975.95</v>
      </c>
      <c r="KP76" s="12">
        <f t="shared" si="156"/>
        <v>8060975.95</v>
      </c>
      <c r="KQ76" s="12">
        <f t="shared" si="157"/>
        <v>0</v>
      </c>
      <c r="KR76" s="199">
        <f t="shared" si="158"/>
        <v>0</v>
      </c>
      <c r="KS76" s="192"/>
      <c r="KT76" s="192"/>
      <c r="KV76" s="8" t="str">
        <f t="shared" si="159"/>
        <v>2026//3/11</v>
      </c>
      <c r="KW76" s="257">
        <v>1007372.97</v>
      </c>
      <c r="KX76" s="12">
        <f t="shared" si="160"/>
        <v>1007372.97</v>
      </c>
      <c r="KY76" s="12">
        <f t="shared" si="161"/>
        <v>0</v>
      </c>
      <c r="KZ76" s="199">
        <f t="shared" si="162"/>
        <v>0</v>
      </c>
      <c r="LA76" s="201"/>
      <c r="LB76" s="192"/>
      <c r="LD76" s="8" t="str">
        <f t="shared" si="163"/>
        <v>2026//3/11</v>
      </c>
      <c r="LE76" s="200">
        <v>566657.7</v>
      </c>
      <c r="LF76" s="12">
        <f t="shared" si="164"/>
        <v>568057.7</v>
      </c>
      <c r="LG76" s="12">
        <f t="shared" si="165"/>
        <v>-1400</v>
      </c>
      <c r="LH76" s="199">
        <f t="shared" si="166"/>
        <v>-0.00246453837347861</v>
      </c>
      <c r="LI76" s="192"/>
      <c r="LJ76" s="192"/>
      <c r="LL76" s="8" t="str">
        <f t="shared" si="167"/>
        <v>2026//3/11</v>
      </c>
      <c r="LM76" s="198">
        <v>3564835.02</v>
      </c>
      <c r="LN76" s="12">
        <f t="shared" si="168"/>
        <v>3558535.02</v>
      </c>
      <c r="LO76" s="12">
        <f t="shared" si="169"/>
        <v>6300</v>
      </c>
      <c r="LP76" s="199">
        <f t="shared" si="170"/>
        <v>0.00177039145732504</v>
      </c>
      <c r="LQ76" s="192"/>
      <c r="LR76" s="192"/>
      <c r="LT76" s="8" t="str">
        <f t="shared" si="171"/>
        <v>2026//3/11</v>
      </c>
      <c r="LU76" s="257">
        <v>2831862.9</v>
      </c>
      <c r="LV76" s="12">
        <f t="shared" si="172"/>
        <v>2837462.9</v>
      </c>
      <c r="LW76" s="12">
        <f t="shared" si="173"/>
        <v>-5600</v>
      </c>
      <c r="LX76" s="199">
        <f t="shared" si="174"/>
        <v>-0.00197359408646365</v>
      </c>
      <c r="LY76" s="192"/>
      <c r="LZ76" s="192"/>
      <c r="MB76" s="8" t="str">
        <f t="shared" si="175"/>
        <v>2026//3/11</v>
      </c>
      <c r="MC76" s="200">
        <v>763267.69</v>
      </c>
      <c r="MD76" s="12">
        <f t="shared" si="176"/>
        <v>767267.69</v>
      </c>
      <c r="ME76" s="12">
        <f t="shared" si="177"/>
        <v>-4000</v>
      </c>
      <c r="MF76" s="199">
        <f t="shared" si="178"/>
        <v>-0.00521330436838804</v>
      </c>
      <c r="MG76" s="192"/>
      <c r="MH76" s="192"/>
      <c r="MI76" s="8"/>
      <c r="MJ76" s="8"/>
      <c r="MK76" s="8" t="str">
        <f t="shared" si="179"/>
        <v>2026//3/11</v>
      </c>
      <c r="ML76" s="258">
        <v>245865.53</v>
      </c>
      <c r="MM76" s="12">
        <f t="shared" si="180"/>
        <v>248625.53</v>
      </c>
      <c r="MN76" s="12">
        <f t="shared" si="181"/>
        <v>-2760</v>
      </c>
      <c r="MO76" s="199">
        <f t="shared" si="182"/>
        <v>-0.0111010321425961</v>
      </c>
      <c r="MP76" s="192"/>
      <c r="MQ76" s="201"/>
      <c r="MR76" s="201"/>
      <c r="MT76" s="26" t="str">
        <f t="shared" si="183"/>
        <v>2026//3/11</v>
      </c>
      <c r="MU76" s="8">
        <v>472014.8</v>
      </c>
      <c r="MV76" s="204">
        <f t="shared" si="184"/>
        <v>557514.8</v>
      </c>
      <c r="MW76" s="8">
        <f t="shared" si="185"/>
        <v>-85500.0000000001</v>
      </c>
      <c r="MX76" s="192">
        <f t="shared" si="186"/>
        <v>-0.153359157460932</v>
      </c>
      <c r="MY76" s="192"/>
      <c r="MZ76" s="192"/>
      <c r="NA76" s="192"/>
      <c r="NC76" s="26" t="str">
        <f t="shared" si="187"/>
        <v>2026//3/11</v>
      </c>
      <c r="ND76" s="8">
        <v>49091.48</v>
      </c>
      <c r="NE76" s="204">
        <f t="shared" si="188"/>
        <v>49891.48</v>
      </c>
      <c r="NF76" s="8">
        <f t="shared" si="189"/>
        <v>-800</v>
      </c>
      <c r="NG76" s="192">
        <f t="shared" si="190"/>
        <v>-0.0160348019341178</v>
      </c>
      <c r="NH76" s="192"/>
      <c r="NI76" s="192"/>
      <c r="NJ76" s="192"/>
      <c r="NK76" s="192"/>
      <c r="NM76" s="26" t="str">
        <f t="shared" si="191"/>
        <v>2026//3/11</v>
      </c>
      <c r="NN76" s="8">
        <v>2571811.08</v>
      </c>
      <c r="NO76" s="8">
        <f t="shared" si="192"/>
        <v>2583011.08</v>
      </c>
      <c r="NP76" s="210">
        <f t="shared" si="193"/>
        <v>-11200</v>
      </c>
      <c r="NQ76" s="211">
        <f t="shared" si="194"/>
        <v>-0.00433602476068357</v>
      </c>
      <c r="NR76" s="192"/>
      <c r="NU76" s="8" t="str">
        <f t="shared" si="195"/>
        <v>2026//3/11</v>
      </c>
      <c r="NV76" s="8">
        <v>244776.5</v>
      </c>
      <c r="NW76" s="205">
        <f t="shared" si="196"/>
        <v>245126.5</v>
      </c>
      <c r="NX76" s="210">
        <f t="shared" si="197"/>
        <v>-350</v>
      </c>
      <c r="NY76" s="211">
        <f t="shared" si="198"/>
        <v>-0.00142783419989271</v>
      </c>
      <c r="NZ76" s="192"/>
      <c r="OA76" s="8"/>
      <c r="OC76" s="8" t="str">
        <f t="shared" si="199"/>
        <v>2026//3/11</v>
      </c>
      <c r="OD76" s="200">
        <v>12061.97</v>
      </c>
      <c r="OE76" s="12">
        <f t="shared" si="200"/>
        <v>12051.97</v>
      </c>
      <c r="OF76" s="12">
        <f t="shared" si="201"/>
        <v>10</v>
      </c>
      <c r="OG76" s="199">
        <f t="shared" si="202"/>
        <v>0.000829739868253904</v>
      </c>
      <c r="OH76" s="192"/>
      <c r="OI76" s="192"/>
      <c r="OK76" s="8" t="str">
        <f t="shared" si="203"/>
        <v>2026//3/11</v>
      </c>
      <c r="OL76" s="200">
        <v>10834.65</v>
      </c>
      <c r="OM76" s="12">
        <f t="shared" si="204"/>
        <v>10834.65</v>
      </c>
      <c r="ON76" s="12">
        <f t="shared" si="205"/>
        <v>0</v>
      </c>
      <c r="OO76" s="199">
        <f t="shared" si="206"/>
        <v>0</v>
      </c>
      <c r="OP76" s="192"/>
      <c r="OQ76" s="192"/>
      <c r="OT76" s="234" t="str">
        <f t="shared" si="211"/>
        <v>2026//3/11</v>
      </c>
      <c r="OU76" s="206">
        <v>142032.4066</v>
      </c>
      <c r="OV76" s="8">
        <f t="shared" si="208"/>
        <v>141912.4066</v>
      </c>
      <c r="OW76" s="191">
        <f t="shared" si="209"/>
        <v>120</v>
      </c>
      <c r="OX76" s="192">
        <f t="shared" si="210"/>
        <v>0.000845592030147419</v>
      </c>
    </row>
    <row r="77" s="8" customFormat="1" ht="17" customHeight="1" spans="1:414">
      <c r="A77" s="15"/>
      <c r="B77" s="15"/>
      <c r="C77" s="287" t="s">
        <v>506</v>
      </c>
      <c r="D77" s="19">
        <v>4452258.77</v>
      </c>
      <c r="E77" s="19">
        <f t="shared" si="8"/>
        <v>4462158.77</v>
      </c>
      <c r="F77" s="19">
        <f t="shared" si="9"/>
        <v>-9900</v>
      </c>
      <c r="G77" s="172">
        <f t="shared" si="10"/>
        <v>-0.0022186570470239</v>
      </c>
      <c r="H77" s="18"/>
      <c r="I77" s="172"/>
      <c r="J77" s="172"/>
      <c r="K77" s="19" t="str">
        <f t="shared" ref="K77:K140" si="212">C77</f>
        <v>2026//3/10</v>
      </c>
      <c r="L77" s="19">
        <v>3172924.4</v>
      </c>
      <c r="M77" s="19">
        <f t="shared" si="12"/>
        <v>3178594.4</v>
      </c>
      <c r="N77" s="19">
        <f t="shared" si="13"/>
        <v>-5670</v>
      </c>
      <c r="O77" s="172">
        <f t="shared" si="14"/>
        <v>-0.00178380733320363</v>
      </c>
      <c r="P77" s="18"/>
      <c r="Q77" s="172"/>
      <c r="R77" s="19"/>
      <c r="S77" s="19" t="str">
        <f t="shared" ref="S77:S140" si="213">C77</f>
        <v>2026//3/10</v>
      </c>
      <c r="T77" s="19">
        <v>2302806.68</v>
      </c>
      <c r="U77" s="19">
        <f t="shared" si="16"/>
        <v>2277426.68</v>
      </c>
      <c r="V77" s="19">
        <f t="shared" si="17"/>
        <v>25380</v>
      </c>
      <c r="W77" s="172">
        <f t="shared" si="18"/>
        <v>0.0111441567901541</v>
      </c>
      <c r="X77" s="18"/>
      <c r="Y77" s="172"/>
      <c r="Z77" s="19"/>
      <c r="AA77" s="19" t="str">
        <f t="shared" ref="AA77:AA140" si="214">S77</f>
        <v>2026//3/10</v>
      </c>
      <c r="AB77" s="19">
        <v>954296.86</v>
      </c>
      <c r="AC77" s="19">
        <f t="shared" si="20"/>
        <v>941256.86</v>
      </c>
      <c r="AD77" s="19">
        <f t="shared" si="21"/>
        <v>13040</v>
      </c>
      <c r="AE77" s="172">
        <f t="shared" si="22"/>
        <v>0.0138538166935644</v>
      </c>
      <c r="AF77" s="18"/>
      <c r="AG77" s="172"/>
      <c r="AH77" s="19"/>
      <c r="AI77" s="19" t="str">
        <f t="shared" ref="AI77:AI140" si="215">C77</f>
        <v>2026//3/10</v>
      </c>
      <c r="AJ77" s="19">
        <v>773521.76</v>
      </c>
      <c r="AK77" s="19">
        <f t="shared" si="24"/>
        <v>772121.76</v>
      </c>
      <c r="AL77" s="19">
        <f t="shared" si="25"/>
        <v>1400</v>
      </c>
      <c r="AM77" s="172">
        <f t="shared" si="26"/>
        <v>0.00181318552659363</v>
      </c>
      <c r="AN77" s="18"/>
      <c r="AO77" s="18"/>
      <c r="AP77" s="19"/>
      <c r="AQ77" s="19" t="str">
        <f t="shared" ref="AQ77:AQ140" si="216">C77</f>
        <v>2026//3/10</v>
      </c>
      <c r="AR77" s="21">
        <v>1653545.49</v>
      </c>
      <c r="AS77" s="19">
        <f t="shared" si="28"/>
        <v>1725745.49</v>
      </c>
      <c r="AT77" s="19">
        <f t="shared" si="29"/>
        <v>-72200</v>
      </c>
      <c r="AU77" s="172">
        <f t="shared" si="30"/>
        <v>-0.0418369918498237</v>
      </c>
      <c r="AV77" s="18"/>
      <c r="AW77" s="18"/>
      <c r="AX77" s="17"/>
      <c r="AY77" s="17"/>
      <c r="AZ77" s="19" t="str">
        <f t="shared" ref="AZ77:AZ140" si="217">C77</f>
        <v>2026//3/10</v>
      </c>
      <c r="BA77" s="255">
        <v>1987761.66</v>
      </c>
      <c r="BB77" s="205">
        <f t="shared" si="32"/>
        <v>1988931.66</v>
      </c>
      <c r="BC77" s="17">
        <f t="shared" si="33"/>
        <v>-1170</v>
      </c>
      <c r="BD77" s="18">
        <f t="shared" si="34"/>
        <v>-0.000588255505973493</v>
      </c>
      <c r="BE77" s="18"/>
      <c r="BF77" s="18"/>
      <c r="BG77" s="74"/>
      <c r="BH77" s="8" t="str">
        <f t="shared" ref="BH77:BH140" si="218">C77</f>
        <v>2026//3/10</v>
      </c>
      <c r="BI77" s="256">
        <v>1596526.55</v>
      </c>
      <c r="BJ77" s="195">
        <f t="shared" si="36"/>
        <v>1567526.55</v>
      </c>
      <c r="BK77" s="195">
        <f t="shared" si="37"/>
        <v>29000</v>
      </c>
      <c r="BL77" s="196">
        <f t="shared" si="38"/>
        <v>0.0185004840906841</v>
      </c>
      <c r="BM77" s="197"/>
      <c r="BN77" s="192"/>
      <c r="BP77" s="8" t="str">
        <f t="shared" ref="BP77:BP140" si="219">C77</f>
        <v>2026//3/10</v>
      </c>
      <c r="BQ77" s="198">
        <v>1300562.39</v>
      </c>
      <c r="BR77" s="12">
        <f t="shared" si="40"/>
        <v>1306662.39</v>
      </c>
      <c r="BS77" s="12">
        <f t="shared" si="41"/>
        <v>-6100</v>
      </c>
      <c r="BT77" s="199">
        <f t="shared" si="42"/>
        <v>-0.00466838262636457</v>
      </c>
      <c r="BU77" s="192"/>
      <c r="BV77" s="192"/>
      <c r="BX77" s="8" t="str">
        <f t="shared" ref="BX77:BX140" si="220">C77</f>
        <v>2026//3/10</v>
      </c>
      <c r="BY77" s="257">
        <v>3882860.7</v>
      </c>
      <c r="BZ77" s="12">
        <f t="shared" si="44"/>
        <v>3882860.7</v>
      </c>
      <c r="CA77" s="12">
        <f t="shared" si="45"/>
        <v>0</v>
      </c>
      <c r="CB77" s="199">
        <f t="shared" si="46"/>
        <v>0</v>
      </c>
      <c r="CC77" s="192"/>
      <c r="CD77" s="201"/>
      <c r="CF77" s="8" t="str">
        <f t="shared" ref="CF77:CF140" si="221">C77</f>
        <v>2026//3/10</v>
      </c>
      <c r="CG77" s="200">
        <v>1703903.9</v>
      </c>
      <c r="CH77" s="12">
        <f t="shared" si="48"/>
        <v>1702303.9</v>
      </c>
      <c r="CI77" s="12">
        <f t="shared" si="49"/>
        <v>1600</v>
      </c>
      <c r="CJ77" s="199">
        <f t="shared" si="50"/>
        <v>0.0009399026813015</v>
      </c>
      <c r="CK77" s="192"/>
      <c r="CL77" s="201"/>
      <c r="CN77" s="8" t="str">
        <f t="shared" ref="CN77:CN140" si="222">C77</f>
        <v>2026//3/10</v>
      </c>
      <c r="CO77" s="200">
        <v>812746.48</v>
      </c>
      <c r="CP77" s="12">
        <f t="shared" si="52"/>
        <v>810646.48</v>
      </c>
      <c r="CQ77" s="12">
        <f t="shared" si="53"/>
        <v>2100</v>
      </c>
      <c r="CR77" s="199">
        <f t="shared" si="54"/>
        <v>0.00259052503379772</v>
      </c>
      <c r="CS77" s="201"/>
      <c r="CT77" s="201"/>
      <c r="CV77" s="8" t="str">
        <f t="shared" ref="CV77:CV140" si="223">C77</f>
        <v>2026//3/10</v>
      </c>
      <c r="CW77" s="200">
        <v>641390.4</v>
      </c>
      <c r="CX77" s="12">
        <f t="shared" si="56"/>
        <v>638140.4</v>
      </c>
      <c r="CY77" s="12">
        <f t="shared" si="57"/>
        <v>3250</v>
      </c>
      <c r="CZ77" s="199">
        <f t="shared" si="58"/>
        <v>0.00509292312475436</v>
      </c>
      <c r="DA77" s="192"/>
      <c r="DB77" s="192"/>
      <c r="DC77" s="277"/>
      <c r="DD77" s="8" t="str">
        <f t="shared" ref="DD77:DD140" si="224">C77</f>
        <v>2026//3/10</v>
      </c>
      <c r="DE77" s="257">
        <v>2362917.98</v>
      </c>
      <c r="DF77" s="12">
        <f t="shared" si="60"/>
        <v>2386117.98</v>
      </c>
      <c r="DG77" s="12">
        <f t="shared" si="61"/>
        <v>-23200</v>
      </c>
      <c r="DH77" s="199">
        <f t="shared" si="62"/>
        <v>-0.00972290565448067</v>
      </c>
      <c r="DI77" s="192"/>
      <c r="DJ77" s="192"/>
      <c r="DL77" s="8" t="str">
        <f t="shared" ref="DL77:DL140" si="225">C77</f>
        <v>2026//3/10</v>
      </c>
      <c r="DM77" s="200">
        <v>1334900.36</v>
      </c>
      <c r="DN77" s="12">
        <f t="shared" si="64"/>
        <v>1361300.36</v>
      </c>
      <c r="DO77" s="12">
        <f t="shared" si="65"/>
        <v>-26400</v>
      </c>
      <c r="DP77" s="199">
        <f t="shared" si="66"/>
        <v>-0.0193932219337693</v>
      </c>
      <c r="DQ77" s="192"/>
      <c r="DR77" s="192"/>
      <c r="DT77" s="8" t="str">
        <f t="shared" ref="DT77:DT140" si="226">C77</f>
        <v>2026//3/10</v>
      </c>
      <c r="DU77" s="200">
        <v>1716689.48</v>
      </c>
      <c r="DV77" s="12">
        <f t="shared" si="68"/>
        <v>1740389.48</v>
      </c>
      <c r="DW77" s="12">
        <f t="shared" si="69"/>
        <v>-23700</v>
      </c>
      <c r="DX77" s="199">
        <f t="shared" si="70"/>
        <v>-0.0136176414948222</v>
      </c>
      <c r="DY77" s="192"/>
      <c r="DZ77" s="192"/>
      <c r="EB77" s="8" t="str">
        <f t="shared" ref="EB77:EB140" si="227">C77</f>
        <v>2026//3/10</v>
      </c>
      <c r="EC77" s="200">
        <v>4873466.82</v>
      </c>
      <c r="ED77" s="12">
        <f t="shared" si="72"/>
        <v>4937366.82</v>
      </c>
      <c r="EE77" s="12">
        <f t="shared" si="73"/>
        <v>-63900</v>
      </c>
      <c r="EF77" s="199">
        <f t="shared" si="74"/>
        <v>-0.0129421212418647</v>
      </c>
      <c r="EG77" s="192"/>
      <c r="EH77" s="192"/>
      <c r="EJ77" s="8" t="str">
        <f t="shared" ref="EJ77:EJ140" si="228">C77</f>
        <v>2026//3/10</v>
      </c>
      <c r="EK77" s="257">
        <v>1599122.96</v>
      </c>
      <c r="EL77" s="12">
        <f t="shared" si="76"/>
        <v>1611122.96</v>
      </c>
      <c r="EM77" s="12">
        <f t="shared" si="77"/>
        <v>-12000</v>
      </c>
      <c r="EN77" s="199">
        <f t="shared" si="78"/>
        <v>-0.00744822108425542</v>
      </c>
      <c r="EO77" s="192"/>
      <c r="EP77" s="192"/>
      <c r="ER77" s="8" t="str">
        <f t="shared" ref="ER77:ER140" si="229">C77</f>
        <v>2026//3/10</v>
      </c>
      <c r="ES77" s="8">
        <v>548597.02</v>
      </c>
      <c r="ET77" s="12">
        <f t="shared" si="80"/>
        <v>549647.02</v>
      </c>
      <c r="EU77" s="12">
        <f t="shared" si="81"/>
        <v>-1050</v>
      </c>
      <c r="EV77" s="199">
        <f t="shared" si="82"/>
        <v>-0.00191031691575441</v>
      </c>
      <c r="EW77" s="192"/>
      <c r="EX77" s="192"/>
      <c r="EZ77" s="8" t="str">
        <f t="shared" ref="EZ77:EZ140" si="230">C77</f>
        <v>2026//3/10</v>
      </c>
      <c r="FA77" s="200">
        <v>786108</v>
      </c>
      <c r="FB77" s="12">
        <f t="shared" si="84"/>
        <v>795908</v>
      </c>
      <c r="FC77" s="12">
        <f t="shared" si="85"/>
        <v>-9800</v>
      </c>
      <c r="FD77" s="199">
        <f t="shared" si="86"/>
        <v>-0.0123129808972896</v>
      </c>
      <c r="FE77" s="192"/>
      <c r="FF77" s="192"/>
      <c r="FH77" s="8" t="str">
        <f t="shared" ref="FH77:FH140" si="231">C77</f>
        <v>2026//3/10</v>
      </c>
      <c r="FI77" s="198">
        <v>1168295.33</v>
      </c>
      <c r="FJ77" s="12">
        <f t="shared" si="88"/>
        <v>1161595.33</v>
      </c>
      <c r="FK77" s="12">
        <f t="shared" si="89"/>
        <v>6700</v>
      </c>
      <c r="FL77" s="199">
        <f t="shared" si="90"/>
        <v>0.00576792952499215</v>
      </c>
      <c r="FM77" s="201"/>
      <c r="FN77" s="201"/>
      <c r="FP77" s="8" t="str">
        <f t="shared" ref="FP77:FP140" si="232">C77</f>
        <v>2026//3/10</v>
      </c>
      <c r="FQ77" s="200">
        <v>2271568.73</v>
      </c>
      <c r="FR77" s="12">
        <f t="shared" si="92"/>
        <v>2299618.73</v>
      </c>
      <c r="FS77" s="12">
        <f t="shared" si="93"/>
        <v>-28050</v>
      </c>
      <c r="FT77" s="199">
        <f t="shared" si="94"/>
        <v>-0.012197674177058</v>
      </c>
      <c r="FU77" s="192"/>
      <c r="FV77" s="192"/>
      <c r="FX77" s="8" t="str">
        <f t="shared" ref="FX77:FX140" si="233">C77</f>
        <v>2026//3/10</v>
      </c>
      <c r="FY77" s="200">
        <v>8135182.05</v>
      </c>
      <c r="FZ77" s="12">
        <f t="shared" si="96"/>
        <v>8160882.05</v>
      </c>
      <c r="GA77" s="12">
        <f t="shared" si="97"/>
        <v>-25700</v>
      </c>
      <c r="GB77" s="199">
        <f t="shared" si="98"/>
        <v>-0.00314916939646248</v>
      </c>
      <c r="GC77" s="192"/>
      <c r="GD77" s="192"/>
      <c r="GF77" s="8" t="str">
        <f t="shared" ref="GF77:GF140" si="234">C77</f>
        <v>2026//3/10</v>
      </c>
      <c r="GG77" s="200">
        <v>4700469.49</v>
      </c>
      <c r="GH77" s="12">
        <f t="shared" si="100"/>
        <v>4728569.49</v>
      </c>
      <c r="GI77" s="12">
        <f t="shared" si="101"/>
        <v>-28100</v>
      </c>
      <c r="GJ77" s="199">
        <f t="shared" si="102"/>
        <v>-0.0059426006235979</v>
      </c>
      <c r="GK77" s="192"/>
      <c r="GL77" s="192"/>
      <c r="GN77" s="8" t="str">
        <f t="shared" ref="GN77:GN140" si="235">C77</f>
        <v>2026//3/10</v>
      </c>
      <c r="GO77" s="257">
        <v>1818598.12</v>
      </c>
      <c r="GP77" s="12">
        <f t="shared" si="104"/>
        <v>1835938.12</v>
      </c>
      <c r="GQ77" s="12">
        <f t="shared" si="105"/>
        <v>-17340</v>
      </c>
      <c r="GR77" s="199">
        <f t="shared" si="106"/>
        <v>-0.00944476276793033</v>
      </c>
      <c r="GS77" s="192"/>
      <c r="GT77" s="192"/>
      <c r="GV77" s="8" t="str">
        <f t="shared" ref="GV77:GV140" si="236">C77</f>
        <v>2026//3/10</v>
      </c>
      <c r="GW77" s="200">
        <v>1066949.4</v>
      </c>
      <c r="GX77" s="12">
        <f t="shared" si="108"/>
        <v>1053749.4</v>
      </c>
      <c r="GY77" s="12">
        <f t="shared" si="109"/>
        <v>13200</v>
      </c>
      <c r="GZ77" s="199">
        <f t="shared" si="110"/>
        <v>0.0125266975240982</v>
      </c>
      <c r="HA77" s="192">
        <f>(GW77-GW79)/GW79</f>
        <v>0.0560202242907255</v>
      </c>
      <c r="HB77" s="192"/>
      <c r="HD77" s="8" t="str">
        <f t="shared" ref="HD77:HD140" si="237">C77</f>
        <v>2026//3/10</v>
      </c>
      <c r="HE77" s="257">
        <v>1064764.67</v>
      </c>
      <c r="HF77" s="12">
        <f t="shared" si="112"/>
        <v>1062064.67</v>
      </c>
      <c r="HG77" s="12">
        <f t="shared" si="113"/>
        <v>2700</v>
      </c>
      <c r="HH77" s="199">
        <f t="shared" si="114"/>
        <v>0.00254221807415927</v>
      </c>
      <c r="HI77" s="201"/>
      <c r="HJ77" s="192"/>
      <c r="HL77" s="8" t="str">
        <f t="shared" ref="HL77:HL140" si="238">C77</f>
        <v>2026//3/10</v>
      </c>
      <c r="HM77" s="200">
        <v>149454.25</v>
      </c>
      <c r="HN77" s="12">
        <f t="shared" si="116"/>
        <v>142354.25</v>
      </c>
      <c r="HO77" s="12">
        <f t="shared" si="117"/>
        <v>7100</v>
      </c>
      <c r="HP77" s="199">
        <f t="shared" si="118"/>
        <v>0.0498755744911023</v>
      </c>
      <c r="HQ77" s="192"/>
      <c r="HR77" s="192"/>
      <c r="HT77" s="8" t="str">
        <f t="shared" ref="HT77:HT140" si="239">C77</f>
        <v>2026//3/10</v>
      </c>
      <c r="HU77" s="257">
        <v>336868.82</v>
      </c>
      <c r="HV77" s="12">
        <f t="shared" si="120"/>
        <v>333068.82</v>
      </c>
      <c r="HW77" s="12">
        <f t="shared" si="121"/>
        <v>3800</v>
      </c>
      <c r="HX77" s="199">
        <f t="shared" si="122"/>
        <v>0.0114090535403464</v>
      </c>
      <c r="HY77" s="192"/>
      <c r="HZ77" s="192"/>
      <c r="IB77" s="8" t="str">
        <f t="shared" ref="IB77:IB140" si="240">C77</f>
        <v>2026//3/10</v>
      </c>
      <c r="IC77" s="200">
        <v>478784.79</v>
      </c>
      <c r="ID77" s="12">
        <f t="shared" si="124"/>
        <v>479159.79</v>
      </c>
      <c r="IE77" s="12">
        <f t="shared" si="125"/>
        <v>-375</v>
      </c>
      <c r="IF77" s="199">
        <f t="shared" si="126"/>
        <v>-0.000782619927268939</v>
      </c>
      <c r="IG77" s="201"/>
      <c r="IH77" s="192"/>
      <c r="IJ77" s="8" t="str">
        <f t="shared" ref="IJ77:IJ140" si="241">C77</f>
        <v>2026//3/10</v>
      </c>
      <c r="IK77" s="257">
        <v>503036.29</v>
      </c>
      <c r="IL77" s="12">
        <f t="shared" si="128"/>
        <v>503196.29</v>
      </c>
      <c r="IM77" s="12">
        <f t="shared" si="129"/>
        <v>-160</v>
      </c>
      <c r="IN77" s="199">
        <f t="shared" si="130"/>
        <v>-0.000317967368161637</v>
      </c>
      <c r="IO77" s="192"/>
      <c r="IP77" s="192"/>
      <c r="IR77" s="8" t="str">
        <f t="shared" ref="IR77:IR140" si="242">C77</f>
        <v>2026//3/10</v>
      </c>
      <c r="IS77" s="200">
        <v>158989</v>
      </c>
      <c r="IT77" s="12">
        <f t="shared" si="132"/>
        <v>150289</v>
      </c>
      <c r="IU77" s="12">
        <f t="shared" si="133"/>
        <v>8700</v>
      </c>
      <c r="IV77" s="199">
        <f t="shared" si="134"/>
        <v>0.0578884682179002</v>
      </c>
      <c r="IW77" s="192"/>
      <c r="IX77" s="192"/>
      <c r="IZ77" s="8" t="str">
        <f t="shared" ref="IZ77:IZ140" si="243">C77</f>
        <v>2026//3/10</v>
      </c>
      <c r="JA77" s="200">
        <v>4944729.15</v>
      </c>
      <c r="JB77" s="12">
        <f t="shared" si="136"/>
        <v>4940629.15</v>
      </c>
      <c r="JC77" s="12">
        <f t="shared" si="137"/>
        <v>4100</v>
      </c>
      <c r="JD77" s="199">
        <f t="shared" si="138"/>
        <v>0.000829853825397925</v>
      </c>
      <c r="JE77" s="192"/>
      <c r="JF77" s="192"/>
      <c r="JH77" s="8" t="str">
        <f t="shared" ref="JH77:JH140" si="244">C77</f>
        <v>2026//3/10</v>
      </c>
      <c r="JI77" s="200">
        <v>1502067.99</v>
      </c>
      <c r="JJ77" s="12">
        <f t="shared" si="140"/>
        <v>1519107.99</v>
      </c>
      <c r="JK77" s="12">
        <f t="shared" si="141"/>
        <v>-17040</v>
      </c>
      <c r="JL77" s="199">
        <f t="shared" si="142"/>
        <v>-0.0112171090614829</v>
      </c>
      <c r="JM77" s="192"/>
      <c r="JN77" s="192"/>
      <c r="JP77" s="8" t="str">
        <f t="shared" ref="JP77:JP140" si="245">C77</f>
        <v>2026//3/10</v>
      </c>
      <c r="JQ77" s="257">
        <v>1111690.41</v>
      </c>
      <c r="JR77" s="12">
        <f t="shared" si="144"/>
        <v>1116090.41</v>
      </c>
      <c r="JS77" s="12">
        <f t="shared" si="145"/>
        <v>-4400</v>
      </c>
      <c r="JT77" s="199">
        <f t="shared" si="146"/>
        <v>-0.00394233295132426</v>
      </c>
      <c r="JU77" s="192"/>
      <c r="JV77" s="201"/>
      <c r="JX77" s="8" t="str">
        <f t="shared" ref="JX77:JX140" si="246">C77</f>
        <v>2026//3/10</v>
      </c>
      <c r="JY77" s="200">
        <v>1277898.8</v>
      </c>
      <c r="JZ77" s="12">
        <f t="shared" si="148"/>
        <v>1311998.8</v>
      </c>
      <c r="KA77" s="12">
        <f t="shared" si="149"/>
        <v>-34100</v>
      </c>
      <c r="KB77" s="199">
        <f t="shared" si="150"/>
        <v>-0.0259908774306806</v>
      </c>
      <c r="KC77" s="192"/>
      <c r="KD77" s="201"/>
      <c r="KF77" s="8" t="str">
        <f t="shared" ref="KF77:KF140" si="247">C77</f>
        <v>2026//3/10</v>
      </c>
      <c r="KG77" s="257">
        <v>776555.92</v>
      </c>
      <c r="KH77" s="12">
        <f t="shared" si="152"/>
        <v>776555.92</v>
      </c>
      <c r="KI77" s="12">
        <f t="shared" si="153"/>
        <v>0</v>
      </c>
      <c r="KJ77" s="199">
        <f t="shared" si="154"/>
        <v>0</v>
      </c>
      <c r="KK77" s="201"/>
      <c r="KL77" s="201"/>
      <c r="KN77" s="8" t="str">
        <f t="shared" ref="KN77:KN140" si="248">C77</f>
        <v>2026//3/10</v>
      </c>
      <c r="KO77" s="200">
        <v>8060975.95</v>
      </c>
      <c r="KP77" s="12">
        <f t="shared" si="156"/>
        <v>8060975.95</v>
      </c>
      <c r="KQ77" s="12">
        <f t="shared" si="157"/>
        <v>0</v>
      </c>
      <c r="KR77" s="199">
        <f t="shared" si="158"/>
        <v>0</v>
      </c>
      <c r="KS77" s="192"/>
      <c r="KT77" s="192"/>
      <c r="KV77" s="8" t="str">
        <f t="shared" ref="KV77:KV140" si="249">C77</f>
        <v>2026//3/10</v>
      </c>
      <c r="KW77" s="257">
        <v>1007372.97</v>
      </c>
      <c r="KX77" s="12">
        <f t="shared" si="160"/>
        <v>1022372.97</v>
      </c>
      <c r="KY77" s="12">
        <f t="shared" si="161"/>
        <v>-15000</v>
      </c>
      <c r="KZ77" s="199">
        <f t="shared" si="162"/>
        <v>-0.014671749391027</v>
      </c>
      <c r="LA77" s="201"/>
      <c r="LB77" s="192"/>
      <c r="LD77" s="8" t="str">
        <f t="shared" ref="LD77:LD140" si="250">C77</f>
        <v>2026//3/10</v>
      </c>
      <c r="LE77" s="200">
        <v>568057.7</v>
      </c>
      <c r="LF77" s="12">
        <f t="shared" si="164"/>
        <v>565957.7</v>
      </c>
      <c r="LG77" s="12">
        <f t="shared" si="165"/>
        <v>2100</v>
      </c>
      <c r="LH77" s="199">
        <f t="shared" si="166"/>
        <v>0.00371052465581792</v>
      </c>
      <c r="LI77" s="192"/>
      <c r="LJ77" s="192"/>
      <c r="LL77" s="8" t="str">
        <f t="shared" ref="LL77:LL140" si="251">C77</f>
        <v>2026//3/10</v>
      </c>
      <c r="LM77" s="198">
        <v>3558535.02</v>
      </c>
      <c r="LN77" s="12">
        <f t="shared" si="168"/>
        <v>3561055.02</v>
      </c>
      <c r="LO77" s="12">
        <f t="shared" si="169"/>
        <v>-2520</v>
      </c>
      <c r="LP77" s="199">
        <f t="shared" si="170"/>
        <v>-0.000707655452063192</v>
      </c>
      <c r="LQ77" s="192"/>
      <c r="LR77" s="192"/>
      <c r="LT77" s="8" t="str">
        <f t="shared" ref="LT77:LT140" si="252">C77</f>
        <v>2026//3/10</v>
      </c>
      <c r="LU77" s="257">
        <v>2837462.9</v>
      </c>
      <c r="LV77" s="12">
        <f t="shared" si="172"/>
        <v>2832862.9</v>
      </c>
      <c r="LW77" s="12">
        <f t="shared" si="173"/>
        <v>4600</v>
      </c>
      <c r="LX77" s="199">
        <f t="shared" si="174"/>
        <v>0.00162379901971253</v>
      </c>
      <c r="LY77" s="192"/>
      <c r="LZ77" s="192"/>
      <c r="MB77" s="8" t="str">
        <f t="shared" ref="MB77:MB140" si="253">C77</f>
        <v>2026//3/10</v>
      </c>
      <c r="MC77" s="200">
        <v>767267.69</v>
      </c>
      <c r="MD77" s="12">
        <f t="shared" si="176"/>
        <v>786417.69</v>
      </c>
      <c r="ME77" s="12">
        <f t="shared" si="177"/>
        <v>-19150</v>
      </c>
      <c r="MF77" s="199">
        <f t="shared" si="178"/>
        <v>-0.024350927304293</v>
      </c>
      <c r="MG77" s="192"/>
      <c r="MH77" s="192"/>
      <c r="MI77" s="8"/>
      <c r="MJ77" s="8"/>
      <c r="MK77" s="8" t="str">
        <f t="shared" ref="MK77:MK140" si="254">C77</f>
        <v>2026//3/10</v>
      </c>
      <c r="ML77" s="258">
        <v>248625.53</v>
      </c>
      <c r="MM77" s="12">
        <f t="shared" si="180"/>
        <v>248385.53</v>
      </c>
      <c r="MN77" s="12">
        <f t="shared" si="181"/>
        <v>240</v>
      </c>
      <c r="MO77" s="199">
        <f t="shared" si="182"/>
        <v>0.000966239861074033</v>
      </c>
      <c r="MP77" s="192"/>
      <c r="MQ77" s="201"/>
      <c r="MR77" s="201"/>
      <c r="MT77" s="26" t="str">
        <f t="shared" ref="MT77:MT140" si="255">C77</f>
        <v>2026//3/10</v>
      </c>
      <c r="MU77" s="8">
        <v>557514.8</v>
      </c>
      <c r="MV77" s="204">
        <f t="shared" si="184"/>
        <v>619114.8</v>
      </c>
      <c r="MW77" s="8">
        <f t="shared" si="185"/>
        <v>-61600</v>
      </c>
      <c r="MX77" s="192">
        <f t="shared" si="186"/>
        <v>-0.0994968945985462</v>
      </c>
      <c r="MY77" s="192"/>
      <c r="MZ77" s="192"/>
      <c r="NA77" s="192"/>
      <c r="NC77" s="26" t="str">
        <f t="shared" ref="NC77:NC140" si="256">C77</f>
        <v>2026//3/10</v>
      </c>
      <c r="ND77" s="8">
        <v>49891.48</v>
      </c>
      <c r="NE77" s="204">
        <f t="shared" si="188"/>
        <v>49891.48</v>
      </c>
      <c r="NF77" s="8">
        <f t="shared" si="189"/>
        <v>0</v>
      </c>
      <c r="NG77" s="192">
        <f t="shared" si="190"/>
        <v>0</v>
      </c>
      <c r="NH77" s="192"/>
      <c r="NI77" s="192"/>
      <c r="NJ77" s="192"/>
      <c r="NK77" s="192"/>
      <c r="NM77" s="26" t="str">
        <f t="shared" ref="NM77:NM140" si="257">C77</f>
        <v>2026//3/10</v>
      </c>
      <c r="NN77" s="8">
        <v>2583011.08</v>
      </c>
      <c r="NO77" s="8">
        <f t="shared" si="192"/>
        <v>2572911.08</v>
      </c>
      <c r="NP77" s="210">
        <f t="shared" si="193"/>
        <v>10100</v>
      </c>
      <c r="NQ77" s="211">
        <f t="shared" si="194"/>
        <v>0.00392551459648578</v>
      </c>
      <c r="NR77" s="192"/>
      <c r="NU77" s="8" t="str">
        <f t="shared" ref="NU77:NU140" si="258">C77</f>
        <v>2026//3/10</v>
      </c>
      <c r="NV77" s="288">
        <v>245126.5</v>
      </c>
      <c r="NW77" s="205">
        <f t="shared" si="196"/>
        <v>245776.5</v>
      </c>
      <c r="NX77" s="210">
        <f t="shared" si="197"/>
        <v>-650</v>
      </c>
      <c r="NY77" s="211">
        <f t="shared" si="198"/>
        <v>-0.0026446792105836</v>
      </c>
      <c r="NZ77" s="192"/>
      <c r="OA77" s="8"/>
      <c r="OC77" s="8" t="str">
        <f t="shared" ref="OC77:OC140" si="259">C77</f>
        <v>2026//3/10</v>
      </c>
      <c r="OD77" s="200">
        <v>12051.97</v>
      </c>
      <c r="OE77" s="12">
        <f t="shared" si="200"/>
        <v>12468.97</v>
      </c>
      <c r="OF77" s="12">
        <f t="shared" si="201"/>
        <v>-417</v>
      </c>
      <c r="OG77" s="199">
        <f t="shared" si="202"/>
        <v>-0.0334430189502421</v>
      </c>
      <c r="OH77" s="192"/>
      <c r="OI77" s="192"/>
      <c r="OK77" s="8" t="str">
        <f t="shared" ref="OK77:OK140" si="260">C77</f>
        <v>2026//3/10</v>
      </c>
      <c r="OL77" s="200">
        <v>10834.65</v>
      </c>
      <c r="OM77" s="12">
        <f t="shared" si="204"/>
        <v>10834.65</v>
      </c>
      <c r="ON77" s="12">
        <f t="shared" si="205"/>
        <v>0</v>
      </c>
      <c r="OO77" s="199">
        <f t="shared" si="206"/>
        <v>0</v>
      </c>
      <c r="OP77" s="192"/>
      <c r="OQ77" s="192"/>
      <c r="OT77" s="234" t="str">
        <f t="shared" si="211"/>
        <v>2026//3/10</v>
      </c>
      <c r="OU77" s="206">
        <v>141912.4066</v>
      </c>
      <c r="OV77" s="8">
        <f t="shared" si="208"/>
        <v>141792.4066</v>
      </c>
      <c r="OW77" s="191">
        <f t="shared" si="209"/>
        <v>120</v>
      </c>
      <c r="OX77" s="192">
        <f t="shared" si="210"/>
        <v>0.000846307661160749</v>
      </c>
    </row>
    <row r="78" s="8" customFormat="1" ht="17" customHeight="1" spans="1:414">
      <c r="A78" s="15"/>
      <c r="B78" s="15"/>
      <c r="C78" s="287" t="s">
        <v>507</v>
      </c>
      <c r="D78" s="19">
        <v>4462158.77</v>
      </c>
      <c r="E78" s="19">
        <f t="shared" si="8"/>
        <v>4460628.77</v>
      </c>
      <c r="F78" s="19">
        <f t="shared" si="9"/>
        <v>1530</v>
      </c>
      <c r="G78" s="172">
        <f t="shared" si="10"/>
        <v>0.000343000971138874</v>
      </c>
      <c r="H78" s="18"/>
      <c r="I78" s="172"/>
      <c r="J78" s="172"/>
      <c r="K78" s="19" t="str">
        <f t="shared" si="212"/>
        <v>2026//3/9</v>
      </c>
      <c r="L78" s="19">
        <v>3178594.4</v>
      </c>
      <c r="M78" s="19">
        <f t="shared" si="12"/>
        <v>3178594.4</v>
      </c>
      <c r="N78" s="19">
        <f t="shared" si="13"/>
        <v>0</v>
      </c>
      <c r="O78" s="172">
        <f t="shared" si="14"/>
        <v>0</v>
      </c>
      <c r="P78" s="18"/>
      <c r="Q78" s="172"/>
      <c r="R78" s="19"/>
      <c r="S78" s="19" t="str">
        <f t="shared" si="213"/>
        <v>2026//3/9</v>
      </c>
      <c r="T78" s="19">
        <v>2277426.68</v>
      </c>
      <c r="U78" s="19">
        <f t="shared" si="16"/>
        <v>2297676.68</v>
      </c>
      <c r="V78" s="19">
        <f t="shared" si="17"/>
        <v>-20250</v>
      </c>
      <c r="W78" s="172">
        <f t="shared" si="18"/>
        <v>-0.00881325043521789</v>
      </c>
      <c r="X78" s="18"/>
      <c r="Y78" s="172"/>
      <c r="Z78" s="19"/>
      <c r="AA78" s="19" t="str">
        <f t="shared" si="214"/>
        <v>2026//3/9</v>
      </c>
      <c r="AB78" s="19">
        <v>941256.86</v>
      </c>
      <c r="AC78" s="19">
        <f t="shared" si="20"/>
        <v>941016.86</v>
      </c>
      <c r="AD78" s="19">
        <f t="shared" si="21"/>
        <v>240</v>
      </c>
      <c r="AE78" s="172">
        <f t="shared" si="22"/>
        <v>0.000255043251828665</v>
      </c>
      <c r="AF78" s="18"/>
      <c r="AG78" s="172"/>
      <c r="AH78" s="19"/>
      <c r="AI78" s="19" t="str">
        <f t="shared" si="215"/>
        <v>2026//3/9</v>
      </c>
      <c r="AJ78" s="19">
        <v>772121.76</v>
      </c>
      <c r="AK78" s="19">
        <f t="shared" si="24"/>
        <v>778121.76</v>
      </c>
      <c r="AL78" s="19">
        <f t="shared" si="25"/>
        <v>-6000</v>
      </c>
      <c r="AM78" s="172">
        <f t="shared" si="26"/>
        <v>-0.00771087548046465</v>
      </c>
      <c r="AN78" s="18"/>
      <c r="AO78" s="18"/>
      <c r="AP78" s="19"/>
      <c r="AQ78" s="19" t="str">
        <f t="shared" si="216"/>
        <v>2026//3/9</v>
      </c>
      <c r="AR78" s="21">
        <v>1725745.49</v>
      </c>
      <c r="AS78" s="19">
        <f t="shared" si="28"/>
        <v>1731745.49</v>
      </c>
      <c r="AT78" s="19">
        <f t="shared" si="29"/>
        <v>-6000</v>
      </c>
      <c r="AU78" s="172">
        <f t="shared" si="30"/>
        <v>-0.00346471235793431</v>
      </c>
      <c r="AV78" s="18"/>
      <c r="AW78" s="18"/>
      <c r="AX78" s="17"/>
      <c r="AY78" s="17"/>
      <c r="AZ78" s="19" t="str">
        <f t="shared" si="217"/>
        <v>2026//3/9</v>
      </c>
      <c r="BA78" s="255">
        <v>1988931.66</v>
      </c>
      <c r="BB78" s="205">
        <f t="shared" si="32"/>
        <v>1992171.66</v>
      </c>
      <c r="BC78" s="17">
        <f t="shared" si="33"/>
        <v>-3240</v>
      </c>
      <c r="BD78" s="18">
        <f t="shared" si="34"/>
        <v>-0.00162636587250719</v>
      </c>
      <c r="BE78" s="18"/>
      <c r="BF78" s="18"/>
      <c r="BG78" s="74"/>
      <c r="BH78" s="8" t="str">
        <f t="shared" si="218"/>
        <v>2026//3/9</v>
      </c>
      <c r="BI78" s="256">
        <v>1567526.55</v>
      </c>
      <c r="BJ78" s="195">
        <f t="shared" si="36"/>
        <v>1514426.55</v>
      </c>
      <c r="BK78" s="195">
        <f t="shared" si="37"/>
        <v>53100</v>
      </c>
      <c r="BL78" s="196">
        <f t="shared" si="38"/>
        <v>0.0350627767322225</v>
      </c>
      <c r="BM78" s="197"/>
      <c r="BN78" s="192"/>
      <c r="BP78" s="8" t="str">
        <f t="shared" si="219"/>
        <v>2026//3/9</v>
      </c>
      <c r="BQ78" s="198">
        <v>1306662.39</v>
      </c>
      <c r="BR78" s="12">
        <f t="shared" si="40"/>
        <v>1321862.39</v>
      </c>
      <c r="BS78" s="12">
        <f t="shared" si="41"/>
        <v>-15200</v>
      </c>
      <c r="BT78" s="199">
        <f t="shared" si="42"/>
        <v>-0.0114989276606924</v>
      </c>
      <c r="BU78" s="192"/>
      <c r="BV78" s="192"/>
      <c r="BX78" s="8" t="str">
        <f t="shared" si="220"/>
        <v>2026//3/9</v>
      </c>
      <c r="BY78" s="257">
        <v>3882860.7</v>
      </c>
      <c r="BZ78" s="12">
        <f t="shared" si="44"/>
        <v>3827210.7</v>
      </c>
      <c r="CA78" s="12">
        <f t="shared" si="45"/>
        <v>55650</v>
      </c>
      <c r="CB78" s="199">
        <f t="shared" si="46"/>
        <v>0.0145406157021875</v>
      </c>
      <c r="CC78" s="192"/>
      <c r="CD78" s="201"/>
      <c r="CF78" s="8" t="str">
        <f t="shared" si="221"/>
        <v>2026//3/9</v>
      </c>
      <c r="CG78" s="200">
        <v>1702303.9</v>
      </c>
      <c r="CH78" s="12">
        <f t="shared" si="48"/>
        <v>1722153.9</v>
      </c>
      <c r="CI78" s="12">
        <f t="shared" si="49"/>
        <v>-19850</v>
      </c>
      <c r="CJ78" s="199">
        <f t="shared" si="50"/>
        <v>-0.0115262637096487</v>
      </c>
      <c r="CK78" s="192"/>
      <c r="CL78" s="201"/>
      <c r="CN78" s="8" t="str">
        <f t="shared" si="222"/>
        <v>2026//3/9</v>
      </c>
      <c r="CO78" s="262">
        <v>810646.48</v>
      </c>
      <c r="CP78" s="12">
        <f t="shared" si="52"/>
        <v>799246.48</v>
      </c>
      <c r="CQ78" s="12">
        <f t="shared" si="53"/>
        <v>11400</v>
      </c>
      <c r="CR78" s="199">
        <f t="shared" si="54"/>
        <v>0.0142634347291714</v>
      </c>
      <c r="CS78" s="201"/>
      <c r="CT78" s="201"/>
      <c r="CV78" s="8" t="str">
        <f t="shared" si="223"/>
        <v>2026//3/9</v>
      </c>
      <c r="CW78" s="200">
        <v>638140.4</v>
      </c>
      <c r="CX78" s="12">
        <f t="shared" si="56"/>
        <v>635090.4</v>
      </c>
      <c r="CY78" s="12">
        <f t="shared" si="57"/>
        <v>3050</v>
      </c>
      <c r="CZ78" s="199">
        <f t="shared" si="58"/>
        <v>0.0048024659166632</v>
      </c>
      <c r="DA78" s="192"/>
      <c r="DB78" s="192"/>
      <c r="DC78" s="277"/>
      <c r="DD78" s="8" t="str">
        <f t="shared" si="224"/>
        <v>2026//3/9</v>
      </c>
      <c r="DE78" s="257">
        <v>2386117.98</v>
      </c>
      <c r="DF78" s="12">
        <f t="shared" si="60"/>
        <v>2355517.98</v>
      </c>
      <c r="DG78" s="12">
        <f t="shared" si="61"/>
        <v>30600</v>
      </c>
      <c r="DH78" s="199">
        <f t="shared" si="62"/>
        <v>0.0129907732650803</v>
      </c>
      <c r="DI78" s="192"/>
      <c r="DJ78" s="192"/>
      <c r="DL78" s="8" t="str">
        <f t="shared" si="225"/>
        <v>2026//3/9</v>
      </c>
      <c r="DM78" s="200">
        <v>1361300.36</v>
      </c>
      <c r="DN78" s="12">
        <f t="shared" si="64"/>
        <v>1339100.36</v>
      </c>
      <c r="DO78" s="12">
        <f t="shared" si="65"/>
        <v>22200</v>
      </c>
      <c r="DP78" s="199">
        <f t="shared" si="66"/>
        <v>0.016578294400578</v>
      </c>
      <c r="DQ78" s="192"/>
      <c r="DR78" s="192"/>
      <c r="DT78" s="8" t="str">
        <f t="shared" si="226"/>
        <v>2026//3/9</v>
      </c>
      <c r="DU78" s="200">
        <v>1740389.48</v>
      </c>
      <c r="DV78" s="12">
        <f t="shared" si="68"/>
        <v>1733489.48</v>
      </c>
      <c r="DW78" s="12">
        <f t="shared" si="69"/>
        <v>6900</v>
      </c>
      <c r="DX78" s="199">
        <f t="shared" si="70"/>
        <v>0.00398041065700612</v>
      </c>
      <c r="DY78" s="192"/>
      <c r="DZ78" s="192"/>
      <c r="EB78" s="8" t="str">
        <f t="shared" si="227"/>
        <v>2026//3/9</v>
      </c>
      <c r="EC78" s="200">
        <v>4937366.82</v>
      </c>
      <c r="ED78" s="12">
        <f t="shared" si="72"/>
        <v>4899266.82</v>
      </c>
      <c r="EE78" s="12">
        <f t="shared" si="73"/>
        <v>38100</v>
      </c>
      <c r="EF78" s="199">
        <f t="shared" si="74"/>
        <v>0.00777667381667529</v>
      </c>
      <c r="EG78" s="192"/>
      <c r="EH78" s="192"/>
      <c r="EJ78" s="8" t="str">
        <f t="shared" si="228"/>
        <v>2026//3/9</v>
      </c>
      <c r="EK78" s="257">
        <v>1611122.96</v>
      </c>
      <c r="EL78" s="12">
        <f t="shared" si="76"/>
        <v>1602522.96</v>
      </c>
      <c r="EM78" s="12">
        <f t="shared" si="77"/>
        <v>8600</v>
      </c>
      <c r="EN78" s="199">
        <f t="shared" si="78"/>
        <v>0.00536653777490963</v>
      </c>
      <c r="EO78" s="192"/>
      <c r="EP78" s="192"/>
      <c r="ER78" s="8" t="str">
        <f t="shared" si="229"/>
        <v>2026//3/9</v>
      </c>
      <c r="ES78" s="8">
        <v>549647.02</v>
      </c>
      <c r="ET78" s="12">
        <f t="shared" si="80"/>
        <v>546947.02</v>
      </c>
      <c r="EU78" s="12">
        <f t="shared" si="81"/>
        <v>2700</v>
      </c>
      <c r="EV78" s="199">
        <f t="shared" si="82"/>
        <v>0.00493649275207679</v>
      </c>
      <c r="EW78" s="192"/>
      <c r="EX78" s="192"/>
      <c r="EZ78" s="8" t="str">
        <f t="shared" si="230"/>
        <v>2026//3/9</v>
      </c>
      <c r="FA78" s="200">
        <v>795908</v>
      </c>
      <c r="FB78" s="12">
        <f t="shared" si="84"/>
        <v>785808</v>
      </c>
      <c r="FC78" s="12">
        <f t="shared" si="85"/>
        <v>10100</v>
      </c>
      <c r="FD78" s="199">
        <f t="shared" si="86"/>
        <v>0.012853012440698</v>
      </c>
      <c r="FE78" s="192"/>
      <c r="FF78" s="192"/>
      <c r="FH78" s="8" t="str">
        <f t="shared" si="231"/>
        <v>2026//3/9</v>
      </c>
      <c r="FI78" s="198">
        <v>1161595.33</v>
      </c>
      <c r="FJ78" s="12">
        <f t="shared" si="88"/>
        <v>1153295.33</v>
      </c>
      <c r="FK78" s="12">
        <f t="shared" si="89"/>
        <v>8300</v>
      </c>
      <c r="FL78" s="199">
        <f t="shared" si="90"/>
        <v>0.00719676893168379</v>
      </c>
      <c r="FM78" s="201"/>
      <c r="FN78" s="201"/>
      <c r="FP78" s="8" t="str">
        <f t="shared" si="232"/>
        <v>2026//3/9</v>
      </c>
      <c r="FQ78" s="200">
        <v>2299618.73</v>
      </c>
      <c r="FR78" s="12">
        <f t="shared" si="92"/>
        <v>2299768.73</v>
      </c>
      <c r="FS78" s="12">
        <f t="shared" si="93"/>
        <v>-150</v>
      </c>
      <c r="FT78" s="199">
        <f t="shared" si="94"/>
        <v>-6.52239497142828e-5</v>
      </c>
      <c r="FU78" s="192"/>
      <c r="FV78" s="192"/>
      <c r="FX78" s="8" t="str">
        <f t="shared" si="233"/>
        <v>2026//3/9</v>
      </c>
      <c r="FY78" s="200">
        <v>8160882.05</v>
      </c>
      <c r="FZ78" s="12">
        <f t="shared" si="96"/>
        <v>8107982.05</v>
      </c>
      <c r="GA78" s="12">
        <f t="shared" si="97"/>
        <v>52900</v>
      </c>
      <c r="GB78" s="199">
        <f t="shared" si="98"/>
        <v>0.00652443476980811</v>
      </c>
      <c r="GC78" s="192"/>
      <c r="GD78" s="192"/>
      <c r="GF78" s="8" t="str">
        <f t="shared" si="234"/>
        <v>2026//3/9</v>
      </c>
      <c r="GG78" s="200">
        <v>4728569.49</v>
      </c>
      <c r="GH78" s="12">
        <f t="shared" si="100"/>
        <v>4715669.49</v>
      </c>
      <c r="GI78" s="12">
        <f t="shared" si="101"/>
        <v>12900</v>
      </c>
      <c r="GJ78" s="199">
        <f t="shared" si="102"/>
        <v>0.00273556067221327</v>
      </c>
      <c r="GK78" s="192"/>
      <c r="GL78" s="192"/>
      <c r="GN78" s="8" t="str">
        <f t="shared" si="235"/>
        <v>2026//3/9</v>
      </c>
      <c r="GO78" s="257">
        <v>1835938.12</v>
      </c>
      <c r="GP78" s="12">
        <f t="shared" si="104"/>
        <v>1830298.12</v>
      </c>
      <c r="GQ78" s="12">
        <f t="shared" si="105"/>
        <v>5640</v>
      </c>
      <c r="GR78" s="199">
        <f t="shared" si="106"/>
        <v>0.00308146522054014</v>
      </c>
      <c r="GS78" s="192"/>
      <c r="GT78" s="192"/>
      <c r="GV78" s="8" t="str">
        <f t="shared" si="236"/>
        <v>2026//3/9</v>
      </c>
      <c r="GW78" s="200">
        <v>1053749.4</v>
      </c>
      <c r="GX78" s="12">
        <f t="shared" si="108"/>
        <v>1010349.4</v>
      </c>
      <c r="GY78" s="12">
        <f t="shared" si="109"/>
        <v>43399.9999999999</v>
      </c>
      <c r="GZ78" s="199">
        <f t="shared" si="110"/>
        <v>0.0429554370003089</v>
      </c>
      <c r="HA78" s="192"/>
      <c r="HB78" s="192"/>
      <c r="HD78" s="8" t="str">
        <f t="shared" si="237"/>
        <v>2026//3/9</v>
      </c>
      <c r="HE78" s="257">
        <v>1062064.67</v>
      </c>
      <c r="HF78" s="12">
        <f t="shared" si="112"/>
        <v>1064664.67</v>
      </c>
      <c r="HG78" s="12">
        <f t="shared" si="113"/>
        <v>-2600</v>
      </c>
      <c r="HH78" s="199">
        <f t="shared" si="114"/>
        <v>-0.00244208347779588</v>
      </c>
      <c r="HI78" s="201"/>
      <c r="HJ78" s="192"/>
      <c r="HL78" s="8" t="str">
        <f t="shared" si="238"/>
        <v>2026//3/9</v>
      </c>
      <c r="HM78" s="200">
        <v>142354.25</v>
      </c>
      <c r="HN78" s="12">
        <f t="shared" si="116"/>
        <v>145704.25</v>
      </c>
      <c r="HO78" s="12">
        <f t="shared" si="117"/>
        <v>-3350</v>
      </c>
      <c r="HP78" s="199">
        <f t="shared" si="118"/>
        <v>-0.0229917795808976</v>
      </c>
      <c r="HQ78" s="192"/>
      <c r="HR78" s="192"/>
      <c r="HT78" s="8" t="str">
        <f t="shared" si="239"/>
        <v>2026//3/9</v>
      </c>
      <c r="HU78" s="257">
        <v>333068.82</v>
      </c>
      <c r="HV78" s="12">
        <f t="shared" si="120"/>
        <v>342868.82</v>
      </c>
      <c r="HW78" s="12">
        <f t="shared" si="121"/>
        <v>-9800</v>
      </c>
      <c r="HX78" s="199">
        <f t="shared" si="122"/>
        <v>-0.0285823598657936</v>
      </c>
      <c r="HY78" s="192"/>
      <c r="HZ78" s="192"/>
      <c r="IB78" s="8" t="str">
        <f t="shared" si="240"/>
        <v>2026//3/9</v>
      </c>
      <c r="IC78" s="200">
        <v>479159.79</v>
      </c>
      <c r="ID78" s="12">
        <f t="shared" si="124"/>
        <v>487059.79</v>
      </c>
      <c r="IE78" s="12">
        <f t="shared" si="125"/>
        <v>-7900</v>
      </c>
      <c r="IF78" s="199">
        <f t="shared" si="126"/>
        <v>-0.0162197745783942</v>
      </c>
      <c r="IG78" s="201"/>
      <c r="IH78" s="192"/>
      <c r="IJ78" s="8" t="str">
        <f t="shared" si="241"/>
        <v>2026//3/9</v>
      </c>
      <c r="IK78" s="257">
        <v>503196.29</v>
      </c>
      <c r="IL78" s="12">
        <f t="shared" si="128"/>
        <v>473036.29</v>
      </c>
      <c r="IM78" s="12">
        <f t="shared" si="129"/>
        <v>30160</v>
      </c>
      <c r="IN78" s="199">
        <f t="shared" si="130"/>
        <v>0.0637583217981014</v>
      </c>
      <c r="IO78" s="192"/>
      <c r="IP78" s="192"/>
      <c r="IR78" s="8" t="str">
        <f t="shared" si="242"/>
        <v>2026//3/9</v>
      </c>
      <c r="IS78" s="200">
        <v>150289</v>
      </c>
      <c r="IT78" s="12">
        <f t="shared" si="132"/>
        <v>147689</v>
      </c>
      <c r="IU78" s="12">
        <f t="shared" si="133"/>
        <v>2600</v>
      </c>
      <c r="IV78" s="199">
        <f t="shared" si="134"/>
        <v>0.0176045609354793</v>
      </c>
      <c r="IW78" s="192"/>
      <c r="IX78" s="192"/>
      <c r="IZ78" s="8" t="str">
        <f t="shared" si="243"/>
        <v>2026//3/9</v>
      </c>
      <c r="JA78" s="200">
        <v>4940629.15</v>
      </c>
      <c r="JB78" s="12">
        <f t="shared" si="136"/>
        <v>4926029.15</v>
      </c>
      <c r="JC78" s="12">
        <f t="shared" si="137"/>
        <v>14600</v>
      </c>
      <c r="JD78" s="199">
        <f t="shared" si="138"/>
        <v>0.00296384766622828</v>
      </c>
      <c r="JE78" s="192"/>
      <c r="JF78" s="192"/>
      <c r="JH78" s="8" t="str">
        <f t="shared" si="244"/>
        <v>2026//3/9</v>
      </c>
      <c r="JI78" s="200">
        <v>1519107.99</v>
      </c>
      <c r="JJ78" s="12">
        <f t="shared" si="140"/>
        <v>1525467.99</v>
      </c>
      <c r="JK78" s="12">
        <f t="shared" si="141"/>
        <v>-6360</v>
      </c>
      <c r="JL78" s="199">
        <f t="shared" si="142"/>
        <v>-0.00416921236085721</v>
      </c>
      <c r="JM78" s="192"/>
      <c r="JN78" s="192"/>
      <c r="JP78" s="8" t="str">
        <f t="shared" si="245"/>
        <v>2026//3/9</v>
      </c>
      <c r="JQ78" s="257">
        <v>1116090.41</v>
      </c>
      <c r="JR78" s="12">
        <f t="shared" si="144"/>
        <v>1132090.41</v>
      </c>
      <c r="JS78" s="12">
        <f t="shared" si="145"/>
        <v>-16000</v>
      </c>
      <c r="JT78" s="199">
        <f t="shared" si="146"/>
        <v>-0.0141331468393942</v>
      </c>
      <c r="JU78" s="192"/>
      <c r="JV78" s="201"/>
      <c r="JX78" s="8" t="str">
        <f t="shared" si="246"/>
        <v>2026//3/9</v>
      </c>
      <c r="JY78" s="200">
        <v>1311998.8</v>
      </c>
      <c r="JZ78" s="12">
        <f t="shared" si="148"/>
        <v>1312098.8</v>
      </c>
      <c r="KA78" s="12">
        <f t="shared" si="149"/>
        <v>-100</v>
      </c>
      <c r="KB78" s="199">
        <f t="shared" si="150"/>
        <v>-7.62137729262461e-5</v>
      </c>
      <c r="KC78" s="192"/>
      <c r="KD78" s="201"/>
      <c r="KF78" s="8" t="str">
        <f t="shared" si="247"/>
        <v>2026//3/9</v>
      </c>
      <c r="KG78" s="257">
        <v>776555.92</v>
      </c>
      <c r="KH78" s="12">
        <f t="shared" si="152"/>
        <v>776555.92</v>
      </c>
      <c r="KI78" s="12">
        <f t="shared" si="153"/>
        <v>0</v>
      </c>
      <c r="KJ78" s="199">
        <f t="shared" si="154"/>
        <v>0</v>
      </c>
      <c r="KK78" s="201"/>
      <c r="KL78" s="201"/>
      <c r="KN78" s="8" t="str">
        <f t="shared" si="248"/>
        <v>2026//3/9</v>
      </c>
      <c r="KO78" s="200">
        <v>8060975.95</v>
      </c>
      <c r="KP78" s="12">
        <f t="shared" si="156"/>
        <v>7993575.95</v>
      </c>
      <c r="KQ78" s="12">
        <f t="shared" si="157"/>
        <v>67400</v>
      </c>
      <c r="KR78" s="199">
        <f t="shared" si="158"/>
        <v>0.00843177076462256</v>
      </c>
      <c r="KS78" s="192"/>
      <c r="KT78" s="192"/>
      <c r="KV78" s="8" t="str">
        <f t="shared" si="249"/>
        <v>2026//3/9</v>
      </c>
      <c r="KW78" s="257">
        <v>1022372.97</v>
      </c>
      <c r="KX78" s="12">
        <f t="shared" si="160"/>
        <v>1019772.97</v>
      </c>
      <c r="KY78" s="12">
        <f t="shared" si="161"/>
        <v>2600</v>
      </c>
      <c r="KZ78" s="199">
        <f t="shared" si="162"/>
        <v>0.00254958709093849</v>
      </c>
      <c r="LA78" s="201"/>
      <c r="LB78" s="192"/>
      <c r="LD78" s="8" t="str">
        <f t="shared" si="250"/>
        <v>2026//3/9</v>
      </c>
      <c r="LE78" s="200">
        <v>565957.7</v>
      </c>
      <c r="LF78" s="12">
        <f t="shared" si="164"/>
        <v>565707.7</v>
      </c>
      <c r="LG78" s="12">
        <f t="shared" si="165"/>
        <v>250</v>
      </c>
      <c r="LH78" s="199">
        <f t="shared" si="166"/>
        <v>0.000441924336543413</v>
      </c>
      <c r="LI78" s="192"/>
      <c r="LJ78" s="192"/>
      <c r="LL78" s="8" t="str">
        <f t="shared" si="251"/>
        <v>2026//3/9</v>
      </c>
      <c r="LM78" s="198">
        <v>3561055.02</v>
      </c>
      <c r="LN78" s="12">
        <f t="shared" si="168"/>
        <v>3576715.02</v>
      </c>
      <c r="LO78" s="12">
        <f t="shared" si="169"/>
        <v>-15660</v>
      </c>
      <c r="LP78" s="199">
        <f t="shared" si="170"/>
        <v>-0.00437831918742019</v>
      </c>
      <c r="LQ78" s="192"/>
      <c r="LR78" s="192"/>
      <c r="LT78" s="8" t="str">
        <f t="shared" si="252"/>
        <v>2026//3/9</v>
      </c>
      <c r="LU78" s="257">
        <v>2832862.9</v>
      </c>
      <c r="LV78" s="12">
        <f t="shared" si="172"/>
        <v>2850662.9</v>
      </c>
      <c r="LW78" s="12">
        <f t="shared" si="173"/>
        <v>-17800</v>
      </c>
      <c r="LX78" s="199">
        <f t="shared" si="174"/>
        <v>-0.00624416166499378</v>
      </c>
      <c r="LY78" s="192"/>
      <c r="LZ78" s="192"/>
      <c r="MB78" s="8" t="str">
        <f t="shared" si="253"/>
        <v>2026//3/9</v>
      </c>
      <c r="MC78" s="200">
        <v>786417.69</v>
      </c>
      <c r="MD78" s="12">
        <f t="shared" si="176"/>
        <v>831817.69</v>
      </c>
      <c r="ME78" s="12">
        <f t="shared" si="177"/>
        <v>-45400</v>
      </c>
      <c r="MF78" s="199">
        <f t="shared" si="178"/>
        <v>-0.0545792672430422</v>
      </c>
      <c r="MG78" s="192"/>
      <c r="MH78" s="192"/>
      <c r="MI78" s="192"/>
      <c r="MJ78" s="192"/>
      <c r="MK78" s="8" t="str">
        <f t="shared" si="254"/>
        <v>2026//3/9</v>
      </c>
      <c r="ML78" s="258">
        <v>248385.53</v>
      </c>
      <c r="MM78" s="12">
        <f t="shared" si="180"/>
        <v>248745.53</v>
      </c>
      <c r="MN78" s="12">
        <f t="shared" si="181"/>
        <v>-360</v>
      </c>
      <c r="MO78" s="199">
        <f t="shared" si="182"/>
        <v>-0.00144726218798786</v>
      </c>
      <c r="MP78" s="192"/>
      <c r="MQ78" s="201"/>
      <c r="MR78" s="201"/>
      <c r="MT78" s="26" t="str">
        <f t="shared" si="255"/>
        <v>2026//3/9</v>
      </c>
      <c r="MU78" s="8">
        <v>619114.8</v>
      </c>
      <c r="MV78" s="204">
        <f t="shared" si="184"/>
        <v>565414.8</v>
      </c>
      <c r="MW78" s="8">
        <f t="shared" si="185"/>
        <v>53700</v>
      </c>
      <c r="MX78" s="192">
        <f t="shared" si="186"/>
        <v>0.0949745213602474</v>
      </c>
      <c r="MY78" s="192"/>
      <c r="MZ78" s="192"/>
      <c r="NA78" s="192"/>
      <c r="NC78" s="26" t="str">
        <f t="shared" si="256"/>
        <v>2026//3/9</v>
      </c>
      <c r="ND78" s="8">
        <v>49891.48</v>
      </c>
      <c r="NE78" s="204">
        <f t="shared" si="188"/>
        <v>49491.48</v>
      </c>
      <c r="NF78" s="8">
        <f t="shared" si="189"/>
        <v>400</v>
      </c>
      <c r="NG78" s="192">
        <f t="shared" si="190"/>
        <v>0.00808219919873077</v>
      </c>
      <c r="NH78" s="192"/>
      <c r="NI78" s="192"/>
      <c r="NJ78" s="192"/>
      <c r="NK78" s="192"/>
      <c r="NM78" s="26" t="str">
        <f t="shared" si="257"/>
        <v>2026//3/9</v>
      </c>
      <c r="NN78" s="8">
        <v>2572911.08</v>
      </c>
      <c r="NO78" s="8">
        <f t="shared" si="192"/>
        <v>2521011.08</v>
      </c>
      <c r="NP78" s="210">
        <f t="shared" si="193"/>
        <v>51900</v>
      </c>
      <c r="NQ78" s="211">
        <f t="shared" si="194"/>
        <v>0.0205869781421191</v>
      </c>
      <c r="NR78" s="192"/>
      <c r="NU78" s="8" t="str">
        <f t="shared" si="258"/>
        <v>2026//3/9</v>
      </c>
      <c r="NV78" s="8">
        <v>245776.5</v>
      </c>
      <c r="NW78" s="205">
        <f t="shared" si="196"/>
        <v>247026.5</v>
      </c>
      <c r="NX78" s="210">
        <f t="shared" si="197"/>
        <v>-1250</v>
      </c>
      <c r="NY78" s="211">
        <f t="shared" si="198"/>
        <v>-0.00506018585050592</v>
      </c>
      <c r="NZ78" s="192"/>
      <c r="OA78" s="8"/>
      <c r="OC78" s="8" t="str">
        <f t="shared" si="259"/>
        <v>2026//3/9</v>
      </c>
      <c r="OD78" s="200">
        <v>12468.97</v>
      </c>
      <c r="OE78" s="12">
        <f t="shared" si="200"/>
        <v>12475.97</v>
      </c>
      <c r="OF78" s="12">
        <f t="shared" si="201"/>
        <v>-7</v>
      </c>
      <c r="OG78" s="199">
        <f t="shared" si="202"/>
        <v>-0.000561078617534348</v>
      </c>
      <c r="OH78" s="192"/>
      <c r="OI78" s="192"/>
      <c r="OK78" s="8" t="str">
        <f t="shared" si="260"/>
        <v>2026//3/9</v>
      </c>
      <c r="OL78" s="200">
        <v>10834.65</v>
      </c>
      <c r="OM78" s="12">
        <f t="shared" si="204"/>
        <v>10834.65</v>
      </c>
      <c r="ON78" s="12">
        <f t="shared" si="205"/>
        <v>0</v>
      </c>
      <c r="OO78" s="199">
        <f t="shared" si="206"/>
        <v>0</v>
      </c>
      <c r="OP78" s="192"/>
      <c r="OQ78" s="192"/>
      <c r="OT78" s="234" t="str">
        <f t="shared" si="211"/>
        <v>2026//3/9</v>
      </c>
      <c r="OU78" s="206">
        <v>141792.4066</v>
      </c>
      <c r="OV78" s="8">
        <f t="shared" si="208"/>
        <v>141672.4066</v>
      </c>
      <c r="OW78" s="191">
        <f t="shared" si="209"/>
        <v>120</v>
      </c>
      <c r="OX78" s="192">
        <f t="shared" si="210"/>
        <v>0.000847024504488089</v>
      </c>
    </row>
    <row r="79" s="9" customFormat="1" ht="17" customHeight="1" spans="1:414">
      <c r="A79" s="212"/>
      <c r="B79" s="212"/>
      <c r="C79" s="284" t="s">
        <v>508</v>
      </c>
      <c r="D79" s="214">
        <v>4460628.77</v>
      </c>
      <c r="E79" s="214">
        <f t="shared" si="8"/>
        <v>4461258.77</v>
      </c>
      <c r="F79" s="214">
        <f t="shared" si="9"/>
        <v>-630</v>
      </c>
      <c r="G79" s="215">
        <f t="shared" si="10"/>
        <v>-0.000141215749294005</v>
      </c>
      <c r="H79" s="216">
        <f>(D79-D84)/D84</f>
        <v>-0.0220597483438729</v>
      </c>
      <c r="I79" s="215"/>
      <c r="J79" s="215"/>
      <c r="K79" s="214" t="str">
        <f t="shared" si="212"/>
        <v>2026//3/6</v>
      </c>
      <c r="L79" s="214">
        <v>3178594.4</v>
      </c>
      <c r="M79" s="214">
        <f t="shared" si="12"/>
        <v>3176974.4</v>
      </c>
      <c r="N79" s="214">
        <f t="shared" si="13"/>
        <v>1620</v>
      </c>
      <c r="O79" s="215">
        <f t="shared" si="14"/>
        <v>0.000509919123049906</v>
      </c>
      <c r="P79" s="216">
        <f>(L79-L84)/L84</f>
        <v>-0.00574296586776464</v>
      </c>
      <c r="Q79" s="215"/>
      <c r="R79" s="214"/>
      <c r="S79" s="214" t="str">
        <f t="shared" si="213"/>
        <v>2026//3/6</v>
      </c>
      <c r="T79" s="214">
        <v>2297676.68</v>
      </c>
      <c r="U79" s="214">
        <f t="shared" si="16"/>
        <v>2256906.68</v>
      </c>
      <c r="V79" s="214">
        <f t="shared" si="17"/>
        <v>40770</v>
      </c>
      <c r="W79" s="215">
        <f t="shared" si="18"/>
        <v>0.0180645484198753</v>
      </c>
      <c r="X79" s="216">
        <f>(T79-T84)/T84</f>
        <v>-0.0301260420921719</v>
      </c>
      <c r="Y79" s="215"/>
      <c r="Z79" s="214"/>
      <c r="AA79" s="214" t="str">
        <f t="shared" si="214"/>
        <v>2026//3/6</v>
      </c>
      <c r="AB79" s="214">
        <v>941016.86</v>
      </c>
      <c r="AC79" s="214">
        <f t="shared" si="20"/>
        <v>937856.86</v>
      </c>
      <c r="AD79" s="214">
        <f t="shared" si="21"/>
        <v>3160</v>
      </c>
      <c r="AE79" s="215">
        <f t="shared" si="22"/>
        <v>0.00336938410835956</v>
      </c>
      <c r="AF79" s="216">
        <f>(AB79-AB84)/AB84</f>
        <v>-0.0866900947327071</v>
      </c>
      <c r="AG79" s="215"/>
      <c r="AH79" s="214"/>
      <c r="AI79" s="214" t="str">
        <f t="shared" si="215"/>
        <v>2026//3/6</v>
      </c>
      <c r="AJ79" s="214">
        <v>778121.76</v>
      </c>
      <c r="AK79" s="214">
        <f t="shared" si="24"/>
        <v>784321.76</v>
      </c>
      <c r="AL79" s="214">
        <f t="shared" si="25"/>
        <v>-6200</v>
      </c>
      <c r="AM79" s="215">
        <f t="shared" si="26"/>
        <v>-0.00790491902200954</v>
      </c>
      <c r="AN79" s="216">
        <f>(AJ79-AJ84)/AJ84</f>
        <v>-0.129541538400408</v>
      </c>
      <c r="AO79" s="216"/>
      <c r="AP79" s="214"/>
      <c r="AQ79" s="214" t="str">
        <f t="shared" si="216"/>
        <v>2026//3/6</v>
      </c>
      <c r="AR79" s="285">
        <v>1731745.49</v>
      </c>
      <c r="AS79" s="214">
        <f t="shared" si="28"/>
        <v>1727445.49</v>
      </c>
      <c r="AT79" s="214">
        <f t="shared" si="29"/>
        <v>4300</v>
      </c>
      <c r="AU79" s="215">
        <f t="shared" si="30"/>
        <v>0.00248922471064485</v>
      </c>
      <c r="AV79" s="216">
        <f>(AR79-AR84)/AR84</f>
        <v>-0.0562928824178631</v>
      </c>
      <c r="AW79" s="216"/>
      <c r="AX79" s="217"/>
      <c r="AY79" s="217"/>
      <c r="AZ79" s="214" t="str">
        <f t="shared" si="217"/>
        <v>2026//3/6</v>
      </c>
      <c r="BA79" s="286">
        <v>1992171.66</v>
      </c>
      <c r="BB79" s="232">
        <f t="shared" si="32"/>
        <v>1990911.66</v>
      </c>
      <c r="BC79" s="217">
        <f t="shared" si="33"/>
        <v>1260</v>
      </c>
      <c r="BD79" s="216">
        <f t="shared" si="34"/>
        <v>0.000632875895658776</v>
      </c>
      <c r="BE79" s="216">
        <f>(BA79-BA84)/BA84</f>
        <v>-0.00833303798274891</v>
      </c>
      <c r="BF79" s="216"/>
      <c r="BG79" s="219"/>
      <c r="BH79" s="9" t="str">
        <f t="shared" si="218"/>
        <v>2026//3/6</v>
      </c>
      <c r="BI79" s="273">
        <v>1514426.55</v>
      </c>
      <c r="BJ79" s="221">
        <f t="shared" si="36"/>
        <v>1463326.55</v>
      </c>
      <c r="BK79" s="221">
        <f t="shared" si="37"/>
        <v>51100</v>
      </c>
      <c r="BL79" s="222">
        <f t="shared" si="38"/>
        <v>0.0349204352234298</v>
      </c>
      <c r="BM79" s="223">
        <f>(BI79-BI84)/BI84</f>
        <v>0.262520241840416</v>
      </c>
      <c r="BN79" s="224"/>
      <c r="BP79" s="9" t="str">
        <f t="shared" si="219"/>
        <v>2026//3/6</v>
      </c>
      <c r="BQ79" s="225">
        <v>1321862.39</v>
      </c>
      <c r="BR79" s="13">
        <f t="shared" si="40"/>
        <v>1328762.39</v>
      </c>
      <c r="BS79" s="13">
        <f t="shared" si="41"/>
        <v>-6900</v>
      </c>
      <c r="BT79" s="226">
        <f t="shared" si="42"/>
        <v>-0.00519280200277192</v>
      </c>
      <c r="BU79" s="224">
        <f>(BQ79-BQ84)/BQ84</f>
        <v>-0.0319305755466469</v>
      </c>
      <c r="BV79" s="224"/>
      <c r="BX79" s="9" t="str">
        <f t="shared" si="220"/>
        <v>2026//3/6</v>
      </c>
      <c r="BY79" s="274">
        <v>3827210.7</v>
      </c>
      <c r="BZ79" s="13">
        <f t="shared" si="44"/>
        <v>3796010.7</v>
      </c>
      <c r="CA79" s="13">
        <f t="shared" si="45"/>
        <v>31200</v>
      </c>
      <c r="CB79" s="226">
        <f t="shared" si="46"/>
        <v>0.00821915491439473</v>
      </c>
      <c r="CC79" s="224">
        <f>(BY79-BY84)/BY84</f>
        <v>0.014177027401703</v>
      </c>
      <c r="CD79" s="228"/>
      <c r="CF79" s="9" t="str">
        <f t="shared" si="221"/>
        <v>2026//3/6</v>
      </c>
      <c r="CG79" s="227">
        <v>1722153.9</v>
      </c>
      <c r="CH79" s="13">
        <f t="shared" si="48"/>
        <v>1713203.9</v>
      </c>
      <c r="CI79" s="13">
        <f t="shared" si="49"/>
        <v>8950</v>
      </c>
      <c r="CJ79" s="226">
        <f t="shared" si="50"/>
        <v>0.00522413006414473</v>
      </c>
      <c r="CK79" s="224">
        <f>(CG79-CG84)/CG84</f>
        <v>0.0277196943923088</v>
      </c>
      <c r="CL79" s="228"/>
      <c r="CN79" s="9" t="str">
        <f t="shared" si="222"/>
        <v>2026//3/6</v>
      </c>
      <c r="CO79" s="227">
        <v>799246.48</v>
      </c>
      <c r="CP79" s="13">
        <f t="shared" si="52"/>
        <v>789146.48</v>
      </c>
      <c r="CQ79" s="13">
        <f t="shared" si="53"/>
        <v>10100</v>
      </c>
      <c r="CR79" s="226">
        <f t="shared" si="54"/>
        <v>0.0127986378397075</v>
      </c>
      <c r="CS79" s="228">
        <f>(CO79-CO84)/CO84</f>
        <v>0.0785375837693744</v>
      </c>
      <c r="CT79" s="228"/>
      <c r="CV79" s="9" t="str">
        <f t="shared" si="223"/>
        <v>2026//3/6</v>
      </c>
      <c r="CW79" s="227">
        <v>635090.4</v>
      </c>
      <c r="CX79" s="13">
        <f t="shared" si="56"/>
        <v>631790.4</v>
      </c>
      <c r="CY79" s="13">
        <f t="shared" si="57"/>
        <v>3300</v>
      </c>
      <c r="CZ79" s="226">
        <f t="shared" si="58"/>
        <v>0.00522325125547967</v>
      </c>
      <c r="DA79" s="224">
        <f>(CW79-CW84)/CW84</f>
        <v>0.0709960903245651</v>
      </c>
      <c r="DB79" s="224"/>
      <c r="DC79" s="276"/>
      <c r="DD79" s="9" t="str">
        <f t="shared" si="224"/>
        <v>2026//3/6</v>
      </c>
      <c r="DE79" s="274">
        <v>2355517.98</v>
      </c>
      <c r="DF79" s="13">
        <f t="shared" si="60"/>
        <v>2331517.98</v>
      </c>
      <c r="DG79" s="13">
        <f t="shared" si="61"/>
        <v>24000</v>
      </c>
      <c r="DH79" s="226">
        <f t="shared" si="62"/>
        <v>0.0102937228903549</v>
      </c>
      <c r="DI79" s="224">
        <f>(DE79-DE84)/DE84</f>
        <v>-0.0113325482647564</v>
      </c>
      <c r="DJ79" s="224"/>
      <c r="DL79" s="9" t="str">
        <f t="shared" si="225"/>
        <v>2026//3/6</v>
      </c>
      <c r="DM79" s="227">
        <v>1339100.36</v>
      </c>
      <c r="DN79" s="13">
        <f t="shared" si="64"/>
        <v>1340500.36</v>
      </c>
      <c r="DO79" s="13">
        <f t="shared" si="65"/>
        <v>-1400</v>
      </c>
      <c r="DP79" s="226">
        <f t="shared" si="66"/>
        <v>-0.0010443861424998</v>
      </c>
      <c r="DQ79" s="224">
        <f>(DM79-DM84)/DM84</f>
        <v>-0.011369506022132</v>
      </c>
      <c r="DR79" s="224"/>
      <c r="DT79" s="9" t="str">
        <f t="shared" si="226"/>
        <v>2026//3/6</v>
      </c>
      <c r="DU79" s="227">
        <v>1733489.48</v>
      </c>
      <c r="DV79" s="13">
        <f t="shared" si="68"/>
        <v>1738889.48</v>
      </c>
      <c r="DW79" s="13">
        <f t="shared" si="69"/>
        <v>-5400</v>
      </c>
      <c r="DX79" s="226">
        <f t="shared" si="70"/>
        <v>-0.0031054302542563</v>
      </c>
      <c r="DY79" s="224">
        <f>(DU79-DU84)/DU84</f>
        <v>-0.0264519141155434</v>
      </c>
      <c r="DZ79" s="224"/>
      <c r="EB79" s="9" t="str">
        <f t="shared" si="227"/>
        <v>2026//3/6</v>
      </c>
      <c r="EC79" s="227">
        <v>4899266.82</v>
      </c>
      <c r="ED79" s="13">
        <f t="shared" si="72"/>
        <v>4899566.82</v>
      </c>
      <c r="EE79" s="13">
        <f t="shared" si="73"/>
        <v>-300</v>
      </c>
      <c r="EF79" s="226">
        <f t="shared" si="74"/>
        <v>-6.12299027692411e-5</v>
      </c>
      <c r="EG79" s="224">
        <f>(EC79-EC84)/EC84</f>
        <v>-0.001955644826396</v>
      </c>
      <c r="EH79" s="224"/>
      <c r="EJ79" s="9" t="str">
        <f t="shared" si="228"/>
        <v>2026//3/6</v>
      </c>
      <c r="EK79" s="274">
        <v>1602522.96</v>
      </c>
      <c r="EL79" s="13">
        <f t="shared" si="76"/>
        <v>1600722.96</v>
      </c>
      <c r="EM79" s="13">
        <f t="shared" si="77"/>
        <v>1800</v>
      </c>
      <c r="EN79" s="226">
        <f t="shared" si="78"/>
        <v>0.00112449189833574</v>
      </c>
      <c r="EO79" s="224">
        <f>(EK79-EK84)/EK84</f>
        <v>-0.0213737461122377</v>
      </c>
      <c r="EP79" s="224"/>
      <c r="ER79" s="9" t="str">
        <f t="shared" si="229"/>
        <v>2026//3/6</v>
      </c>
      <c r="ES79" s="9">
        <v>546947.02</v>
      </c>
      <c r="ET79" s="13">
        <f t="shared" si="80"/>
        <v>547097.02</v>
      </c>
      <c r="EU79" s="13">
        <f t="shared" si="81"/>
        <v>-150</v>
      </c>
      <c r="EV79" s="226">
        <f t="shared" si="82"/>
        <v>-0.000274174405117396</v>
      </c>
      <c r="EW79" s="224">
        <f>(ES79-ES84)/ES84</f>
        <v>-0.00950747615407269</v>
      </c>
      <c r="EX79" s="224"/>
      <c r="EZ79" s="9" t="str">
        <f t="shared" si="230"/>
        <v>2026//3/6</v>
      </c>
      <c r="FA79" s="227">
        <v>785808</v>
      </c>
      <c r="FB79" s="13">
        <f t="shared" si="84"/>
        <v>786108</v>
      </c>
      <c r="FC79" s="13">
        <f t="shared" si="85"/>
        <v>-300</v>
      </c>
      <c r="FD79" s="226">
        <f t="shared" si="86"/>
        <v>-0.00038162695202186</v>
      </c>
      <c r="FE79" s="224">
        <f>(FA79-FA84)/FA84</f>
        <v>0.0991735999597151</v>
      </c>
      <c r="FF79" s="224"/>
      <c r="FH79" s="9" t="str">
        <f t="shared" si="231"/>
        <v>2026//3/6</v>
      </c>
      <c r="FI79" s="225">
        <v>1153295.33</v>
      </c>
      <c r="FJ79" s="13">
        <f t="shared" si="88"/>
        <v>1140295.33</v>
      </c>
      <c r="FK79" s="13">
        <f t="shared" si="89"/>
        <v>13000</v>
      </c>
      <c r="FL79" s="226">
        <f t="shared" si="90"/>
        <v>0.0114005553280658</v>
      </c>
      <c r="FM79" s="228">
        <f>(FI79-FI84)/FI84</f>
        <v>0.0603110063918358</v>
      </c>
      <c r="FN79" s="228"/>
      <c r="FP79" s="9" t="str">
        <f t="shared" si="232"/>
        <v>2026//3/6</v>
      </c>
      <c r="FQ79" s="227">
        <v>2299768.73</v>
      </c>
      <c r="FR79" s="13">
        <f t="shared" si="92"/>
        <v>2304268.73</v>
      </c>
      <c r="FS79" s="13">
        <f t="shared" si="93"/>
        <v>-4500</v>
      </c>
      <c r="FT79" s="226">
        <f t="shared" si="94"/>
        <v>-0.00195289722132366</v>
      </c>
      <c r="FU79" s="224">
        <f>(FQ79-FQ84)/FQ84</f>
        <v>-0.0523524886426107</v>
      </c>
      <c r="FV79" s="224"/>
      <c r="FX79" s="9" t="str">
        <f t="shared" si="233"/>
        <v>2026//3/6</v>
      </c>
      <c r="FY79" s="227">
        <v>8107982.05</v>
      </c>
      <c r="FZ79" s="13">
        <f t="shared" si="96"/>
        <v>8137382.05</v>
      </c>
      <c r="GA79" s="13">
        <f t="shared" si="97"/>
        <v>-29400</v>
      </c>
      <c r="GB79" s="226">
        <f t="shared" si="98"/>
        <v>-0.00361295559423808</v>
      </c>
      <c r="GC79" s="224">
        <f>(FY79-FY84)/FY84</f>
        <v>0.0295220024023799</v>
      </c>
      <c r="GD79" s="224"/>
      <c r="GF79" s="9" t="str">
        <f t="shared" si="234"/>
        <v>2026//3/6</v>
      </c>
      <c r="GG79" s="227">
        <v>4715669.49</v>
      </c>
      <c r="GH79" s="13">
        <f t="shared" si="100"/>
        <v>4748169.49</v>
      </c>
      <c r="GI79" s="13">
        <f t="shared" si="101"/>
        <v>-32500</v>
      </c>
      <c r="GJ79" s="226">
        <f t="shared" si="102"/>
        <v>-0.00684474302538008</v>
      </c>
      <c r="GK79" s="224">
        <f>(GG79-GG84)/GG84</f>
        <v>0.018136009095934</v>
      </c>
      <c r="GL79" s="224"/>
      <c r="GN79" s="9" t="str">
        <f t="shared" si="235"/>
        <v>2026//3/6</v>
      </c>
      <c r="GO79" s="274">
        <v>1830298.12</v>
      </c>
      <c r="GP79" s="13">
        <f t="shared" si="104"/>
        <v>1831798.12</v>
      </c>
      <c r="GQ79" s="13">
        <f t="shared" si="105"/>
        <v>-1500</v>
      </c>
      <c r="GR79" s="226">
        <f t="shared" si="106"/>
        <v>-0.000818867528917433</v>
      </c>
      <c r="GS79" s="224">
        <f>(GO79-GO84)/GO84</f>
        <v>0.0210195353821371</v>
      </c>
      <c r="GT79" s="224"/>
      <c r="GV79" s="9" t="str">
        <f t="shared" si="236"/>
        <v>2026//3/6</v>
      </c>
      <c r="GW79" s="227">
        <v>1010349.4</v>
      </c>
      <c r="GX79" s="13">
        <f t="shared" si="108"/>
        <v>1002749.4</v>
      </c>
      <c r="GY79" s="13">
        <f t="shared" si="109"/>
        <v>7600</v>
      </c>
      <c r="GZ79" s="226">
        <f t="shared" si="110"/>
        <v>0.007579161852403</v>
      </c>
      <c r="HA79" s="224">
        <f>(GW79-GW84)/GW84</f>
        <v>-0.0103824930011223</v>
      </c>
      <c r="HB79" s="224"/>
      <c r="HD79" s="9" t="str">
        <f t="shared" si="237"/>
        <v>2026//3/6</v>
      </c>
      <c r="HE79" s="274">
        <v>1064664.67</v>
      </c>
      <c r="HF79" s="13">
        <f t="shared" si="112"/>
        <v>1073064.67</v>
      </c>
      <c r="HG79" s="13">
        <f t="shared" si="113"/>
        <v>-8400</v>
      </c>
      <c r="HH79" s="226">
        <f t="shared" si="114"/>
        <v>-0.00782804637487506</v>
      </c>
      <c r="HI79" s="228">
        <f>(HE79-HE84)/HE84</f>
        <v>-0.0562861093673497</v>
      </c>
      <c r="HJ79" s="224"/>
      <c r="HL79" s="9" t="str">
        <f t="shared" si="238"/>
        <v>2026//3/6</v>
      </c>
      <c r="HM79" s="227">
        <v>145704.25</v>
      </c>
      <c r="HN79" s="13">
        <f t="shared" si="116"/>
        <v>150254.25</v>
      </c>
      <c r="HO79" s="13">
        <f t="shared" si="117"/>
        <v>-4550</v>
      </c>
      <c r="HP79" s="226">
        <f t="shared" si="118"/>
        <v>-0.0302820053342917</v>
      </c>
      <c r="HQ79" s="224">
        <f>(HM79-HM84)/HM84</f>
        <v>-0.0740367673577295</v>
      </c>
      <c r="HR79" s="224"/>
      <c r="HT79" s="9" t="str">
        <f t="shared" si="239"/>
        <v>2026//3/6</v>
      </c>
      <c r="HU79" s="274">
        <v>342868.82</v>
      </c>
      <c r="HV79" s="13">
        <f t="shared" si="120"/>
        <v>332768.82</v>
      </c>
      <c r="HW79" s="13">
        <f t="shared" si="121"/>
        <v>10100</v>
      </c>
      <c r="HX79" s="226">
        <f t="shared" si="122"/>
        <v>0.0303514013121782</v>
      </c>
      <c r="HY79" s="224">
        <f>(HU79-HU84)/HU84</f>
        <v>-0.0437851790905857</v>
      </c>
      <c r="HZ79" s="224"/>
      <c r="IB79" s="9" t="str">
        <f t="shared" si="240"/>
        <v>2026//3/6</v>
      </c>
      <c r="IC79" s="227">
        <v>487059.79</v>
      </c>
      <c r="ID79" s="13">
        <f t="shared" si="124"/>
        <v>488709.79</v>
      </c>
      <c r="IE79" s="13">
        <f t="shared" si="125"/>
        <v>-1650</v>
      </c>
      <c r="IF79" s="226">
        <f t="shared" si="126"/>
        <v>-0.00337623684600221</v>
      </c>
      <c r="IG79" s="228">
        <f>(IC79-IC84)/IC84</f>
        <v>-0.0240452151033847</v>
      </c>
      <c r="IH79" s="224"/>
      <c r="IJ79" s="9" t="str">
        <f t="shared" si="241"/>
        <v>2026//3/6</v>
      </c>
      <c r="IK79" s="274">
        <v>473036.29</v>
      </c>
      <c r="IL79" s="13">
        <f t="shared" si="128"/>
        <v>459196.29</v>
      </c>
      <c r="IM79" s="13">
        <f t="shared" si="129"/>
        <v>13840</v>
      </c>
      <c r="IN79" s="226">
        <f t="shared" si="130"/>
        <v>0.0301396163283462</v>
      </c>
      <c r="IO79" s="224">
        <f>(IK79-IK84)/IK84</f>
        <v>0.183311687228236</v>
      </c>
      <c r="IP79" s="224"/>
      <c r="IR79" s="9" t="str">
        <f t="shared" si="242"/>
        <v>2026//3/6</v>
      </c>
      <c r="IS79" s="227">
        <v>147689</v>
      </c>
      <c r="IT79" s="13">
        <f t="shared" si="132"/>
        <v>148989</v>
      </c>
      <c r="IU79" s="13">
        <f t="shared" si="133"/>
        <v>-1300</v>
      </c>
      <c r="IV79" s="226">
        <f t="shared" si="134"/>
        <v>-0.00872547637745068</v>
      </c>
      <c r="IW79" s="224">
        <f>(IS79-IS84)/IS84</f>
        <v>-0.0501643203056165</v>
      </c>
      <c r="IX79" s="224"/>
      <c r="IZ79" s="9" t="str">
        <f t="shared" si="243"/>
        <v>2026//3/6</v>
      </c>
      <c r="JA79" s="227">
        <v>4926029.15</v>
      </c>
      <c r="JB79" s="13">
        <f t="shared" si="136"/>
        <v>4951929.15</v>
      </c>
      <c r="JC79" s="13">
        <f t="shared" si="137"/>
        <v>-25900</v>
      </c>
      <c r="JD79" s="226">
        <f t="shared" si="138"/>
        <v>-0.00523028484767396</v>
      </c>
      <c r="JE79" s="224">
        <f>(JA79-JA84)/JA84</f>
        <v>0.0045270745209384</v>
      </c>
      <c r="JF79" s="224"/>
      <c r="JH79" s="9" t="str">
        <f t="shared" si="244"/>
        <v>2026//3/6</v>
      </c>
      <c r="JI79" s="227">
        <v>1525467.99</v>
      </c>
      <c r="JJ79" s="13">
        <f t="shared" si="140"/>
        <v>1528167.99</v>
      </c>
      <c r="JK79" s="13">
        <f t="shared" si="141"/>
        <v>-2700</v>
      </c>
      <c r="JL79" s="226">
        <f t="shared" si="142"/>
        <v>-0.00176682146051234</v>
      </c>
      <c r="JM79" s="224">
        <f>(JI79-JI84)/JI84</f>
        <v>0.0301870382813988</v>
      </c>
      <c r="JN79" s="224"/>
      <c r="JP79" s="9" t="str">
        <f t="shared" si="245"/>
        <v>2026//3/6</v>
      </c>
      <c r="JQ79" s="274">
        <v>1132090.41</v>
      </c>
      <c r="JR79" s="13">
        <f t="shared" si="144"/>
        <v>1148590.41</v>
      </c>
      <c r="JS79" s="13">
        <f t="shared" si="145"/>
        <v>-16500</v>
      </c>
      <c r="JT79" s="226">
        <f t="shared" si="146"/>
        <v>-0.0143654342369096</v>
      </c>
      <c r="JU79" s="224">
        <f>(JQ79-JQ84)/JQ84</f>
        <v>-0.0799681161269676</v>
      </c>
      <c r="JV79" s="228"/>
      <c r="JX79" s="9" t="str">
        <f t="shared" si="246"/>
        <v>2026//3/6</v>
      </c>
      <c r="JY79" s="227">
        <v>1312098.8</v>
      </c>
      <c r="JZ79" s="13">
        <f t="shared" si="148"/>
        <v>1312148.8</v>
      </c>
      <c r="KA79" s="13">
        <f t="shared" si="149"/>
        <v>-50</v>
      </c>
      <c r="KB79" s="226">
        <f t="shared" si="150"/>
        <v>-3.81054343836614e-5</v>
      </c>
      <c r="KC79" s="224">
        <f>(JY79-JY84)/JY84</f>
        <v>0.00278956272496104</v>
      </c>
      <c r="KD79" s="228"/>
      <c r="KF79" s="9" t="str">
        <f t="shared" si="247"/>
        <v>2026//3/6</v>
      </c>
      <c r="KG79" s="274">
        <v>776555.92</v>
      </c>
      <c r="KH79" s="13">
        <f t="shared" si="152"/>
        <v>790755.92</v>
      </c>
      <c r="KI79" s="13">
        <f t="shared" si="153"/>
        <v>-14200</v>
      </c>
      <c r="KJ79" s="226">
        <f t="shared" si="154"/>
        <v>-0.0179575007165296</v>
      </c>
      <c r="KK79" s="228">
        <f>(KG79-KG84)/KG84</f>
        <v>-0.0294942515703689</v>
      </c>
      <c r="KL79" s="228"/>
      <c r="KN79" s="9" t="str">
        <f t="shared" si="248"/>
        <v>2026//3/6</v>
      </c>
      <c r="KO79" s="227">
        <v>7993575.95</v>
      </c>
      <c r="KP79" s="13">
        <f t="shared" si="156"/>
        <v>7993475.95</v>
      </c>
      <c r="KQ79" s="13">
        <f t="shared" si="157"/>
        <v>100</v>
      </c>
      <c r="KR79" s="226">
        <f t="shared" si="158"/>
        <v>1.25102021480405e-5</v>
      </c>
      <c r="KS79" s="224">
        <f>(KO79-KO84)/KO84</f>
        <v>0.0276928680174688</v>
      </c>
      <c r="KT79" s="224"/>
      <c r="KV79" s="9" t="str">
        <f t="shared" si="249"/>
        <v>2026//3/6</v>
      </c>
      <c r="KW79" s="274">
        <v>1019772.97</v>
      </c>
      <c r="KX79" s="13">
        <f t="shared" si="160"/>
        <v>1024372.97</v>
      </c>
      <c r="KY79" s="13">
        <f t="shared" si="161"/>
        <v>-4600</v>
      </c>
      <c r="KZ79" s="226">
        <f t="shared" si="162"/>
        <v>-0.00449055191294241</v>
      </c>
      <c r="LA79" s="228">
        <f>(KW79-KW84)/KW84</f>
        <v>0.00661354137204944</v>
      </c>
      <c r="LB79" s="224"/>
      <c r="LD79" s="9" t="str">
        <f t="shared" si="250"/>
        <v>2026//3/6</v>
      </c>
      <c r="LE79" s="227">
        <v>565707.7</v>
      </c>
      <c r="LF79" s="13">
        <f t="shared" si="164"/>
        <v>560507.7</v>
      </c>
      <c r="LG79" s="13">
        <f t="shared" si="165"/>
        <v>5200</v>
      </c>
      <c r="LH79" s="226">
        <f t="shared" si="166"/>
        <v>0.00927730341617073</v>
      </c>
      <c r="LI79" s="224">
        <f>(LE79-LE84)/LE84</f>
        <v>0.201568496012278</v>
      </c>
      <c r="LJ79" s="224"/>
      <c r="LL79" s="9" t="str">
        <f t="shared" si="251"/>
        <v>2026//3/6</v>
      </c>
      <c r="LM79" s="225">
        <v>3576715.02</v>
      </c>
      <c r="LN79" s="13">
        <f t="shared" si="168"/>
        <v>3521275.02</v>
      </c>
      <c r="LO79" s="13">
        <f t="shared" si="169"/>
        <v>55440</v>
      </c>
      <c r="LP79" s="226">
        <f t="shared" si="170"/>
        <v>0.0157442970756655</v>
      </c>
      <c r="LQ79" s="224">
        <f>(LM79-LM84)/LM84</f>
        <v>0.0403127874412997</v>
      </c>
      <c r="LR79" s="224"/>
      <c r="LT79" s="9" t="str">
        <f t="shared" si="252"/>
        <v>2026//3/6</v>
      </c>
      <c r="LU79" s="274">
        <v>2850662.9</v>
      </c>
      <c r="LV79" s="13">
        <f t="shared" si="172"/>
        <v>2828662.9</v>
      </c>
      <c r="LW79" s="13">
        <f t="shared" si="173"/>
        <v>22000</v>
      </c>
      <c r="LX79" s="226">
        <f t="shared" si="174"/>
        <v>0.0077775262651481</v>
      </c>
      <c r="LY79" s="224">
        <f>(LU79-LU84)/LU84</f>
        <v>0.0119273162129252</v>
      </c>
      <c r="LZ79" s="224"/>
      <c r="MB79" s="9" t="str">
        <f t="shared" si="253"/>
        <v>2026//3/6</v>
      </c>
      <c r="MC79" s="227">
        <v>831817.69</v>
      </c>
      <c r="MD79" s="13">
        <f t="shared" si="176"/>
        <v>835967.69</v>
      </c>
      <c r="ME79" s="13">
        <f t="shared" si="177"/>
        <v>-4150</v>
      </c>
      <c r="MF79" s="226">
        <f t="shared" si="178"/>
        <v>-0.0049643066946762</v>
      </c>
      <c r="MG79" s="224">
        <f>(MC79-MC84)/MC84</f>
        <v>0.0630017706053393</v>
      </c>
      <c r="MH79" s="224"/>
      <c r="MI79" s="224"/>
      <c r="MJ79" s="224"/>
      <c r="MK79" s="9" t="str">
        <f t="shared" si="254"/>
        <v>2026//3/6</v>
      </c>
      <c r="ML79" s="275">
        <v>248745.53</v>
      </c>
      <c r="MM79" s="13">
        <f t="shared" si="180"/>
        <v>248025.53</v>
      </c>
      <c r="MN79" s="13">
        <f t="shared" si="181"/>
        <v>720</v>
      </c>
      <c r="MO79" s="226">
        <f t="shared" si="182"/>
        <v>0.00290292696884873</v>
      </c>
      <c r="MP79" s="224">
        <f>(ML79-ML84)/ML84</f>
        <v>-0.0240126626774519</v>
      </c>
      <c r="MQ79" s="228"/>
      <c r="MR79" s="228"/>
      <c r="MT79" s="233" t="str">
        <f t="shared" si="255"/>
        <v>2026//3/6</v>
      </c>
      <c r="MU79" s="9">
        <v>565414.8</v>
      </c>
      <c r="MV79" s="231">
        <f t="shared" si="184"/>
        <v>688114.8</v>
      </c>
      <c r="MW79" s="9">
        <f t="shared" si="185"/>
        <v>-122700</v>
      </c>
      <c r="MX79" s="224">
        <f t="shared" si="186"/>
        <v>-0.178313269820675</v>
      </c>
      <c r="MY79" s="224">
        <f>(MU79-MU84)/MU84</f>
        <v>1.76601423574591</v>
      </c>
      <c r="MZ79" s="224"/>
      <c r="NA79" s="224"/>
      <c r="NC79" s="233" t="str">
        <f t="shared" si="256"/>
        <v>2026//3/6</v>
      </c>
      <c r="ND79" s="9">
        <v>49491.48</v>
      </c>
      <c r="NE79" s="231">
        <f t="shared" si="188"/>
        <v>49691.48</v>
      </c>
      <c r="NF79" s="9">
        <f t="shared" si="189"/>
        <v>-200</v>
      </c>
      <c r="NG79" s="224">
        <f t="shared" si="190"/>
        <v>-0.0040248348409023</v>
      </c>
      <c r="NH79" s="224">
        <f>(ND79-ND84)/ND84</f>
        <v>0.0784572138327777</v>
      </c>
      <c r="NI79" s="224"/>
      <c r="NJ79" s="224"/>
      <c r="NK79" s="224"/>
      <c r="NL79" s="232">
        <v>1.1874</v>
      </c>
      <c r="NM79" s="231" t="str">
        <f t="shared" si="257"/>
        <v>2026//3/6</v>
      </c>
      <c r="NN79" s="9">
        <v>2521011.08</v>
      </c>
      <c r="NO79" s="9">
        <f t="shared" si="192"/>
        <v>2526511</v>
      </c>
      <c r="NP79" s="9">
        <f t="shared" si="193"/>
        <v>-5499.91999999993</v>
      </c>
      <c r="NQ79" s="224">
        <f t="shared" si="194"/>
        <v>-0.00217688345706784</v>
      </c>
      <c r="NR79" s="289">
        <f>(NN79-NN84)/NN84</f>
        <v>-0.00794893458276386</v>
      </c>
      <c r="NS79" s="232">
        <v>1.0348</v>
      </c>
      <c r="NT79" s="290"/>
      <c r="NU79" s="231" t="str">
        <f t="shared" si="258"/>
        <v>2026//3/6</v>
      </c>
      <c r="NV79" s="9">
        <v>247026.5</v>
      </c>
      <c r="NW79" s="232">
        <f t="shared" si="196"/>
        <v>247476</v>
      </c>
      <c r="NX79" s="9">
        <f t="shared" si="197"/>
        <v>-449.5</v>
      </c>
      <c r="NY79" s="224">
        <f t="shared" si="198"/>
        <v>-0.00181633774588243</v>
      </c>
      <c r="NZ79" s="224">
        <f>(NV79-NV84)/NV84</f>
        <v>0.0198182688893843</v>
      </c>
      <c r="OC79" s="9" t="str">
        <f t="shared" si="259"/>
        <v>2026//3/6</v>
      </c>
      <c r="OD79" s="227">
        <v>12475.97</v>
      </c>
      <c r="OE79" s="13">
        <f t="shared" si="200"/>
        <v>12424.97</v>
      </c>
      <c r="OF79" s="13">
        <f t="shared" si="201"/>
        <v>51</v>
      </c>
      <c r="OG79" s="226">
        <f t="shared" si="202"/>
        <v>0.00410463767719359</v>
      </c>
      <c r="OH79" s="224">
        <f>(OD79-OD84)/OD84</f>
        <v>-0.0154672083346157</v>
      </c>
      <c r="OI79" s="224"/>
      <c r="OK79" s="9" t="str">
        <f t="shared" si="260"/>
        <v>2026//3/6</v>
      </c>
      <c r="OL79" s="227">
        <v>10834.65</v>
      </c>
      <c r="OM79" s="13">
        <f t="shared" si="204"/>
        <v>10834.65</v>
      </c>
      <c r="ON79" s="13">
        <f t="shared" si="205"/>
        <v>0</v>
      </c>
      <c r="OO79" s="226">
        <f t="shared" si="206"/>
        <v>0</v>
      </c>
      <c r="OP79" s="224">
        <f>(OL79-OL84)/OL84</f>
        <v>-0.0289487481682971</v>
      </c>
      <c r="OQ79" s="224"/>
      <c r="OT79" s="234" t="str">
        <f t="shared" si="211"/>
        <v>2026//3/6</v>
      </c>
      <c r="OU79" s="206">
        <v>141672.4066</v>
      </c>
      <c r="OV79" s="8">
        <f t="shared" si="208"/>
        <v>141552.4066</v>
      </c>
      <c r="OW79" s="191">
        <f t="shared" si="209"/>
        <v>120</v>
      </c>
      <c r="OX79" s="192">
        <f t="shared" si="210"/>
        <v>0.000847742563212627</v>
      </c>
    </row>
    <row r="80" s="8" customFormat="1" ht="17" customHeight="1" spans="1:414">
      <c r="A80" s="15"/>
      <c r="B80" s="15"/>
      <c r="C80" s="287" t="s">
        <v>509</v>
      </c>
      <c r="D80" s="19">
        <v>4461258.77</v>
      </c>
      <c r="E80" s="19">
        <f t="shared" si="8"/>
        <v>4496088.77</v>
      </c>
      <c r="F80" s="19">
        <f t="shared" si="9"/>
        <v>-34830</v>
      </c>
      <c r="G80" s="172">
        <f t="shared" si="10"/>
        <v>-0.0077467331678151</v>
      </c>
      <c r="H80" s="18"/>
      <c r="I80" s="172"/>
      <c r="J80" s="172"/>
      <c r="K80" s="19" t="str">
        <f t="shared" si="212"/>
        <v>2026//3/5</v>
      </c>
      <c r="L80" s="19">
        <v>3176974.4</v>
      </c>
      <c r="M80" s="19">
        <f t="shared" si="12"/>
        <v>3175264.4</v>
      </c>
      <c r="N80" s="19">
        <f t="shared" si="13"/>
        <v>1710</v>
      </c>
      <c r="O80" s="172">
        <f t="shared" si="14"/>
        <v>0.000538537830109518</v>
      </c>
      <c r="P80" s="18"/>
      <c r="Q80" s="172"/>
      <c r="R80" s="19"/>
      <c r="S80" s="19" t="str">
        <f t="shared" si="213"/>
        <v>2026//3/5</v>
      </c>
      <c r="T80" s="19">
        <v>2256906.68</v>
      </c>
      <c r="U80" s="19">
        <f t="shared" si="16"/>
        <v>2286966.68</v>
      </c>
      <c r="V80" s="19">
        <f t="shared" si="17"/>
        <v>-30060</v>
      </c>
      <c r="W80" s="172">
        <f t="shared" si="18"/>
        <v>-0.0131440480803157</v>
      </c>
      <c r="X80" s="18"/>
      <c r="Y80" s="172"/>
      <c r="Z80" s="19"/>
      <c r="AA80" s="19" t="str">
        <f t="shared" si="214"/>
        <v>2026//3/5</v>
      </c>
      <c r="AB80" s="19">
        <v>937856.86</v>
      </c>
      <c r="AC80" s="19">
        <f t="shared" si="20"/>
        <v>975216.86</v>
      </c>
      <c r="AD80" s="19">
        <f t="shared" si="21"/>
        <v>-37360</v>
      </c>
      <c r="AE80" s="172">
        <f t="shared" si="22"/>
        <v>-0.0383094279153459</v>
      </c>
      <c r="AF80" s="18"/>
      <c r="AG80" s="172"/>
      <c r="AH80" s="19"/>
      <c r="AI80" s="19" t="str">
        <f t="shared" si="215"/>
        <v>2026//3/5</v>
      </c>
      <c r="AJ80" s="19">
        <v>784321.76</v>
      </c>
      <c r="AK80" s="19">
        <f t="shared" si="24"/>
        <v>835521.76</v>
      </c>
      <c r="AL80" s="19">
        <f t="shared" si="25"/>
        <v>-51200</v>
      </c>
      <c r="AM80" s="172">
        <f t="shared" si="26"/>
        <v>-0.0612790742876643</v>
      </c>
      <c r="AN80" s="18"/>
      <c r="AO80" s="18"/>
      <c r="AP80" s="19"/>
      <c r="AQ80" s="19" t="str">
        <f t="shared" si="216"/>
        <v>2026//3/5</v>
      </c>
      <c r="AR80" s="21">
        <v>1727445.49</v>
      </c>
      <c r="AS80" s="19">
        <f t="shared" si="28"/>
        <v>1800445.49</v>
      </c>
      <c r="AT80" s="19">
        <f t="shared" si="29"/>
        <v>-73000</v>
      </c>
      <c r="AU80" s="172">
        <f t="shared" si="30"/>
        <v>-0.0405455207644193</v>
      </c>
      <c r="AV80" s="18"/>
      <c r="AW80" s="18"/>
      <c r="AX80" s="17"/>
      <c r="AY80" s="17"/>
      <c r="AZ80" s="19" t="str">
        <f t="shared" si="217"/>
        <v>2026//3/5</v>
      </c>
      <c r="BA80" s="255">
        <v>1990911.66</v>
      </c>
      <c r="BB80" s="205">
        <f t="shared" si="32"/>
        <v>1997481.66</v>
      </c>
      <c r="BC80" s="17">
        <f t="shared" si="33"/>
        <v>-6570</v>
      </c>
      <c r="BD80" s="18">
        <f t="shared" si="34"/>
        <v>-0.00328914158841388</v>
      </c>
      <c r="BE80" s="18"/>
      <c r="BF80" s="18"/>
      <c r="BG80" s="74"/>
      <c r="BH80" s="8" t="str">
        <f t="shared" si="218"/>
        <v>2026//3/5</v>
      </c>
      <c r="BI80" s="256">
        <v>1463326.55</v>
      </c>
      <c r="BJ80" s="195">
        <f t="shared" si="36"/>
        <v>1394226.55</v>
      </c>
      <c r="BK80" s="195">
        <f t="shared" si="37"/>
        <v>69100</v>
      </c>
      <c r="BL80" s="196">
        <f t="shared" si="38"/>
        <v>0.0495615292937866</v>
      </c>
      <c r="BM80" s="197"/>
      <c r="BN80" s="192"/>
      <c r="BP80" s="8" t="str">
        <f t="shared" si="219"/>
        <v>2026//3/5</v>
      </c>
      <c r="BQ80" s="198">
        <v>1328762.39</v>
      </c>
      <c r="BR80" s="12">
        <f t="shared" si="40"/>
        <v>1340962.39</v>
      </c>
      <c r="BS80" s="12">
        <f t="shared" si="41"/>
        <v>-12200</v>
      </c>
      <c r="BT80" s="199">
        <f t="shared" si="42"/>
        <v>-0.00909794345537163</v>
      </c>
      <c r="BU80" s="192"/>
      <c r="BV80" s="192"/>
      <c r="BX80" s="8" t="str">
        <f t="shared" si="220"/>
        <v>2026//3/5</v>
      </c>
      <c r="BY80" s="257">
        <v>3796010.7</v>
      </c>
      <c r="BZ80" s="12">
        <f t="shared" si="44"/>
        <v>3811460.7</v>
      </c>
      <c r="CA80" s="12">
        <f t="shared" si="45"/>
        <v>-15450</v>
      </c>
      <c r="CB80" s="199">
        <f t="shared" si="46"/>
        <v>-0.00405356403123873</v>
      </c>
      <c r="CC80" s="192"/>
      <c r="CD80" s="201"/>
      <c r="CF80" s="8" t="str">
        <f t="shared" si="221"/>
        <v>2026//3/5</v>
      </c>
      <c r="CG80" s="291">
        <v>1713203.9</v>
      </c>
      <c r="CH80" s="12">
        <f t="shared" si="48"/>
        <v>1735653.9</v>
      </c>
      <c r="CI80" s="12">
        <f t="shared" si="49"/>
        <v>-22450</v>
      </c>
      <c r="CJ80" s="199">
        <f t="shared" si="50"/>
        <v>-0.0129346063751535</v>
      </c>
      <c r="CK80" s="192"/>
      <c r="CL80" s="201"/>
      <c r="CN80" s="8" t="str">
        <f t="shared" si="222"/>
        <v>2026//3/5</v>
      </c>
      <c r="CO80" s="200">
        <v>789146.48</v>
      </c>
      <c r="CP80" s="12">
        <f t="shared" si="52"/>
        <v>779246.48</v>
      </c>
      <c r="CQ80" s="12">
        <f t="shared" si="53"/>
        <v>9900</v>
      </c>
      <c r="CR80" s="199">
        <f t="shared" si="54"/>
        <v>0.0127045809690408</v>
      </c>
      <c r="CS80" s="201"/>
      <c r="CT80" s="201"/>
      <c r="CV80" s="8" t="str">
        <f t="shared" si="223"/>
        <v>2026//3/5</v>
      </c>
      <c r="CW80" s="200">
        <v>631790.4</v>
      </c>
      <c r="CX80" s="12">
        <f t="shared" si="56"/>
        <v>626240.4</v>
      </c>
      <c r="CY80" s="12">
        <f t="shared" si="57"/>
        <v>5550</v>
      </c>
      <c r="CZ80" s="199">
        <f t="shared" si="58"/>
        <v>0.00886241130402957</v>
      </c>
      <c r="DA80" s="192"/>
      <c r="DB80" s="192"/>
      <c r="DC80" s="277"/>
      <c r="DD80" s="8" t="str">
        <f t="shared" si="224"/>
        <v>2026//3/5</v>
      </c>
      <c r="DE80" s="257">
        <v>2331517.98</v>
      </c>
      <c r="DF80" s="12">
        <f t="shared" si="60"/>
        <v>2365517.98</v>
      </c>
      <c r="DG80" s="12">
        <f t="shared" si="61"/>
        <v>-34000</v>
      </c>
      <c r="DH80" s="199">
        <f t="shared" si="62"/>
        <v>-0.0143731733546155</v>
      </c>
      <c r="DI80" s="192"/>
      <c r="DJ80" s="192"/>
      <c r="DL80" s="8" t="str">
        <f t="shared" si="225"/>
        <v>2026//3/5</v>
      </c>
      <c r="DM80" s="200">
        <v>1340500.36</v>
      </c>
      <c r="DN80" s="12">
        <f t="shared" si="64"/>
        <v>1364500.36</v>
      </c>
      <c r="DO80" s="12">
        <f t="shared" si="65"/>
        <v>-24000</v>
      </c>
      <c r="DP80" s="199">
        <f t="shared" si="66"/>
        <v>-0.0175888557479017</v>
      </c>
      <c r="DQ80" s="192"/>
      <c r="DR80" s="192"/>
      <c r="DT80" s="8" t="str">
        <f t="shared" si="226"/>
        <v>2026//3/5</v>
      </c>
      <c r="DU80" s="200">
        <v>1738889.48</v>
      </c>
      <c r="DV80" s="12">
        <f t="shared" si="68"/>
        <v>1766489.48</v>
      </c>
      <c r="DW80" s="12">
        <f t="shared" si="69"/>
        <v>-27600</v>
      </c>
      <c r="DX80" s="199">
        <f t="shared" si="70"/>
        <v>-0.0156242085291105</v>
      </c>
      <c r="DY80" s="192"/>
      <c r="DZ80" s="192"/>
      <c r="EB80" s="8" t="str">
        <f t="shared" si="227"/>
        <v>2026//3/5</v>
      </c>
      <c r="EC80" s="200">
        <v>4899566.82</v>
      </c>
      <c r="ED80" s="12">
        <f t="shared" si="72"/>
        <v>5006066.82</v>
      </c>
      <c r="EE80" s="12">
        <f t="shared" si="73"/>
        <v>-106500</v>
      </c>
      <c r="EF80" s="199">
        <f t="shared" si="74"/>
        <v>-0.021274186667768</v>
      </c>
      <c r="EG80" s="192"/>
      <c r="EH80" s="192"/>
      <c r="EJ80" s="8" t="str">
        <f t="shared" si="228"/>
        <v>2026//3/5</v>
      </c>
      <c r="EK80" s="257">
        <v>1600722.96</v>
      </c>
      <c r="EL80" s="12">
        <f t="shared" si="76"/>
        <v>1617122.96</v>
      </c>
      <c r="EM80" s="12">
        <f t="shared" si="77"/>
        <v>-16400</v>
      </c>
      <c r="EN80" s="199">
        <f t="shared" si="78"/>
        <v>-0.0101414675356536</v>
      </c>
      <c r="EO80" s="192"/>
      <c r="EP80" s="192"/>
      <c r="ER80" s="8" t="str">
        <f t="shared" si="229"/>
        <v>2026//3/5</v>
      </c>
      <c r="ES80" s="8">
        <v>547097.02</v>
      </c>
      <c r="ET80" s="12">
        <f t="shared" si="80"/>
        <v>551747.02</v>
      </c>
      <c r="EU80" s="12">
        <f t="shared" si="81"/>
        <v>-4650</v>
      </c>
      <c r="EV80" s="199">
        <f t="shared" si="82"/>
        <v>-0.00842777546854716</v>
      </c>
      <c r="EW80" s="192"/>
      <c r="EX80" s="192"/>
      <c r="EZ80" s="8" t="str">
        <f t="shared" si="230"/>
        <v>2026//3/5</v>
      </c>
      <c r="FA80" s="200">
        <v>786108</v>
      </c>
      <c r="FB80" s="12">
        <f t="shared" si="84"/>
        <v>792808</v>
      </c>
      <c r="FC80" s="12">
        <f t="shared" si="85"/>
        <v>-6700</v>
      </c>
      <c r="FD80" s="199">
        <f t="shared" si="86"/>
        <v>-0.00845097425858468</v>
      </c>
      <c r="FE80" s="192"/>
      <c r="FF80" s="192"/>
      <c r="FH80" s="8" t="str">
        <f t="shared" si="231"/>
        <v>2026//3/5</v>
      </c>
      <c r="FI80" s="198">
        <v>1140295.33</v>
      </c>
      <c r="FJ80" s="12">
        <f t="shared" si="88"/>
        <v>1139295.33</v>
      </c>
      <c r="FK80" s="12">
        <f t="shared" si="89"/>
        <v>1000</v>
      </c>
      <c r="FL80" s="199">
        <f t="shared" si="90"/>
        <v>0.000877735538510458</v>
      </c>
      <c r="FM80" s="201"/>
      <c r="FN80" s="201"/>
      <c r="FP80" s="8" t="str">
        <f t="shared" si="232"/>
        <v>2026//3/5</v>
      </c>
      <c r="FQ80" s="200">
        <v>2304268.73</v>
      </c>
      <c r="FR80" s="12">
        <f t="shared" si="92"/>
        <v>2327818.73</v>
      </c>
      <c r="FS80" s="12">
        <f t="shared" si="93"/>
        <v>-23550</v>
      </c>
      <c r="FT80" s="199">
        <f t="shared" si="94"/>
        <v>-0.0101167671247323</v>
      </c>
      <c r="FU80" s="192"/>
      <c r="FV80" s="192"/>
      <c r="FX80" s="8" t="str">
        <f t="shared" si="233"/>
        <v>2026//3/5</v>
      </c>
      <c r="FY80" s="200">
        <v>8137382.05</v>
      </c>
      <c r="FZ80" s="12">
        <f t="shared" si="96"/>
        <v>8123982.05</v>
      </c>
      <c r="GA80" s="12">
        <f t="shared" si="97"/>
        <v>13400</v>
      </c>
      <c r="GB80" s="199">
        <f t="shared" si="98"/>
        <v>0.00164943742090124</v>
      </c>
      <c r="GC80" s="192"/>
      <c r="GD80" s="192"/>
      <c r="GF80" s="8" t="str">
        <f t="shared" si="234"/>
        <v>2026//3/5</v>
      </c>
      <c r="GG80" s="200">
        <v>4748169.49</v>
      </c>
      <c r="GH80" s="12">
        <f t="shared" si="100"/>
        <v>4745569.49</v>
      </c>
      <c r="GI80" s="12">
        <f t="shared" si="101"/>
        <v>2600</v>
      </c>
      <c r="GJ80" s="199">
        <f t="shared" si="102"/>
        <v>0.000547879449553693</v>
      </c>
      <c r="GK80" s="192"/>
      <c r="GL80" s="192"/>
      <c r="GN80" s="8" t="str">
        <f t="shared" si="235"/>
        <v>2026//3/5</v>
      </c>
      <c r="GO80" s="257">
        <v>1831798.12</v>
      </c>
      <c r="GP80" s="12">
        <f t="shared" si="104"/>
        <v>1832278.12</v>
      </c>
      <c r="GQ80" s="12">
        <f t="shared" si="105"/>
        <v>-480</v>
      </c>
      <c r="GR80" s="199">
        <f t="shared" si="106"/>
        <v>-0.000261968963532676</v>
      </c>
      <c r="GS80" s="192"/>
      <c r="GT80" s="192"/>
      <c r="GV80" s="8" t="str">
        <f t="shared" si="236"/>
        <v>2026//3/5</v>
      </c>
      <c r="GW80" s="200">
        <v>1002749.4</v>
      </c>
      <c r="GX80" s="12">
        <f t="shared" si="108"/>
        <v>1007749.4</v>
      </c>
      <c r="GY80" s="12">
        <f t="shared" si="109"/>
        <v>-5000</v>
      </c>
      <c r="GZ80" s="199">
        <f t="shared" si="110"/>
        <v>-0.00496155095701372</v>
      </c>
      <c r="HA80" s="192"/>
      <c r="HB80" s="192"/>
      <c r="HD80" s="8" t="str">
        <f t="shared" si="237"/>
        <v>2026//3/5</v>
      </c>
      <c r="HE80" s="257">
        <v>1073064.67</v>
      </c>
      <c r="HF80" s="12">
        <f t="shared" si="112"/>
        <v>1081164.67</v>
      </c>
      <c r="HG80" s="12">
        <f t="shared" si="113"/>
        <v>-8100</v>
      </c>
      <c r="HH80" s="199">
        <f t="shared" si="114"/>
        <v>-0.0074919207265624</v>
      </c>
      <c r="HI80" s="201"/>
      <c r="HJ80" s="192"/>
      <c r="HL80" s="8" t="str">
        <f t="shared" si="238"/>
        <v>2026//3/5</v>
      </c>
      <c r="HM80" s="200">
        <v>150254.25</v>
      </c>
      <c r="HN80" s="12">
        <f t="shared" si="116"/>
        <v>148904.25</v>
      </c>
      <c r="HO80" s="12">
        <f t="shared" si="117"/>
        <v>1350</v>
      </c>
      <c r="HP80" s="199">
        <f t="shared" si="118"/>
        <v>0.00906622880139418</v>
      </c>
      <c r="HQ80" s="192"/>
      <c r="HR80" s="192"/>
      <c r="HT80" s="8" t="str">
        <f t="shared" si="239"/>
        <v>2026//3/5</v>
      </c>
      <c r="HU80" s="257">
        <v>332768.82</v>
      </c>
      <c r="HV80" s="12">
        <f t="shared" si="120"/>
        <v>336368.82</v>
      </c>
      <c r="HW80" s="12">
        <f t="shared" si="121"/>
        <v>-3600</v>
      </c>
      <c r="HX80" s="199">
        <f t="shared" si="122"/>
        <v>-0.010702537767918</v>
      </c>
      <c r="HY80" s="192"/>
      <c r="HZ80" s="192"/>
      <c r="IB80" s="8" t="str">
        <f t="shared" si="240"/>
        <v>2026//3/5</v>
      </c>
      <c r="IC80" s="200">
        <v>488709.79</v>
      </c>
      <c r="ID80" s="12">
        <f t="shared" si="124"/>
        <v>490084.79</v>
      </c>
      <c r="IE80" s="12">
        <f t="shared" si="125"/>
        <v>-1375</v>
      </c>
      <c r="IF80" s="199">
        <f t="shared" si="126"/>
        <v>-0.00280563695926984</v>
      </c>
      <c r="IG80" s="201"/>
      <c r="IH80" s="192"/>
      <c r="IJ80" s="8" t="str">
        <f t="shared" si="241"/>
        <v>2026//3/5</v>
      </c>
      <c r="IK80" s="257">
        <v>459196.29</v>
      </c>
      <c r="IL80" s="12">
        <f t="shared" si="128"/>
        <v>445356.29</v>
      </c>
      <c r="IM80" s="12">
        <f t="shared" si="129"/>
        <v>13840</v>
      </c>
      <c r="IN80" s="199">
        <f t="shared" si="130"/>
        <v>0.0310762423496927</v>
      </c>
      <c r="IO80" s="192"/>
      <c r="IP80" s="192"/>
      <c r="IR80" s="8" t="str">
        <f t="shared" si="242"/>
        <v>2026//3/5</v>
      </c>
      <c r="IS80" s="200">
        <v>148989</v>
      </c>
      <c r="IT80" s="12">
        <f t="shared" si="132"/>
        <v>148589</v>
      </c>
      <c r="IU80" s="12">
        <f t="shared" si="133"/>
        <v>400</v>
      </c>
      <c r="IV80" s="199">
        <f t="shared" si="134"/>
        <v>0.00269198931280243</v>
      </c>
      <c r="IW80" s="192"/>
      <c r="IX80" s="192"/>
      <c r="IZ80" s="8" t="str">
        <f t="shared" si="243"/>
        <v>2026//3/5</v>
      </c>
      <c r="JA80" s="200">
        <v>4951929.15</v>
      </c>
      <c r="JB80" s="12">
        <f t="shared" si="136"/>
        <v>4977129.15</v>
      </c>
      <c r="JC80" s="12">
        <f t="shared" si="137"/>
        <v>-25200</v>
      </c>
      <c r="JD80" s="199">
        <f t="shared" si="138"/>
        <v>-0.00506315975344944</v>
      </c>
      <c r="JE80" s="192"/>
      <c r="JF80" s="192"/>
      <c r="JH80" s="8" t="str">
        <f t="shared" si="244"/>
        <v>2026//3/5</v>
      </c>
      <c r="JI80" s="200">
        <v>1528167.99</v>
      </c>
      <c r="JJ80" s="12">
        <f t="shared" si="140"/>
        <v>1524867.99</v>
      </c>
      <c r="JK80" s="12">
        <f t="shared" si="141"/>
        <v>3300</v>
      </c>
      <c r="JL80" s="199">
        <f t="shared" si="142"/>
        <v>0.00216412176112373</v>
      </c>
      <c r="JM80" s="192"/>
      <c r="JN80" s="192"/>
      <c r="JP80" s="8" t="str">
        <f t="shared" si="245"/>
        <v>2026//3/5</v>
      </c>
      <c r="JQ80" s="257">
        <v>1148590.41</v>
      </c>
      <c r="JR80" s="12">
        <f t="shared" si="144"/>
        <v>1172490.41</v>
      </c>
      <c r="JS80" s="12">
        <f t="shared" si="145"/>
        <v>-23900</v>
      </c>
      <c r="JT80" s="199">
        <f t="shared" si="146"/>
        <v>-0.0203839620317236</v>
      </c>
      <c r="JU80" s="192"/>
      <c r="JV80" s="201"/>
      <c r="JX80" s="8" t="str">
        <f t="shared" si="246"/>
        <v>2026//3/5</v>
      </c>
      <c r="JY80" s="200">
        <v>1312148.8</v>
      </c>
      <c r="JZ80" s="12">
        <f t="shared" si="148"/>
        <v>1314548.8</v>
      </c>
      <c r="KA80" s="12">
        <f t="shared" si="149"/>
        <v>-2400</v>
      </c>
      <c r="KB80" s="199">
        <f t="shared" si="150"/>
        <v>-0.00182572149470602</v>
      </c>
      <c r="KC80" s="192"/>
      <c r="KD80" s="201"/>
      <c r="KF80" s="8" t="str">
        <f t="shared" si="247"/>
        <v>2026//3/5</v>
      </c>
      <c r="KG80" s="257">
        <v>790755.92</v>
      </c>
      <c r="KH80" s="12">
        <f t="shared" si="152"/>
        <v>792755.92</v>
      </c>
      <c r="KI80" s="12">
        <f t="shared" si="153"/>
        <v>-2000</v>
      </c>
      <c r="KJ80" s="199">
        <f t="shared" si="154"/>
        <v>-0.00252284461023009</v>
      </c>
      <c r="KK80" s="201"/>
      <c r="KL80" s="201"/>
      <c r="KN80" s="8" t="str">
        <f t="shared" si="248"/>
        <v>2026//3/5</v>
      </c>
      <c r="KO80" s="200">
        <v>7993475.95</v>
      </c>
      <c r="KP80" s="12">
        <f t="shared" si="156"/>
        <v>7985575.95</v>
      </c>
      <c r="KQ80" s="12">
        <f t="shared" si="157"/>
        <v>7900</v>
      </c>
      <c r="KR80" s="199">
        <f t="shared" si="158"/>
        <v>0.000989283684666477</v>
      </c>
      <c r="KS80" s="192"/>
      <c r="KT80" s="192"/>
      <c r="KV80" s="8" t="str">
        <f t="shared" si="249"/>
        <v>2026//3/5</v>
      </c>
      <c r="KW80" s="257">
        <v>1024372.97</v>
      </c>
      <c r="KX80" s="12">
        <f t="shared" si="160"/>
        <v>1027472.97</v>
      </c>
      <c r="KY80" s="12">
        <f t="shared" si="161"/>
        <v>-3100</v>
      </c>
      <c r="KZ80" s="199">
        <f t="shared" si="162"/>
        <v>-0.00301711100001005</v>
      </c>
      <c r="LA80" s="201"/>
      <c r="LB80" s="192"/>
      <c r="LD80" s="8" t="str">
        <f t="shared" si="250"/>
        <v>2026//3/5</v>
      </c>
      <c r="LE80" s="200">
        <v>560507.7</v>
      </c>
      <c r="LF80" s="12">
        <f t="shared" si="164"/>
        <v>559857.7</v>
      </c>
      <c r="LG80" s="12">
        <f t="shared" si="165"/>
        <v>650</v>
      </c>
      <c r="LH80" s="199">
        <f t="shared" si="166"/>
        <v>0.00116100930647198</v>
      </c>
      <c r="LI80" s="192"/>
      <c r="LJ80" s="192"/>
      <c r="LL80" s="8" t="str">
        <f t="shared" si="251"/>
        <v>2026//3/5</v>
      </c>
      <c r="LM80" s="198">
        <v>3521275.02</v>
      </c>
      <c r="LN80" s="12">
        <f t="shared" si="168"/>
        <v>3512995.02</v>
      </c>
      <c r="LO80" s="12">
        <f t="shared" si="169"/>
        <v>8280</v>
      </c>
      <c r="LP80" s="199">
        <f t="shared" si="170"/>
        <v>0.00235696320457636</v>
      </c>
      <c r="LQ80" s="192"/>
      <c r="LR80" s="192"/>
      <c r="LT80" s="8" t="str">
        <f t="shared" si="252"/>
        <v>2026//3/5</v>
      </c>
      <c r="LU80" s="257">
        <v>2828662.9</v>
      </c>
      <c r="LV80" s="12">
        <f t="shared" si="172"/>
        <v>2811662.9</v>
      </c>
      <c r="LW80" s="12">
        <f t="shared" si="173"/>
        <v>17000</v>
      </c>
      <c r="LX80" s="199">
        <f t="shared" si="174"/>
        <v>0.00604624402164285</v>
      </c>
      <c r="LY80" s="192"/>
      <c r="LZ80" s="192"/>
      <c r="MB80" s="8" t="str">
        <f t="shared" si="253"/>
        <v>2026//3/5</v>
      </c>
      <c r="MC80" s="200">
        <v>835967.69</v>
      </c>
      <c r="MD80" s="12">
        <f t="shared" si="176"/>
        <v>833767.69</v>
      </c>
      <c r="ME80" s="12">
        <f t="shared" si="177"/>
        <v>2200</v>
      </c>
      <c r="MF80" s="199">
        <f t="shared" si="178"/>
        <v>0.00263862467493793</v>
      </c>
      <c r="MG80" s="192"/>
      <c r="MH80" s="192"/>
      <c r="MI80" s="192"/>
      <c r="MJ80" s="192"/>
      <c r="MK80" s="8" t="str">
        <f t="shared" si="254"/>
        <v>2026//3/5</v>
      </c>
      <c r="ML80" s="258">
        <v>248025.53</v>
      </c>
      <c r="MM80" s="12">
        <f t="shared" si="180"/>
        <v>250665.53</v>
      </c>
      <c r="MN80" s="12">
        <f t="shared" si="181"/>
        <v>-2640</v>
      </c>
      <c r="MO80" s="199">
        <f t="shared" si="182"/>
        <v>-0.010531962651586</v>
      </c>
      <c r="MP80" s="192"/>
      <c r="MQ80" s="201"/>
      <c r="MR80" s="201"/>
      <c r="MT80" s="26" t="str">
        <f t="shared" si="255"/>
        <v>2026//3/5</v>
      </c>
      <c r="MU80" s="8">
        <v>688114.8</v>
      </c>
      <c r="MV80" s="204">
        <f t="shared" si="184"/>
        <v>722914.8</v>
      </c>
      <c r="MW80" s="8">
        <f t="shared" si="185"/>
        <v>-34800</v>
      </c>
      <c r="MX80" s="192">
        <f t="shared" si="186"/>
        <v>-0.048138452830126</v>
      </c>
      <c r="MY80" s="192"/>
      <c r="MZ80" s="192"/>
      <c r="NA80" s="192"/>
      <c r="NC80" s="26" t="str">
        <f t="shared" si="256"/>
        <v>2026//3/5</v>
      </c>
      <c r="ND80" s="8">
        <v>49691.48</v>
      </c>
      <c r="NE80" s="204">
        <f t="shared" si="188"/>
        <v>50491.48</v>
      </c>
      <c r="NF80" s="8">
        <f t="shared" si="189"/>
        <v>-800</v>
      </c>
      <c r="NG80" s="192">
        <f t="shared" si="190"/>
        <v>-0.0158442572885564</v>
      </c>
      <c r="NH80" s="192"/>
      <c r="NI80" s="192"/>
      <c r="NJ80" s="192"/>
      <c r="NK80" s="192"/>
      <c r="NL80" s="205">
        <v>1.1818</v>
      </c>
      <c r="NM80" s="204" t="str">
        <f t="shared" si="257"/>
        <v>2026//3/5</v>
      </c>
      <c r="NN80" s="205">
        <v>2526511</v>
      </c>
      <c r="NO80" s="8">
        <f t="shared" si="192"/>
        <v>2513511</v>
      </c>
      <c r="NP80" s="205">
        <v>13000</v>
      </c>
      <c r="NQ80" s="292">
        <v>0.0052</v>
      </c>
      <c r="NR80" s="293"/>
      <c r="NS80" s="205">
        <v>1.0209</v>
      </c>
      <c r="NT80" s="294"/>
      <c r="NU80" s="204" t="str">
        <f t="shared" si="258"/>
        <v>2026//3/5</v>
      </c>
      <c r="NV80" s="205">
        <v>247476</v>
      </c>
      <c r="NW80" s="205">
        <f t="shared" si="196"/>
        <v>246676</v>
      </c>
      <c r="NX80" s="205">
        <v>800</v>
      </c>
      <c r="NY80" s="292">
        <v>0.0032</v>
      </c>
      <c r="NZ80" s="192"/>
      <c r="OA80" s="8"/>
      <c r="OC80" s="8" t="str">
        <f t="shared" si="259"/>
        <v>2026//3/5</v>
      </c>
      <c r="OD80" s="200">
        <v>12424.97</v>
      </c>
      <c r="OE80" s="12">
        <f t="shared" si="200"/>
        <v>12527.97</v>
      </c>
      <c r="OF80" s="12">
        <f t="shared" si="201"/>
        <v>-103</v>
      </c>
      <c r="OG80" s="199">
        <f t="shared" si="202"/>
        <v>-0.0082216033403656</v>
      </c>
      <c r="OH80" s="192"/>
      <c r="OI80" s="192"/>
      <c r="OK80" s="8" t="str">
        <f t="shared" si="260"/>
        <v>2026//3/5</v>
      </c>
      <c r="OL80" s="200">
        <v>10834.65</v>
      </c>
      <c r="OM80" s="12">
        <f t="shared" si="204"/>
        <v>10834.65</v>
      </c>
      <c r="ON80" s="12">
        <f t="shared" si="205"/>
        <v>0</v>
      </c>
      <c r="OO80" s="199">
        <f t="shared" si="206"/>
        <v>0</v>
      </c>
      <c r="OP80" s="192"/>
      <c r="OQ80" s="192"/>
      <c r="OT80" s="234" t="str">
        <f t="shared" si="211"/>
        <v>2026//3/5</v>
      </c>
      <c r="OU80" s="206">
        <v>141552.4066</v>
      </c>
      <c r="OV80" s="8">
        <f t="shared" si="208"/>
        <v>141432.4066</v>
      </c>
      <c r="OW80" s="191">
        <f t="shared" si="209"/>
        <v>120</v>
      </c>
      <c r="OX80" s="192">
        <f t="shared" si="210"/>
        <v>0.00084846184042802</v>
      </c>
    </row>
    <row r="81" s="8" customFormat="1" ht="17" customHeight="1" spans="1:414">
      <c r="A81" s="15"/>
      <c r="B81" s="15"/>
      <c r="C81" s="287" t="s">
        <v>510</v>
      </c>
      <c r="D81" s="19">
        <v>4496088.77</v>
      </c>
      <c r="E81" s="19">
        <f t="shared" si="8"/>
        <v>4457388.77</v>
      </c>
      <c r="F81" s="19">
        <f t="shared" si="9"/>
        <v>38700</v>
      </c>
      <c r="G81" s="172">
        <f t="shared" si="10"/>
        <v>0.00868221328605358</v>
      </c>
      <c r="H81" s="18"/>
      <c r="I81" s="172"/>
      <c r="J81" s="172"/>
      <c r="K81" s="19" t="str">
        <f t="shared" si="212"/>
        <v>2026//3/4</v>
      </c>
      <c r="L81" s="19">
        <v>3175264.4</v>
      </c>
      <c r="M81" s="19">
        <f t="shared" si="12"/>
        <v>3166984.4</v>
      </c>
      <c r="N81" s="19">
        <f t="shared" si="13"/>
        <v>8280</v>
      </c>
      <c r="O81" s="172">
        <f t="shared" si="14"/>
        <v>0.00261447451398877</v>
      </c>
      <c r="P81" s="18"/>
      <c r="Q81" s="172"/>
      <c r="R81" s="19"/>
      <c r="S81" s="19" t="str">
        <f t="shared" si="213"/>
        <v>2026//3/4</v>
      </c>
      <c r="T81" s="262">
        <v>2286966.68</v>
      </c>
      <c r="U81" s="19">
        <f t="shared" si="16"/>
        <v>2266716.68</v>
      </c>
      <c r="V81" s="19">
        <f t="shared" si="17"/>
        <v>20250</v>
      </c>
      <c r="W81" s="172">
        <f t="shared" si="18"/>
        <v>0.00893362641157253</v>
      </c>
      <c r="X81" s="18"/>
      <c r="Y81" s="172"/>
      <c r="Z81" s="19"/>
      <c r="AA81" s="19" t="str">
        <f t="shared" si="214"/>
        <v>2026//3/4</v>
      </c>
      <c r="AB81" s="19">
        <v>975216.86</v>
      </c>
      <c r="AC81" s="19">
        <f t="shared" si="20"/>
        <v>962576.86</v>
      </c>
      <c r="AD81" s="19">
        <f t="shared" si="21"/>
        <v>12640</v>
      </c>
      <c r="AE81" s="172">
        <f t="shared" si="22"/>
        <v>0.0131314189289778</v>
      </c>
      <c r="AF81" s="18"/>
      <c r="AG81" s="172"/>
      <c r="AH81" s="19"/>
      <c r="AI81" s="19" t="str">
        <f t="shared" si="215"/>
        <v>2026//3/4</v>
      </c>
      <c r="AJ81" s="19">
        <v>835521.76</v>
      </c>
      <c r="AK81" s="19">
        <f t="shared" si="24"/>
        <v>825921.76</v>
      </c>
      <c r="AL81" s="19">
        <f t="shared" si="25"/>
        <v>9600</v>
      </c>
      <c r="AM81" s="172">
        <f t="shared" si="26"/>
        <v>0.0116233770133384</v>
      </c>
      <c r="AN81" s="18"/>
      <c r="AO81" s="18"/>
      <c r="AP81" s="19"/>
      <c r="AQ81" s="19" t="str">
        <f t="shared" si="216"/>
        <v>2026//3/4</v>
      </c>
      <c r="AR81" s="21">
        <v>1800445.49</v>
      </c>
      <c r="AS81" s="19">
        <f t="shared" si="28"/>
        <v>1778745.49</v>
      </c>
      <c r="AT81" s="19">
        <f t="shared" si="29"/>
        <v>21700</v>
      </c>
      <c r="AU81" s="172">
        <f t="shared" si="30"/>
        <v>0.0121996092875547</v>
      </c>
      <c r="AV81" s="18"/>
      <c r="AW81" s="18"/>
      <c r="AX81" s="17"/>
      <c r="AY81" s="17"/>
      <c r="AZ81" s="19" t="str">
        <f t="shared" si="217"/>
        <v>2026//3/4</v>
      </c>
      <c r="BA81" s="255">
        <v>1997481.66</v>
      </c>
      <c r="BB81" s="205">
        <f t="shared" si="32"/>
        <v>1991451.66</v>
      </c>
      <c r="BC81" s="17">
        <f t="shared" si="33"/>
        <v>6030</v>
      </c>
      <c r="BD81" s="18">
        <f t="shared" si="34"/>
        <v>0.00302794193859569</v>
      </c>
      <c r="BE81" s="18"/>
      <c r="BF81" s="18"/>
      <c r="BG81" s="74"/>
      <c r="BH81" s="8" t="str">
        <f t="shared" si="218"/>
        <v>2026//3/4</v>
      </c>
      <c r="BI81" s="256">
        <v>1394226.55</v>
      </c>
      <c r="BJ81" s="195">
        <f t="shared" si="36"/>
        <v>1328426.55</v>
      </c>
      <c r="BK81" s="195">
        <f t="shared" si="37"/>
        <v>65800</v>
      </c>
      <c r="BL81" s="196">
        <f t="shared" si="38"/>
        <v>0.0495322831360153</v>
      </c>
      <c r="BM81" s="197"/>
      <c r="BN81" s="192"/>
      <c r="BP81" s="8" t="str">
        <f t="shared" si="219"/>
        <v>2026//3/4</v>
      </c>
      <c r="BQ81" s="198">
        <v>1340962.39</v>
      </c>
      <c r="BR81" s="12">
        <f t="shared" si="40"/>
        <v>1361262.39</v>
      </c>
      <c r="BS81" s="12">
        <f t="shared" si="41"/>
        <v>-20300</v>
      </c>
      <c r="BT81" s="199">
        <f t="shared" si="42"/>
        <v>-0.0149126282699987</v>
      </c>
      <c r="BU81" s="192"/>
      <c r="BV81" s="192"/>
      <c r="BX81" s="8" t="str">
        <f t="shared" si="220"/>
        <v>2026//3/4</v>
      </c>
      <c r="BY81" s="257">
        <v>3811460.7</v>
      </c>
      <c r="BZ81" s="12">
        <f t="shared" si="44"/>
        <v>3870460.7</v>
      </c>
      <c r="CA81" s="12">
        <f t="shared" si="45"/>
        <v>-59000</v>
      </c>
      <c r="CB81" s="199">
        <f t="shared" si="46"/>
        <v>-0.0152436633706163</v>
      </c>
      <c r="CC81" s="192"/>
      <c r="CD81" s="201"/>
      <c r="CF81" s="8" t="str">
        <f t="shared" si="221"/>
        <v>2026//3/4</v>
      </c>
      <c r="CG81" s="200">
        <v>1735653.9</v>
      </c>
      <c r="CH81" s="12">
        <f t="shared" si="48"/>
        <v>1747503.9</v>
      </c>
      <c r="CI81" s="12">
        <f t="shared" si="49"/>
        <v>-11850</v>
      </c>
      <c r="CJ81" s="199">
        <f t="shared" si="50"/>
        <v>-0.00678110074604125</v>
      </c>
      <c r="CK81" s="192"/>
      <c r="CL81" s="201"/>
      <c r="CN81" s="8" t="str">
        <f t="shared" si="222"/>
        <v>2026//3/4</v>
      </c>
      <c r="CO81" s="200">
        <v>779246.48</v>
      </c>
      <c r="CP81" s="12">
        <f t="shared" si="52"/>
        <v>755646.48</v>
      </c>
      <c r="CQ81" s="12">
        <f t="shared" si="53"/>
        <v>23600</v>
      </c>
      <c r="CR81" s="199">
        <f t="shared" si="54"/>
        <v>0.0312315356779006</v>
      </c>
      <c r="CS81" s="201"/>
      <c r="CT81" s="201"/>
      <c r="CV81" s="8" t="str">
        <f t="shared" si="223"/>
        <v>2026//3/4</v>
      </c>
      <c r="CW81" s="200">
        <v>626240.4</v>
      </c>
      <c r="CX81" s="12">
        <f t="shared" si="56"/>
        <v>624290.4</v>
      </c>
      <c r="CY81" s="12">
        <f t="shared" si="57"/>
        <v>1950</v>
      </c>
      <c r="CZ81" s="199">
        <f t="shared" si="58"/>
        <v>0.00312354634958346</v>
      </c>
      <c r="DA81" s="192"/>
      <c r="DB81" s="192"/>
      <c r="DC81" s="277"/>
      <c r="DD81" s="8" t="str">
        <f t="shared" si="224"/>
        <v>2026//3/4</v>
      </c>
      <c r="DE81" s="257">
        <v>2365517.98</v>
      </c>
      <c r="DF81" s="12">
        <f t="shared" si="60"/>
        <v>2404317.98</v>
      </c>
      <c r="DG81" s="12">
        <f t="shared" si="61"/>
        <v>-38800</v>
      </c>
      <c r="DH81" s="199">
        <f t="shared" si="62"/>
        <v>-0.0161376325106549</v>
      </c>
      <c r="DI81" s="192"/>
      <c r="DJ81" s="192"/>
      <c r="DL81" s="8" t="str">
        <f t="shared" si="225"/>
        <v>2026//3/4</v>
      </c>
      <c r="DM81" s="200">
        <v>1364500.36</v>
      </c>
      <c r="DN81" s="12">
        <f t="shared" si="64"/>
        <v>1389700.36</v>
      </c>
      <c r="DO81" s="12">
        <f t="shared" si="65"/>
        <v>-25200</v>
      </c>
      <c r="DP81" s="199">
        <f t="shared" si="66"/>
        <v>-0.0181334053910729</v>
      </c>
      <c r="DQ81" s="192"/>
      <c r="DR81" s="192"/>
      <c r="DT81" s="8" t="str">
        <f t="shared" si="226"/>
        <v>2026//3/4</v>
      </c>
      <c r="DU81" s="200">
        <v>1766489.48</v>
      </c>
      <c r="DV81" s="12">
        <f t="shared" si="68"/>
        <v>1787189.48</v>
      </c>
      <c r="DW81" s="12">
        <f t="shared" si="69"/>
        <v>-20700</v>
      </c>
      <c r="DX81" s="199">
        <f t="shared" si="70"/>
        <v>-0.0115824316512875</v>
      </c>
      <c r="DY81" s="192"/>
      <c r="DZ81" s="192"/>
      <c r="EB81" s="8" t="str">
        <f t="shared" si="227"/>
        <v>2026//3/4</v>
      </c>
      <c r="EC81" s="200">
        <v>5006066.82</v>
      </c>
      <c r="ED81" s="12">
        <f t="shared" si="72"/>
        <v>5024966.82</v>
      </c>
      <c r="EE81" s="12">
        <f t="shared" si="73"/>
        <v>-18900</v>
      </c>
      <c r="EF81" s="199">
        <f t="shared" si="74"/>
        <v>-0.00376121886512277</v>
      </c>
      <c r="EG81" s="192"/>
      <c r="EH81" s="192"/>
      <c r="EJ81" s="8" t="str">
        <f t="shared" si="228"/>
        <v>2026//3/4</v>
      </c>
      <c r="EK81" s="257">
        <v>1617122.96</v>
      </c>
      <c r="EL81" s="12">
        <f t="shared" si="76"/>
        <v>1622522.96</v>
      </c>
      <c r="EM81" s="12">
        <f t="shared" si="77"/>
        <v>-5400</v>
      </c>
      <c r="EN81" s="199">
        <f t="shared" si="78"/>
        <v>-0.0033281501298447</v>
      </c>
      <c r="EO81" s="192"/>
      <c r="EP81" s="192"/>
      <c r="ER81" s="8" t="str">
        <f t="shared" si="229"/>
        <v>2026//3/4</v>
      </c>
      <c r="ES81" s="8">
        <v>551747.02</v>
      </c>
      <c r="ET81" s="12">
        <f t="shared" si="80"/>
        <v>553397.02</v>
      </c>
      <c r="EU81" s="12">
        <f t="shared" si="81"/>
        <v>-1650</v>
      </c>
      <c r="EV81" s="199">
        <f t="shared" si="82"/>
        <v>-0.00298158454123949</v>
      </c>
      <c r="EW81" s="192"/>
      <c r="EX81" s="192"/>
      <c r="EZ81" s="8" t="str">
        <f t="shared" si="230"/>
        <v>2026//3/4</v>
      </c>
      <c r="FA81" s="200">
        <v>792808</v>
      </c>
      <c r="FB81" s="12">
        <f t="shared" si="84"/>
        <v>791608</v>
      </c>
      <c r="FC81" s="12">
        <f t="shared" si="85"/>
        <v>1200</v>
      </c>
      <c r="FD81" s="199">
        <f t="shared" si="86"/>
        <v>0.00151590180998676</v>
      </c>
      <c r="FE81" s="192"/>
      <c r="FF81" s="192"/>
      <c r="FH81" s="8" t="str">
        <f t="shared" si="231"/>
        <v>2026//3/4</v>
      </c>
      <c r="FI81" s="198">
        <v>1139295.33</v>
      </c>
      <c r="FJ81" s="12">
        <f t="shared" si="88"/>
        <v>1154595.33</v>
      </c>
      <c r="FK81" s="12">
        <f t="shared" si="89"/>
        <v>-15300</v>
      </c>
      <c r="FL81" s="199">
        <f t="shared" si="90"/>
        <v>-0.0132513960540616</v>
      </c>
      <c r="FM81" s="201"/>
      <c r="FN81" s="201"/>
      <c r="FP81" s="8" t="str">
        <f t="shared" si="232"/>
        <v>2026//3/4</v>
      </c>
      <c r="FQ81" s="200">
        <v>2327818.73</v>
      </c>
      <c r="FR81" s="12">
        <f t="shared" si="92"/>
        <v>2378518.73</v>
      </c>
      <c r="FS81" s="12">
        <f t="shared" si="93"/>
        <v>-50700</v>
      </c>
      <c r="FT81" s="199">
        <f t="shared" si="94"/>
        <v>-0.0213157875784312</v>
      </c>
      <c r="FU81" s="192"/>
      <c r="FV81" s="192"/>
      <c r="FX81" s="8" t="str">
        <f t="shared" si="233"/>
        <v>2026//3/4</v>
      </c>
      <c r="FY81" s="200">
        <v>8123982.05</v>
      </c>
      <c r="FZ81" s="12">
        <f t="shared" si="96"/>
        <v>8090682.05</v>
      </c>
      <c r="GA81" s="12">
        <f t="shared" si="97"/>
        <v>33300</v>
      </c>
      <c r="GB81" s="199">
        <f t="shared" si="98"/>
        <v>0.00411584583279972</v>
      </c>
      <c r="GC81" s="192"/>
      <c r="GD81" s="192"/>
      <c r="GF81" s="8" t="str">
        <f t="shared" si="234"/>
        <v>2026//3/4</v>
      </c>
      <c r="GG81" s="200">
        <v>4745569.49</v>
      </c>
      <c r="GH81" s="12">
        <f t="shared" si="100"/>
        <v>4728869.49</v>
      </c>
      <c r="GI81" s="12">
        <f t="shared" si="101"/>
        <v>16700</v>
      </c>
      <c r="GJ81" s="199">
        <f t="shared" si="102"/>
        <v>0.00353149944935359</v>
      </c>
      <c r="GK81" s="192"/>
      <c r="GL81" s="192"/>
      <c r="GN81" s="8" t="str">
        <f t="shared" si="235"/>
        <v>2026//3/4</v>
      </c>
      <c r="GO81" s="257">
        <v>1832278.12</v>
      </c>
      <c r="GP81" s="12">
        <f t="shared" si="104"/>
        <v>1815358.12</v>
      </c>
      <c r="GQ81" s="12">
        <f t="shared" si="105"/>
        <v>16920</v>
      </c>
      <c r="GR81" s="199">
        <f t="shared" si="106"/>
        <v>0.00932047501459381</v>
      </c>
      <c r="GS81" s="192"/>
      <c r="GT81" s="192"/>
      <c r="GV81" s="8" t="str">
        <f t="shared" si="236"/>
        <v>2026//3/4</v>
      </c>
      <c r="GW81" s="200">
        <v>1007749.4</v>
      </c>
      <c r="GX81" s="12">
        <f t="shared" si="108"/>
        <v>1024549.4</v>
      </c>
      <c r="GY81" s="12">
        <f t="shared" si="109"/>
        <v>-16800</v>
      </c>
      <c r="GZ81" s="199">
        <f t="shared" si="110"/>
        <v>-0.0163974523824815</v>
      </c>
      <c r="HA81" s="192"/>
      <c r="HB81" s="192"/>
      <c r="HD81" s="8" t="str">
        <f t="shared" si="237"/>
        <v>2026//3/4</v>
      </c>
      <c r="HE81" s="257">
        <v>1081164.67</v>
      </c>
      <c r="HF81" s="12">
        <f t="shared" si="112"/>
        <v>1088264.67</v>
      </c>
      <c r="HG81" s="12">
        <f t="shared" si="113"/>
        <v>-7100</v>
      </c>
      <c r="HH81" s="199">
        <f t="shared" si="114"/>
        <v>-0.00652414821111486</v>
      </c>
      <c r="HI81" s="201"/>
      <c r="HJ81" s="192"/>
      <c r="HL81" s="8" t="str">
        <f t="shared" si="238"/>
        <v>2026//3/4</v>
      </c>
      <c r="HM81" s="200">
        <v>148904.25</v>
      </c>
      <c r="HN81" s="12">
        <f t="shared" si="116"/>
        <v>156954.25</v>
      </c>
      <c r="HO81" s="12">
        <f t="shared" si="117"/>
        <v>-8050</v>
      </c>
      <c r="HP81" s="199">
        <f t="shared" si="118"/>
        <v>-0.0512888309810024</v>
      </c>
      <c r="HQ81" s="192"/>
      <c r="HR81" s="192"/>
      <c r="HT81" s="8" t="str">
        <f t="shared" si="239"/>
        <v>2026//3/4</v>
      </c>
      <c r="HU81" s="257">
        <v>336368.82</v>
      </c>
      <c r="HV81" s="12">
        <f t="shared" si="120"/>
        <v>344168.82</v>
      </c>
      <c r="HW81" s="12">
        <f t="shared" si="121"/>
        <v>-7800</v>
      </c>
      <c r="HX81" s="199">
        <f t="shared" si="122"/>
        <v>-0.02266329646015</v>
      </c>
      <c r="HY81" s="192"/>
      <c r="HZ81" s="192"/>
      <c r="IB81" s="8" t="str">
        <f t="shared" si="240"/>
        <v>2026//3/4</v>
      </c>
      <c r="IC81" s="200">
        <v>490084.79</v>
      </c>
      <c r="ID81" s="12">
        <f t="shared" si="124"/>
        <v>491759.79</v>
      </c>
      <c r="IE81" s="12">
        <f t="shared" si="125"/>
        <v>-1675</v>
      </c>
      <c r="IF81" s="199">
        <f t="shared" si="126"/>
        <v>-0.0034061345275912</v>
      </c>
      <c r="IG81" s="201"/>
      <c r="IH81" s="192"/>
      <c r="IJ81" s="8" t="str">
        <f t="shared" si="241"/>
        <v>2026//3/4</v>
      </c>
      <c r="IK81" s="257">
        <v>445356.29</v>
      </c>
      <c r="IL81" s="12">
        <f t="shared" si="128"/>
        <v>427036.29</v>
      </c>
      <c r="IM81" s="12">
        <f t="shared" si="129"/>
        <v>18320</v>
      </c>
      <c r="IN81" s="199">
        <f t="shared" si="130"/>
        <v>0.0429003352384876</v>
      </c>
      <c r="IO81" s="192"/>
      <c r="IP81" s="192"/>
      <c r="IR81" s="8" t="str">
        <f t="shared" si="242"/>
        <v>2026//3/4</v>
      </c>
      <c r="IS81" s="200">
        <v>148589</v>
      </c>
      <c r="IT81" s="12">
        <f t="shared" si="132"/>
        <v>152789</v>
      </c>
      <c r="IU81" s="12">
        <f t="shared" si="133"/>
        <v>-4200</v>
      </c>
      <c r="IV81" s="199">
        <f t="shared" si="134"/>
        <v>-0.0274888899069959</v>
      </c>
      <c r="IW81" s="192"/>
      <c r="IX81" s="192"/>
      <c r="IZ81" s="8" t="str">
        <f t="shared" si="243"/>
        <v>2026//3/4</v>
      </c>
      <c r="JA81" s="200">
        <v>4977129.15</v>
      </c>
      <c r="JB81" s="12">
        <f t="shared" si="136"/>
        <v>4928529.15</v>
      </c>
      <c r="JC81" s="12">
        <f t="shared" si="137"/>
        <v>48600</v>
      </c>
      <c r="JD81" s="199">
        <f t="shared" si="138"/>
        <v>0.00986095415505456</v>
      </c>
      <c r="JE81" s="192"/>
      <c r="JF81" s="192"/>
      <c r="JH81" s="8" t="str">
        <f t="shared" si="244"/>
        <v>2026//3/4</v>
      </c>
      <c r="JI81" s="200">
        <v>1524867.99</v>
      </c>
      <c r="JJ81" s="12">
        <f t="shared" si="140"/>
        <v>1526727.99</v>
      </c>
      <c r="JK81" s="12">
        <f t="shared" si="141"/>
        <v>-1860</v>
      </c>
      <c r="JL81" s="199">
        <f t="shared" si="142"/>
        <v>-0.00121829167486475</v>
      </c>
      <c r="JM81" s="192"/>
      <c r="JN81" s="192"/>
      <c r="JP81" s="8" t="str">
        <f t="shared" si="245"/>
        <v>2026//3/4</v>
      </c>
      <c r="JQ81" s="257">
        <v>1172490.41</v>
      </c>
      <c r="JR81" s="12">
        <f t="shared" si="144"/>
        <v>1195490.41</v>
      </c>
      <c r="JS81" s="12">
        <f t="shared" si="145"/>
        <v>-23000</v>
      </c>
      <c r="JT81" s="199">
        <f t="shared" si="146"/>
        <v>-0.0192389665426091</v>
      </c>
      <c r="JU81" s="192"/>
      <c r="JV81" s="201"/>
      <c r="JX81" s="8" t="str">
        <f t="shared" si="246"/>
        <v>2026//3/4</v>
      </c>
      <c r="JY81" s="200">
        <v>1314548.8</v>
      </c>
      <c r="JZ81" s="12">
        <f t="shared" si="148"/>
        <v>1314548.8</v>
      </c>
      <c r="KA81" s="12">
        <f t="shared" si="149"/>
        <v>0</v>
      </c>
      <c r="KB81" s="199">
        <f t="shared" si="150"/>
        <v>0</v>
      </c>
      <c r="KC81" s="192"/>
      <c r="KD81" s="201"/>
      <c r="KF81" s="8" t="str">
        <f t="shared" si="247"/>
        <v>2026//3/4</v>
      </c>
      <c r="KG81" s="257">
        <v>792755.92</v>
      </c>
      <c r="KH81" s="12">
        <f t="shared" si="152"/>
        <v>792755.92</v>
      </c>
      <c r="KI81" s="12">
        <f t="shared" si="153"/>
        <v>0</v>
      </c>
      <c r="KJ81" s="199">
        <f t="shared" si="154"/>
        <v>0</v>
      </c>
      <c r="KK81" s="201"/>
      <c r="KL81" s="201"/>
      <c r="KN81" s="8" t="str">
        <f t="shared" si="248"/>
        <v>2026//3/4</v>
      </c>
      <c r="KO81" s="200">
        <v>7985575.95</v>
      </c>
      <c r="KP81" s="12">
        <f t="shared" si="156"/>
        <v>7944875.95</v>
      </c>
      <c r="KQ81" s="12">
        <f t="shared" si="157"/>
        <v>40700</v>
      </c>
      <c r="KR81" s="199">
        <f t="shared" si="158"/>
        <v>0.00512279867629651</v>
      </c>
      <c r="KS81" s="192"/>
      <c r="KT81" s="192"/>
      <c r="KV81" s="8" t="str">
        <f t="shared" si="249"/>
        <v>2026//3/4</v>
      </c>
      <c r="KW81" s="257">
        <v>1027472.97</v>
      </c>
      <c r="KX81" s="12">
        <f t="shared" si="160"/>
        <v>1027472.97</v>
      </c>
      <c r="KY81" s="12">
        <f t="shared" si="161"/>
        <v>0</v>
      </c>
      <c r="KZ81" s="199">
        <f t="shared" si="162"/>
        <v>0</v>
      </c>
      <c r="LA81" s="201"/>
      <c r="LB81" s="192"/>
      <c r="LD81" s="8" t="str">
        <f t="shared" si="250"/>
        <v>2026//3/4</v>
      </c>
      <c r="LE81" s="200">
        <v>559857.7</v>
      </c>
      <c r="LF81" s="12">
        <f t="shared" si="164"/>
        <v>529357.7</v>
      </c>
      <c r="LG81" s="12">
        <f t="shared" si="165"/>
        <v>30500</v>
      </c>
      <c r="LH81" s="199">
        <f t="shared" si="166"/>
        <v>0.0576169950866871</v>
      </c>
      <c r="LI81" s="192"/>
      <c r="LJ81" s="192"/>
      <c r="LL81" s="8" t="str">
        <f t="shared" si="251"/>
        <v>2026//3/4</v>
      </c>
      <c r="LM81" s="198">
        <v>3512995.02</v>
      </c>
      <c r="LN81" s="12">
        <f t="shared" si="168"/>
        <v>3523795.02</v>
      </c>
      <c r="LO81" s="12">
        <f t="shared" si="169"/>
        <v>-10800</v>
      </c>
      <c r="LP81" s="199">
        <f t="shared" si="170"/>
        <v>-0.0030648774797349</v>
      </c>
      <c r="LQ81" s="192"/>
      <c r="LR81" s="192"/>
      <c r="LT81" s="8" t="str">
        <f t="shared" si="252"/>
        <v>2026//3/4</v>
      </c>
      <c r="LU81" s="257">
        <v>2811662.9</v>
      </c>
      <c r="LV81" s="12">
        <f t="shared" si="172"/>
        <v>2804262.9</v>
      </c>
      <c r="LW81" s="12">
        <f t="shared" si="173"/>
        <v>7400</v>
      </c>
      <c r="LX81" s="199">
        <f t="shared" si="174"/>
        <v>0.00263883960380462</v>
      </c>
      <c r="LY81" s="192"/>
      <c r="LZ81" s="192"/>
      <c r="MB81" s="8" t="str">
        <f t="shared" si="253"/>
        <v>2026//3/4</v>
      </c>
      <c r="MC81" s="200">
        <v>833767.69</v>
      </c>
      <c r="MD81" s="12">
        <f t="shared" si="176"/>
        <v>834117.69</v>
      </c>
      <c r="ME81" s="12">
        <f t="shared" si="177"/>
        <v>-350</v>
      </c>
      <c r="MF81" s="199">
        <f t="shared" si="178"/>
        <v>-0.000419605055972377</v>
      </c>
      <c r="MG81" s="192"/>
      <c r="MH81" s="192"/>
      <c r="MI81" s="192"/>
      <c r="MJ81" s="192"/>
      <c r="MK81" s="8" t="str">
        <f t="shared" si="254"/>
        <v>2026//3/4</v>
      </c>
      <c r="ML81" s="258">
        <v>250665.53</v>
      </c>
      <c r="MM81" s="12">
        <f t="shared" si="180"/>
        <v>253065.53</v>
      </c>
      <c r="MN81" s="12">
        <f t="shared" si="181"/>
        <v>-2400</v>
      </c>
      <c r="MO81" s="199">
        <f t="shared" si="182"/>
        <v>-0.00948370961465989</v>
      </c>
      <c r="MP81" s="192"/>
      <c r="MQ81" s="201"/>
      <c r="MR81" s="201"/>
      <c r="MT81" s="26" t="str">
        <f t="shared" si="255"/>
        <v>2026//3/4</v>
      </c>
      <c r="MU81" s="8">
        <v>722914.8</v>
      </c>
      <c r="MV81" s="204">
        <f t="shared" si="184"/>
        <v>712914.8</v>
      </c>
      <c r="MW81" s="8">
        <f t="shared" si="185"/>
        <v>10000</v>
      </c>
      <c r="MX81" s="192">
        <f t="shared" si="186"/>
        <v>0.0140269215900694</v>
      </c>
      <c r="MY81" s="192"/>
      <c r="MZ81" s="192"/>
      <c r="NA81" s="192"/>
      <c r="NC81" s="26" t="str">
        <f t="shared" si="256"/>
        <v>2026//3/4</v>
      </c>
      <c r="ND81" s="8">
        <v>50491.48</v>
      </c>
      <c r="NE81" s="204">
        <f t="shared" si="188"/>
        <v>48891.48</v>
      </c>
      <c r="NF81" s="8">
        <f t="shared" si="189"/>
        <v>1600</v>
      </c>
      <c r="NG81" s="192">
        <f t="shared" si="190"/>
        <v>0.0327255382737442</v>
      </c>
      <c r="NH81" s="192"/>
      <c r="NI81" s="192"/>
      <c r="NJ81" s="192"/>
      <c r="NK81" s="192"/>
      <c r="NL81" s="205">
        <v>1.1795</v>
      </c>
      <c r="NM81" s="204" t="str">
        <f t="shared" si="257"/>
        <v>2026//3/4</v>
      </c>
      <c r="NN81" s="205">
        <v>2513511</v>
      </c>
      <c r="NO81" s="8">
        <f t="shared" si="192"/>
        <v>2510911</v>
      </c>
      <c r="NP81" s="205">
        <v>2600</v>
      </c>
      <c r="NQ81" s="292">
        <v>0.001</v>
      </c>
      <c r="NR81" s="293"/>
      <c r="NS81" s="205">
        <v>1.0173</v>
      </c>
      <c r="NT81" s="294"/>
      <c r="NU81" s="204" t="str">
        <f t="shared" si="258"/>
        <v>2026//3/4</v>
      </c>
      <c r="NV81" s="205">
        <v>246676</v>
      </c>
      <c r="NW81" s="205">
        <f t="shared" si="196"/>
        <v>245626</v>
      </c>
      <c r="NX81" s="205">
        <v>1050</v>
      </c>
      <c r="NY81" s="292">
        <v>0.0043</v>
      </c>
      <c r="NZ81" s="192"/>
      <c r="OA81" s="8"/>
      <c r="OC81" s="8" t="str">
        <f t="shared" si="259"/>
        <v>2026//3/4</v>
      </c>
      <c r="OD81" s="200">
        <v>12527.97</v>
      </c>
      <c r="OE81" s="12">
        <f t="shared" si="200"/>
        <v>12543.97</v>
      </c>
      <c r="OF81" s="12">
        <f t="shared" si="201"/>
        <v>-16</v>
      </c>
      <c r="OG81" s="199">
        <f t="shared" si="202"/>
        <v>-0.0012755132545757</v>
      </c>
      <c r="OH81" s="192"/>
      <c r="OI81" s="192"/>
      <c r="OK81" s="8" t="str">
        <f t="shared" si="260"/>
        <v>2026//3/4</v>
      </c>
      <c r="OL81" s="200">
        <v>10834.65</v>
      </c>
      <c r="OM81" s="12">
        <f t="shared" si="204"/>
        <v>10834.65</v>
      </c>
      <c r="ON81" s="12">
        <f t="shared" si="205"/>
        <v>0</v>
      </c>
      <c r="OO81" s="199">
        <f t="shared" si="206"/>
        <v>0</v>
      </c>
      <c r="OP81" s="192"/>
      <c r="OQ81" s="192"/>
      <c r="OT81" s="234" t="str">
        <f t="shared" si="211"/>
        <v>2026//3/4</v>
      </c>
      <c r="OU81" s="206">
        <v>141432.4066</v>
      </c>
      <c r="OV81" s="8">
        <f t="shared" si="208"/>
        <v>141312.4066</v>
      </c>
      <c r="OW81" s="191">
        <f t="shared" si="209"/>
        <v>120</v>
      </c>
      <c r="OX81" s="192">
        <f t="shared" si="210"/>
        <v>0.000849182339238429</v>
      </c>
    </row>
    <row r="82" s="8" customFormat="1" ht="17" customHeight="1" spans="1:414">
      <c r="A82" s="15"/>
      <c r="B82" s="15"/>
      <c r="C82" s="287" t="s">
        <v>511</v>
      </c>
      <c r="D82" s="19">
        <v>4457388.77</v>
      </c>
      <c r="E82" s="19">
        <f t="shared" ref="E82:E96" si="261">D83</f>
        <v>4476558.77</v>
      </c>
      <c r="F82" s="19">
        <f t="shared" ref="F82:F100" si="262">D82-E82</f>
        <v>-19170</v>
      </c>
      <c r="G82" s="172">
        <f t="shared" ref="G82:G100" si="263">F82/E82</f>
        <v>-0.00428230723306242</v>
      </c>
      <c r="H82" s="18"/>
      <c r="I82" s="172"/>
      <c r="J82" s="172"/>
      <c r="K82" s="19" t="str">
        <f t="shared" si="212"/>
        <v>2026//3/3</v>
      </c>
      <c r="L82" s="19">
        <v>3166984.4</v>
      </c>
      <c r="M82" s="19">
        <f t="shared" ref="M82:M96" si="264">L83</f>
        <v>3180124.4</v>
      </c>
      <c r="N82" s="19">
        <f t="shared" ref="N82:N100" si="265">L82-M82</f>
        <v>-13140</v>
      </c>
      <c r="O82" s="172">
        <f t="shared" ref="O82:O100" si="266">N82/M82</f>
        <v>-0.0041319138333079</v>
      </c>
      <c r="P82" s="18"/>
      <c r="Q82" s="172"/>
      <c r="R82" s="19"/>
      <c r="S82" s="19" t="str">
        <f t="shared" si="213"/>
        <v>2026//3/3</v>
      </c>
      <c r="T82" s="19">
        <v>2266716.68</v>
      </c>
      <c r="U82" s="19">
        <f t="shared" ref="U82:U96" si="267">T83</f>
        <v>2295156.68</v>
      </c>
      <c r="V82" s="19">
        <f t="shared" ref="V82:V100" si="268">T82-U82</f>
        <v>-28440</v>
      </c>
      <c r="W82" s="172">
        <f t="shared" ref="W82:W100" si="269">V82/U82</f>
        <v>-0.0123913109060598</v>
      </c>
      <c r="X82" s="18"/>
      <c r="Y82" s="172"/>
      <c r="Z82" s="19"/>
      <c r="AA82" s="19" t="str">
        <f t="shared" si="214"/>
        <v>2026//3/3</v>
      </c>
      <c r="AB82" s="19">
        <v>962576.86</v>
      </c>
      <c r="AC82" s="19">
        <f t="shared" ref="AC82:AC96" si="270">AB83</f>
        <v>983696.86</v>
      </c>
      <c r="AD82" s="19">
        <f t="shared" ref="AD82:AD100" si="271">AB82-AC82</f>
        <v>-21120</v>
      </c>
      <c r="AE82" s="172">
        <f t="shared" ref="AE82:AE100" si="272">AD82/AC82</f>
        <v>-0.0214700288867446</v>
      </c>
      <c r="AF82" s="18"/>
      <c r="AG82" s="172"/>
      <c r="AH82" s="19"/>
      <c r="AI82" s="19" t="str">
        <f t="shared" si="215"/>
        <v>2026//3/3</v>
      </c>
      <c r="AJ82" s="19">
        <v>825921.76</v>
      </c>
      <c r="AK82" s="19">
        <f t="shared" ref="AK82:AK96" si="273">AJ83</f>
        <v>822721.76</v>
      </c>
      <c r="AL82" s="19">
        <f t="shared" ref="AL82:AL100" si="274">AJ82-AK82</f>
        <v>3200</v>
      </c>
      <c r="AM82" s="172">
        <f t="shared" ref="AM82:AM100" si="275">AL82/AK82</f>
        <v>0.00388952882442297</v>
      </c>
      <c r="AN82" s="18"/>
      <c r="AO82" s="18"/>
      <c r="AP82" s="19"/>
      <c r="AQ82" s="19" t="str">
        <f t="shared" si="216"/>
        <v>2026//3/3</v>
      </c>
      <c r="AR82" s="21">
        <v>1778745.49</v>
      </c>
      <c r="AS82" s="19">
        <f t="shared" ref="AS82:AS96" si="276">AR83</f>
        <v>1773545.49</v>
      </c>
      <c r="AT82" s="19">
        <f t="shared" ref="AT82:AT101" si="277">AR82-AS82</f>
        <v>5200</v>
      </c>
      <c r="AU82" s="172">
        <f t="shared" ref="AU82:AU101" si="278">AT82/AS82</f>
        <v>0.00293198005313075</v>
      </c>
      <c r="AV82" s="18"/>
      <c r="AW82" s="18"/>
      <c r="AX82" s="17"/>
      <c r="AY82" s="205">
        <v>4.8638</v>
      </c>
      <c r="AZ82" s="204" t="str">
        <f t="shared" si="217"/>
        <v>2026//3/3</v>
      </c>
      <c r="BA82" s="17">
        <v>1991451.66</v>
      </c>
      <c r="BB82" s="205">
        <f t="shared" ref="BB82:BB132" si="279">BA83</f>
        <v>1987942</v>
      </c>
      <c r="BC82" s="17">
        <f t="shared" si="33"/>
        <v>3509.65999999992</v>
      </c>
      <c r="BD82" s="18">
        <f t="shared" si="34"/>
        <v>0.00176547404300524</v>
      </c>
      <c r="BE82" s="18"/>
      <c r="BF82" s="18"/>
      <c r="BG82" s="74"/>
      <c r="BH82" s="8" t="str">
        <f t="shared" si="218"/>
        <v>2026//3/3</v>
      </c>
      <c r="BI82" s="256">
        <v>1328426.55</v>
      </c>
      <c r="BJ82" s="195">
        <f t="shared" ref="BJ82:BJ96" si="280">BI83</f>
        <v>1263526.55</v>
      </c>
      <c r="BK82" s="195">
        <f t="shared" ref="BK82:BK101" si="281">BI82-BJ82</f>
        <v>64900</v>
      </c>
      <c r="BL82" s="196">
        <f t="shared" ref="BL82:BL101" si="282">BK82/BJ82</f>
        <v>0.0513641759249143</v>
      </c>
      <c r="BM82" s="197"/>
      <c r="BN82" s="192"/>
      <c r="BP82" s="8" t="str">
        <f t="shared" si="219"/>
        <v>2026//3/3</v>
      </c>
      <c r="BQ82" s="198">
        <v>1361262.39</v>
      </c>
      <c r="BR82" s="12">
        <f t="shared" ref="BR82:BR96" si="283">BQ83</f>
        <v>1365262.39</v>
      </c>
      <c r="BS82" s="12">
        <f t="shared" ref="BS82:BS101" si="284">BQ82-BR82</f>
        <v>-4000</v>
      </c>
      <c r="BT82" s="199">
        <f t="shared" ref="BT82:BT101" si="285">BS82/BR82</f>
        <v>-0.00292983973578881</v>
      </c>
      <c r="BU82" s="192"/>
      <c r="BV82" s="192"/>
      <c r="BX82" s="8" t="str">
        <f t="shared" si="220"/>
        <v>2026//3/3</v>
      </c>
      <c r="BY82" s="257">
        <v>3870460.7</v>
      </c>
      <c r="BZ82" s="12">
        <f t="shared" ref="BZ82:BZ96" si="286">BY83</f>
        <v>3854960.7</v>
      </c>
      <c r="CA82" s="12">
        <f t="shared" ref="CA82:CA100" si="287">BY82-BZ82</f>
        <v>15500</v>
      </c>
      <c r="CB82" s="199">
        <f t="shared" ref="CB82:CB100" si="288">CA82/BZ82</f>
        <v>0.0040207932599676</v>
      </c>
      <c r="CC82" s="192"/>
      <c r="CD82" s="201"/>
      <c r="CF82" s="8" t="str">
        <f t="shared" si="221"/>
        <v>2026//3/3</v>
      </c>
      <c r="CG82" s="200">
        <v>1747503.9</v>
      </c>
      <c r="CH82" s="12">
        <f t="shared" ref="CH82:CH145" si="289">CG83</f>
        <v>1708603.9</v>
      </c>
      <c r="CI82" s="12">
        <f t="shared" ref="CI82:CI145" si="290">CG82-CH82</f>
        <v>38900</v>
      </c>
      <c r="CJ82" s="199">
        <f t="shared" ref="CJ82:CJ145" si="291">CI82/CH82</f>
        <v>0.0227671258388208</v>
      </c>
      <c r="CK82" s="192"/>
      <c r="CL82" s="201"/>
      <c r="CN82" s="8" t="str">
        <f t="shared" si="222"/>
        <v>2026//3/3</v>
      </c>
      <c r="CO82" s="200">
        <v>755646.48</v>
      </c>
      <c r="CP82" s="12">
        <f t="shared" ref="CP82:CP96" si="292">CO83</f>
        <v>737046.48</v>
      </c>
      <c r="CQ82" s="12">
        <f t="shared" ref="CQ82:CQ145" si="293">CO82-CP82</f>
        <v>18600</v>
      </c>
      <c r="CR82" s="199">
        <f t="shared" ref="CR82:CR145" si="294">CQ82/CP82</f>
        <v>0.0252358575811935</v>
      </c>
      <c r="CS82" s="201"/>
      <c r="CT82" s="201"/>
      <c r="CV82" s="8" t="str">
        <f t="shared" si="223"/>
        <v>2026//3/3</v>
      </c>
      <c r="CW82" s="200">
        <v>624290.4</v>
      </c>
      <c r="CX82" s="12">
        <f t="shared" ref="CX82:CX96" si="295">CW83</f>
        <v>609590.4</v>
      </c>
      <c r="CY82" s="12">
        <f t="shared" ref="CY82:CY100" si="296">CW82-CX82</f>
        <v>14700</v>
      </c>
      <c r="CZ82" s="199">
        <f t="shared" ref="CZ82:CZ100" si="297">CY82/CX82</f>
        <v>0.0241145529850864</v>
      </c>
      <c r="DA82" s="192"/>
      <c r="DB82" s="192"/>
      <c r="DC82" s="277"/>
      <c r="DD82" s="8" t="str">
        <f t="shared" si="224"/>
        <v>2026//3/3</v>
      </c>
      <c r="DE82" s="257">
        <v>2404317.98</v>
      </c>
      <c r="DF82" s="12">
        <f t="shared" ref="DF82:DF145" si="298">DE83</f>
        <v>2404317.98</v>
      </c>
      <c r="DG82" s="12">
        <f t="shared" ref="DG82:DG101" si="299">DE82-DF82</f>
        <v>0</v>
      </c>
      <c r="DH82" s="199">
        <f t="shared" ref="DH82:DH101" si="300">DG82/DF82</f>
        <v>0</v>
      </c>
      <c r="DI82" s="192"/>
      <c r="DJ82" s="192"/>
      <c r="DL82" s="8" t="str">
        <f t="shared" si="225"/>
        <v>2026//3/3</v>
      </c>
      <c r="DM82" s="200">
        <v>1389700.36</v>
      </c>
      <c r="DN82" s="12">
        <f t="shared" ref="DN82:DN96" si="301">DM83</f>
        <v>1343500.36</v>
      </c>
      <c r="DO82" s="12">
        <f t="shared" ref="DO82:DO101" si="302">DM82-DN82</f>
        <v>46200</v>
      </c>
      <c r="DP82" s="199">
        <f t="shared" ref="DP82:DP101" si="303">DO82/DN82</f>
        <v>0.0343877838633404</v>
      </c>
      <c r="DQ82" s="192"/>
      <c r="DR82" s="192"/>
      <c r="DT82" s="8" t="str">
        <f t="shared" si="226"/>
        <v>2026//3/3</v>
      </c>
      <c r="DU82" s="200">
        <v>1787189.48</v>
      </c>
      <c r="DV82" s="12">
        <f t="shared" ref="DV82:DV96" si="304">DU83</f>
        <v>1764689.48</v>
      </c>
      <c r="DW82" s="12">
        <f t="shared" ref="DW82:DW101" si="305">DU82-DV82</f>
        <v>22500</v>
      </c>
      <c r="DX82" s="199">
        <f t="shared" ref="DX82:DX101" si="306">DW82/DV82</f>
        <v>0.0127501185081015</v>
      </c>
      <c r="DY82" s="192"/>
      <c r="DZ82" s="192"/>
      <c r="EB82" s="8" t="str">
        <f t="shared" si="227"/>
        <v>2026//3/3</v>
      </c>
      <c r="EC82" s="200">
        <v>5024966.82</v>
      </c>
      <c r="ED82" s="12">
        <f t="shared" ref="ED82:ED96" si="307">EC83</f>
        <v>4884566.82</v>
      </c>
      <c r="EE82" s="12">
        <f t="shared" ref="EE82:EE101" si="308">EC82-ED82</f>
        <v>140400</v>
      </c>
      <c r="EF82" s="199">
        <f t="shared" ref="EF82:EF101" si="309">EE82/ED82</f>
        <v>0.0287435928658255</v>
      </c>
      <c r="EG82" s="192"/>
      <c r="EH82" s="192"/>
      <c r="EJ82" s="8" t="str">
        <f t="shared" si="228"/>
        <v>2026//3/3</v>
      </c>
      <c r="EK82" s="257">
        <v>1622522.96</v>
      </c>
      <c r="EL82" s="12">
        <f t="shared" ref="EL82:EL96" si="310">EK83</f>
        <v>1629522.96</v>
      </c>
      <c r="EM82" s="12">
        <f t="shared" ref="EM82:EM101" si="311">EK82-EL82</f>
        <v>-7000</v>
      </c>
      <c r="EN82" s="199">
        <f t="shared" ref="EN82:EN101" si="312">EM82/EL82</f>
        <v>-0.00429573572869449</v>
      </c>
      <c r="EO82" s="192"/>
      <c r="EP82" s="192"/>
      <c r="ER82" s="8" t="str">
        <f t="shared" si="229"/>
        <v>2026//3/3</v>
      </c>
      <c r="ES82" s="8">
        <v>553397.02</v>
      </c>
      <c r="ET82" s="12">
        <f t="shared" ref="ET82:ET94" si="313">ES83</f>
        <v>551597.02</v>
      </c>
      <c r="EU82" s="12">
        <f t="shared" ref="EU82:EU94" si="314">ES82-ET82</f>
        <v>1800</v>
      </c>
      <c r="EV82" s="199">
        <f t="shared" ref="EV82:EV94" si="315">EU82/ET82</f>
        <v>0.00326325185730699</v>
      </c>
      <c r="EW82" s="192"/>
      <c r="EX82" s="192"/>
      <c r="EZ82" s="8" t="str">
        <f t="shared" si="230"/>
        <v>2026//3/3</v>
      </c>
      <c r="FA82" s="200">
        <v>791608</v>
      </c>
      <c r="FB82" s="12">
        <f t="shared" ref="FB82:FB96" si="316">FA83</f>
        <v>771408</v>
      </c>
      <c r="FC82" s="12">
        <f t="shared" ref="FC82:FC100" si="317">FA82-FB82</f>
        <v>20200</v>
      </c>
      <c r="FD82" s="199">
        <f t="shared" ref="FD82:FD100" si="318">FC82/FB82</f>
        <v>0.0261858834754112</v>
      </c>
      <c r="FE82" s="192"/>
      <c r="FF82" s="192"/>
      <c r="FH82" s="8" t="str">
        <f t="shared" si="231"/>
        <v>2026//3/3</v>
      </c>
      <c r="FI82" s="198">
        <v>1154595.33</v>
      </c>
      <c r="FJ82" s="12">
        <f t="shared" ref="FJ82:FJ97" si="319">FI83</f>
        <v>1125595.33</v>
      </c>
      <c r="FK82" s="12">
        <f t="shared" ref="FK82:FK100" si="320">FI82-FJ82</f>
        <v>29000</v>
      </c>
      <c r="FL82" s="199">
        <f t="shared" ref="FL82:FL100" si="321">FK82/FJ82</f>
        <v>0.0257641438508811</v>
      </c>
      <c r="FM82" s="201"/>
      <c r="FN82" s="201"/>
      <c r="FP82" s="8" t="str">
        <f t="shared" si="232"/>
        <v>2026//3/3</v>
      </c>
      <c r="FQ82" s="200">
        <v>2378518.73</v>
      </c>
      <c r="FR82" s="12">
        <f t="shared" ref="FR82:FR96" si="322">FQ83</f>
        <v>2392768.73</v>
      </c>
      <c r="FS82" s="12">
        <f t="shared" ref="FS82:FS100" si="323">FQ82-FR82</f>
        <v>-14250</v>
      </c>
      <c r="FT82" s="199">
        <f t="shared" ref="FT82:FT100" si="324">FS82/FR82</f>
        <v>-0.00595544392625024</v>
      </c>
      <c r="FU82" s="192"/>
      <c r="FV82" s="192"/>
      <c r="FX82" s="8" t="str">
        <f t="shared" si="233"/>
        <v>2026//3/3</v>
      </c>
      <c r="FY82" s="200">
        <v>8090682.05</v>
      </c>
      <c r="FZ82" s="12">
        <f t="shared" ref="FZ82:FZ96" si="325">FY83</f>
        <v>7957782.05</v>
      </c>
      <c r="GA82" s="12">
        <f t="shared" ref="GA82:GA100" si="326">FY82-FZ82</f>
        <v>132900</v>
      </c>
      <c r="GB82" s="199">
        <f t="shared" ref="GB82:GB100" si="327">GA82/FZ82</f>
        <v>0.0167006333127709</v>
      </c>
      <c r="GC82" s="192"/>
      <c r="GD82" s="192"/>
      <c r="GF82" s="8" t="str">
        <f t="shared" si="234"/>
        <v>2026//3/3</v>
      </c>
      <c r="GG82" s="200">
        <v>4728869.49</v>
      </c>
      <c r="GH82" s="12">
        <f t="shared" ref="GH82:GH96" si="328">GG83</f>
        <v>4688569.49</v>
      </c>
      <c r="GI82" s="12">
        <f t="shared" ref="GI82:GI100" si="329">GG82-GH82</f>
        <v>40300</v>
      </c>
      <c r="GJ82" s="199">
        <f t="shared" ref="GJ82:GJ100" si="330">GI82/GH82</f>
        <v>0.00859537223154178</v>
      </c>
      <c r="GK82" s="192"/>
      <c r="GL82" s="192"/>
      <c r="GN82" s="8" t="str">
        <f t="shared" si="235"/>
        <v>2026//3/3</v>
      </c>
      <c r="GO82" s="257">
        <v>1815358.12</v>
      </c>
      <c r="GP82" s="12">
        <f t="shared" ref="GP82:GP96" si="331">GO83</f>
        <v>1807858.12</v>
      </c>
      <c r="GQ82" s="12">
        <f t="shared" ref="GQ82:GQ100" si="332">GO82-GP82</f>
        <v>7500</v>
      </c>
      <c r="GR82" s="199">
        <f t="shared" ref="GR82:GR100" si="333">GQ82/GP82</f>
        <v>0.00414855563997467</v>
      </c>
      <c r="GS82" s="192"/>
      <c r="GT82" s="192"/>
      <c r="GV82" s="8" t="str">
        <f t="shared" si="236"/>
        <v>2026//3/3</v>
      </c>
      <c r="GW82" s="200">
        <v>1024549.4</v>
      </c>
      <c r="GX82" s="12">
        <f t="shared" ref="GX82:GX96" si="334">GW83</f>
        <v>1013749.4</v>
      </c>
      <c r="GY82" s="12">
        <f t="shared" ref="GY82:GY100" si="335">GW82-GX82</f>
        <v>10800</v>
      </c>
      <c r="GZ82" s="199">
        <f t="shared" ref="GZ82:GZ100" si="336">GY82/GX82</f>
        <v>0.0106535204854375</v>
      </c>
      <c r="HA82" s="192"/>
      <c r="HB82" s="192"/>
      <c r="HD82" s="8" t="str">
        <f t="shared" si="237"/>
        <v>2026//3/3</v>
      </c>
      <c r="HE82" s="257">
        <v>1088264.67</v>
      </c>
      <c r="HF82" s="12">
        <f t="shared" ref="HF82:HF96" si="337">HE83</f>
        <v>1109164.67</v>
      </c>
      <c r="HG82" s="12">
        <f t="shared" ref="HG82:HG100" si="338">HE82-HF82</f>
        <v>-20900</v>
      </c>
      <c r="HH82" s="199">
        <f t="shared" ref="HH82:HH100" si="339">HG82/HF82</f>
        <v>-0.0188430091268594</v>
      </c>
      <c r="HI82" s="201"/>
      <c r="HJ82" s="192"/>
      <c r="HL82" s="8" t="str">
        <f t="shared" si="238"/>
        <v>2026//3/3</v>
      </c>
      <c r="HM82" s="200">
        <v>156954.25</v>
      </c>
      <c r="HN82" s="12">
        <f t="shared" ref="HN82:HN96" si="340">HM83</f>
        <v>161654.25</v>
      </c>
      <c r="HO82" s="12">
        <f t="shared" ref="HO82:HO100" si="341">HM82-HN82</f>
        <v>-4700</v>
      </c>
      <c r="HP82" s="199">
        <f t="shared" ref="HP82:HP100" si="342">HO82/HN82</f>
        <v>-0.0290743979821131</v>
      </c>
      <c r="HQ82" s="192"/>
      <c r="HR82" s="192"/>
      <c r="HT82" s="8" t="str">
        <f t="shared" si="239"/>
        <v>2026//3/3</v>
      </c>
      <c r="HU82" s="257">
        <v>344168.82</v>
      </c>
      <c r="HV82" s="12">
        <f t="shared" ref="HV82:HV96" si="343">HU83</f>
        <v>355768.82</v>
      </c>
      <c r="HW82" s="12">
        <f t="shared" ref="HW82:HW100" si="344">HU82-HV82</f>
        <v>-11600</v>
      </c>
      <c r="HX82" s="199">
        <f t="shared" ref="HX82:HX100" si="345">HW82/HV82</f>
        <v>-0.0326054430514737</v>
      </c>
      <c r="HY82" s="192"/>
      <c r="HZ82" s="192"/>
      <c r="IB82" s="8" t="str">
        <f t="shared" si="240"/>
        <v>2026//3/3</v>
      </c>
      <c r="IC82" s="200">
        <v>491759.79</v>
      </c>
      <c r="ID82" s="12">
        <f t="shared" ref="ID82:ID96" si="346">IC83</f>
        <v>499934.79</v>
      </c>
      <c r="IE82" s="12">
        <f t="shared" ref="IE82:IE119" si="347">IC82-ID82</f>
        <v>-8175</v>
      </c>
      <c r="IF82" s="199">
        <f t="shared" ref="IF82:IF118" si="348">IE82/ID82</f>
        <v>-0.0163521326451396</v>
      </c>
      <c r="IG82" s="201"/>
      <c r="IH82" s="192"/>
      <c r="IJ82" s="8" t="str">
        <f t="shared" si="241"/>
        <v>2026//3/3</v>
      </c>
      <c r="IK82" s="257">
        <v>427036.29</v>
      </c>
      <c r="IL82" s="12">
        <f t="shared" ref="IL82:IL96" si="349">IK83</f>
        <v>420156.29</v>
      </c>
      <c r="IM82" s="12">
        <f t="shared" ref="IM82:IM100" si="350">IK82-IL82</f>
        <v>6880</v>
      </c>
      <c r="IN82" s="199">
        <f t="shared" ref="IN82:IN100" si="351">IM82/IL82</f>
        <v>0.0163748589840224</v>
      </c>
      <c r="IO82" s="192"/>
      <c r="IP82" s="192"/>
      <c r="IR82" s="8" t="str">
        <f t="shared" si="242"/>
        <v>2026//3/3</v>
      </c>
      <c r="IS82" s="200">
        <v>152789</v>
      </c>
      <c r="IT82" s="12">
        <f t="shared" ref="IT82:IT96" si="352">IS83</f>
        <v>152789</v>
      </c>
      <c r="IU82" s="12">
        <f t="shared" ref="IU82:IU101" si="353">IS82-IT82</f>
        <v>0</v>
      </c>
      <c r="IV82" s="199">
        <f t="shared" ref="IV82:IV101" si="354">IU82/IT82</f>
        <v>0</v>
      </c>
      <c r="IW82" s="192"/>
      <c r="IX82" s="192"/>
      <c r="IZ82" s="8" t="str">
        <f t="shared" si="243"/>
        <v>2026//3/3</v>
      </c>
      <c r="JA82" s="200">
        <v>4928529.15</v>
      </c>
      <c r="JB82" s="12">
        <f t="shared" ref="JB82:JB96" si="355">JA83</f>
        <v>4940029.15</v>
      </c>
      <c r="JC82" s="12">
        <f t="shared" ref="JC82:JC101" si="356">JA82-JB82</f>
        <v>-11500</v>
      </c>
      <c r="JD82" s="199">
        <f t="shared" ref="JD82:JD101" si="357">JC82/JB82</f>
        <v>-0.00232792148605034</v>
      </c>
      <c r="JE82" s="192"/>
      <c r="JF82" s="192"/>
      <c r="JH82" s="8" t="str">
        <f t="shared" si="244"/>
        <v>2026//3/3</v>
      </c>
      <c r="JI82" s="200">
        <v>1526727.99</v>
      </c>
      <c r="JJ82" s="12">
        <f t="shared" ref="JJ82:JJ96" si="358">JI83</f>
        <v>1464447.99</v>
      </c>
      <c r="JK82" s="12">
        <f t="shared" ref="JK82:JK100" si="359">JI82-JJ82</f>
        <v>62280</v>
      </c>
      <c r="JL82" s="199">
        <f t="shared" ref="JL82:JL100" si="360">JK82/JJ82</f>
        <v>0.0425279698734811</v>
      </c>
      <c r="JM82" s="192"/>
      <c r="JN82" s="192"/>
      <c r="JP82" s="8" t="str">
        <f t="shared" si="245"/>
        <v>2026//3/3</v>
      </c>
      <c r="JQ82" s="257">
        <v>1195490.41</v>
      </c>
      <c r="JR82" s="12">
        <f t="shared" ref="JR82:JR96" si="361">JQ83</f>
        <v>1237590.41</v>
      </c>
      <c r="JS82" s="12">
        <f t="shared" ref="JS82:JS100" si="362">JQ82-JR82</f>
        <v>-42100</v>
      </c>
      <c r="JT82" s="199">
        <f t="shared" ref="JT82:JT100" si="363">JS82/JR82</f>
        <v>-0.0340177167339233</v>
      </c>
      <c r="JU82" s="192"/>
      <c r="JV82" s="201"/>
      <c r="JX82" s="8" t="str">
        <f t="shared" si="246"/>
        <v>2026//3/3</v>
      </c>
      <c r="JY82" s="200">
        <v>1314548.8</v>
      </c>
      <c r="JZ82" s="12">
        <f t="shared" ref="JZ82:JZ96" si="364">JY83</f>
        <v>1314648.8</v>
      </c>
      <c r="KA82" s="12">
        <f t="shared" ref="KA82:KA100" si="365">JY82-JZ82</f>
        <v>-100</v>
      </c>
      <c r="KB82" s="199">
        <f t="shared" ref="KB82:KB100" si="366">KA82/JZ82</f>
        <v>-7.60659424783258e-5</v>
      </c>
      <c r="KC82" s="192"/>
      <c r="KD82" s="201"/>
      <c r="KF82" s="8" t="str">
        <f t="shared" si="247"/>
        <v>2026//3/3</v>
      </c>
      <c r="KG82" s="257">
        <v>792755.92</v>
      </c>
      <c r="KH82" s="12">
        <f t="shared" ref="KH82:KH96" si="367">KG83</f>
        <v>796755.92</v>
      </c>
      <c r="KI82" s="12">
        <f t="shared" ref="KI82:KI100" si="368">KG82-KH82</f>
        <v>-4000</v>
      </c>
      <c r="KJ82" s="199">
        <f t="shared" ref="KJ82:KJ100" si="369">KI82/KH82</f>
        <v>-0.00502035805394455</v>
      </c>
      <c r="KK82" s="201"/>
      <c r="KL82" s="201"/>
      <c r="KN82" s="8" t="str">
        <f t="shared" si="248"/>
        <v>2026//3/3</v>
      </c>
      <c r="KO82" s="200">
        <v>7944875.95</v>
      </c>
      <c r="KP82" s="12">
        <f t="shared" ref="KP82:KP96" si="370">KO83</f>
        <v>7855975.95</v>
      </c>
      <c r="KQ82" s="12">
        <f t="shared" ref="KQ82:KQ101" si="371">KO82-KP82</f>
        <v>88900</v>
      </c>
      <c r="KR82" s="199">
        <f t="shared" ref="KR82:KR101" si="372">KQ82/KP82</f>
        <v>0.0113162260890068</v>
      </c>
      <c r="KS82" s="192"/>
      <c r="KT82" s="192"/>
      <c r="KV82" s="8" t="str">
        <f t="shared" si="249"/>
        <v>2026//3/3</v>
      </c>
      <c r="KW82" s="257">
        <v>1027472.97</v>
      </c>
      <c r="KX82" s="12">
        <f t="shared" ref="KX82:KX97" si="373">KW83</f>
        <v>1013072.97</v>
      </c>
      <c r="KY82" s="12">
        <f t="shared" ref="KY82:KY99" si="374">KW82-KX82</f>
        <v>14400</v>
      </c>
      <c r="KZ82" s="199">
        <f t="shared" ref="KZ82:KZ99" si="375">KY82/KX82</f>
        <v>0.0142141784712704</v>
      </c>
      <c r="LA82" s="201"/>
      <c r="LB82" s="192"/>
      <c r="LD82" s="8" t="str">
        <f t="shared" si="250"/>
        <v>2026//3/3</v>
      </c>
      <c r="LE82" s="200">
        <v>529357.7</v>
      </c>
      <c r="LF82" s="12">
        <f t="shared" ref="LF82:LF96" si="376">LE83</f>
        <v>484907.7</v>
      </c>
      <c r="LG82" s="12">
        <f t="shared" ref="LG82:LG102" si="377">LE82-LF82</f>
        <v>44449.9999999999</v>
      </c>
      <c r="LH82" s="199">
        <f t="shared" ref="LH82:LH102" si="378">LG82/LF82</f>
        <v>0.0916669296033038</v>
      </c>
      <c r="LI82" s="192"/>
      <c r="LJ82" s="192"/>
      <c r="LL82" s="8" t="str">
        <f t="shared" si="251"/>
        <v>2026//3/3</v>
      </c>
      <c r="LM82" s="198">
        <v>3523795.02</v>
      </c>
      <c r="LN82" s="12">
        <f t="shared" ref="LN82:LN96" si="379">LM83</f>
        <v>3481855.02</v>
      </c>
      <c r="LO82" s="12">
        <f t="shared" ref="LO82:LO100" si="380">LM82-LN82</f>
        <v>41940</v>
      </c>
      <c r="LP82" s="199">
        <f t="shared" ref="LP82:LP100" si="381">LO82/LN82</f>
        <v>0.0120453033682028</v>
      </c>
      <c r="LQ82" s="192"/>
      <c r="LR82" s="192"/>
      <c r="LT82" s="8" t="str">
        <f t="shared" si="252"/>
        <v>2026//3/3</v>
      </c>
      <c r="LU82" s="257">
        <v>2804262.9</v>
      </c>
      <c r="LV82" s="12">
        <f t="shared" ref="LV82:LV96" si="382">LU83</f>
        <v>2812862.9</v>
      </c>
      <c r="LW82" s="12">
        <f t="shared" ref="LW82:LW100" si="383">LU82-LV82</f>
        <v>-8600</v>
      </c>
      <c r="LX82" s="199">
        <f t="shared" ref="LX82:LX100" si="384">LW82/LV82</f>
        <v>-0.00305738328021604</v>
      </c>
      <c r="LY82" s="192"/>
      <c r="LZ82" s="192"/>
      <c r="MB82" s="8" t="str">
        <f t="shared" si="253"/>
        <v>2026//3/3</v>
      </c>
      <c r="MC82" s="200">
        <v>834117.69</v>
      </c>
      <c r="MD82" s="12">
        <f t="shared" ref="MD82:MD96" si="385">MC83</f>
        <v>788917.69</v>
      </c>
      <c r="ME82" s="12">
        <f t="shared" ref="ME82:ME100" si="386">MC82-MD82</f>
        <v>45200</v>
      </c>
      <c r="MF82" s="199">
        <f t="shared" ref="MF82:MF100" si="387">ME82/MD82</f>
        <v>0.0572936829442879</v>
      </c>
      <c r="MG82" s="192"/>
      <c r="MH82" s="192"/>
      <c r="MI82" s="192"/>
      <c r="MJ82" s="192"/>
      <c r="MK82" s="8" t="str">
        <f t="shared" si="254"/>
        <v>2026//3/3</v>
      </c>
      <c r="ML82" s="258">
        <v>253065.53</v>
      </c>
      <c r="MM82" s="12">
        <f t="shared" ref="MM82:MM143" si="388">ML83</f>
        <v>253425.53</v>
      </c>
      <c r="MN82" s="12">
        <f t="shared" ref="MN82:MN94" si="389">ML82-MM82</f>
        <v>-360</v>
      </c>
      <c r="MO82" s="199">
        <f t="shared" ref="MO82:MO94" si="390">MN82/MM82</f>
        <v>-0.00142053565005862</v>
      </c>
      <c r="MP82" s="192"/>
      <c r="MQ82" s="201"/>
      <c r="MR82" s="201"/>
      <c r="MS82" s="204">
        <v>1.818</v>
      </c>
      <c r="MT82" s="295" t="str">
        <f t="shared" si="255"/>
        <v>2026//3/3</v>
      </c>
      <c r="MU82" s="8">
        <v>712914.8</v>
      </c>
      <c r="MV82" s="204">
        <f t="shared" ref="MV82:MV132" si="391">MU83</f>
        <v>387215</v>
      </c>
      <c r="MW82" s="8">
        <f t="shared" si="185"/>
        <v>325699.8</v>
      </c>
      <c r="MX82" s="192">
        <f t="shared" si="186"/>
        <v>0.841134253580053</v>
      </c>
      <c r="MY82" s="192"/>
      <c r="MZ82" s="192"/>
      <c r="NA82" s="192"/>
      <c r="NB82" s="204">
        <v>1.607</v>
      </c>
      <c r="NC82" s="204" t="str">
        <f t="shared" si="256"/>
        <v>2026//3/3</v>
      </c>
      <c r="ND82" s="8">
        <v>48891.48</v>
      </c>
      <c r="NE82" s="204">
        <f t="shared" ref="NE82:NE132" si="392">ND83</f>
        <v>50691</v>
      </c>
      <c r="NF82" s="8">
        <f t="shared" si="189"/>
        <v>-1799.52</v>
      </c>
      <c r="NG82" s="192">
        <f t="shared" si="190"/>
        <v>-0.0354997928626383</v>
      </c>
      <c r="NH82" s="192"/>
      <c r="NI82" s="192"/>
      <c r="NJ82" s="192"/>
      <c r="NK82" s="192"/>
      <c r="NL82" s="205">
        <v>1.1941</v>
      </c>
      <c r="NM82" s="204" t="str">
        <f t="shared" si="257"/>
        <v>2026//3/3</v>
      </c>
      <c r="NN82" s="205">
        <v>2510911</v>
      </c>
      <c r="NO82" s="8">
        <f t="shared" ref="NO82:NO128" si="393">NN83</f>
        <v>2514811</v>
      </c>
      <c r="NP82" s="205">
        <v>-3900</v>
      </c>
      <c r="NQ82" s="292">
        <v>-0.0016</v>
      </c>
      <c r="NR82" s="293"/>
      <c r="NS82" s="205">
        <v>1.0309</v>
      </c>
      <c r="NT82" s="294"/>
      <c r="NU82" s="204" t="str">
        <f t="shared" si="258"/>
        <v>2026//3/3</v>
      </c>
      <c r="NV82" s="205">
        <v>245626</v>
      </c>
      <c r="NW82" s="205">
        <f t="shared" ref="NW82:NW128" si="394">NV83</f>
        <v>244376</v>
      </c>
      <c r="NX82" s="205">
        <v>1250</v>
      </c>
      <c r="NY82" s="292">
        <v>0.0051</v>
      </c>
      <c r="NZ82" s="192"/>
      <c r="OA82" s="8"/>
      <c r="OC82" s="8" t="str">
        <f t="shared" si="259"/>
        <v>2026//3/3</v>
      </c>
      <c r="OD82" s="200">
        <v>12543.97</v>
      </c>
      <c r="OE82" s="12">
        <f t="shared" ref="OE82:OE99" si="395">OD83</f>
        <v>12557.97</v>
      </c>
      <c r="OF82" s="12">
        <f t="shared" ref="OF82:OF101" si="396">OD82-OE82</f>
        <v>-14</v>
      </c>
      <c r="OG82" s="199">
        <f t="shared" ref="OG82:OG101" si="397">OF82/OE82</f>
        <v>-0.00111482986501799</v>
      </c>
      <c r="OH82" s="192"/>
      <c r="OI82" s="192"/>
      <c r="OK82" s="8" t="str">
        <f t="shared" si="260"/>
        <v>2026//3/3</v>
      </c>
      <c r="OL82" s="200">
        <v>10834.65</v>
      </c>
      <c r="OM82" s="12">
        <f t="shared" ref="OM82:OM104" si="398">OL83</f>
        <v>10784.65</v>
      </c>
      <c r="ON82" s="12">
        <f t="shared" ref="ON82:ON105" si="399">OL82-OM82</f>
        <v>50</v>
      </c>
      <c r="OO82" s="199">
        <f t="shared" ref="OO82:OO104" si="400">ON82/OM82</f>
        <v>0.00463621907062352</v>
      </c>
      <c r="OP82" s="192"/>
      <c r="OQ82" s="192"/>
      <c r="OT82" s="234" t="str">
        <f t="shared" si="211"/>
        <v>2026//3/3</v>
      </c>
      <c r="OU82" s="206">
        <v>141312.4066</v>
      </c>
      <c r="OV82" s="8">
        <f t="shared" ref="OV82:OV145" si="401">OU83</f>
        <v>141192.4066</v>
      </c>
      <c r="OW82" s="191">
        <f t="shared" ref="OW82:OW145" si="402">OU82-OV82</f>
        <v>120</v>
      </c>
      <c r="OX82" s="192">
        <f t="shared" ref="OX82:OX145" si="403">OW82/OV82</f>
        <v>0.000849904062758571</v>
      </c>
    </row>
    <row r="83" s="8" customFormat="1" ht="17" customHeight="1" spans="1:414">
      <c r="A83" s="15"/>
      <c r="B83" s="15"/>
      <c r="C83" s="287" t="s">
        <v>512</v>
      </c>
      <c r="D83" s="19">
        <v>4476558.77</v>
      </c>
      <c r="E83" s="19">
        <f t="shared" si="261"/>
        <v>4561248.77</v>
      </c>
      <c r="F83" s="19">
        <f t="shared" si="262"/>
        <v>-84690</v>
      </c>
      <c r="G83" s="172">
        <f t="shared" si="263"/>
        <v>-0.0185672837134029</v>
      </c>
      <c r="H83" s="18"/>
      <c r="I83" s="172"/>
      <c r="J83" s="172"/>
      <c r="K83" s="19" t="str">
        <f t="shared" si="212"/>
        <v>2026//3/2</v>
      </c>
      <c r="L83" s="19">
        <v>3180124.4</v>
      </c>
      <c r="M83" s="19">
        <f t="shared" si="264"/>
        <v>3196954.4</v>
      </c>
      <c r="N83" s="19">
        <f t="shared" si="265"/>
        <v>-16830</v>
      </c>
      <c r="O83" s="172">
        <f t="shared" si="266"/>
        <v>-0.00526438537878426</v>
      </c>
      <c r="P83" s="18"/>
      <c r="Q83" s="172"/>
      <c r="R83" s="19"/>
      <c r="S83" s="19" t="str">
        <f t="shared" si="213"/>
        <v>2026//3/2</v>
      </c>
      <c r="T83" s="19">
        <v>2295156.68</v>
      </c>
      <c r="U83" s="19">
        <f t="shared" si="267"/>
        <v>2369046.68</v>
      </c>
      <c r="V83" s="19">
        <f t="shared" si="268"/>
        <v>-73890</v>
      </c>
      <c r="W83" s="172">
        <f t="shared" si="269"/>
        <v>-0.0311897611067757</v>
      </c>
      <c r="X83" s="18"/>
      <c r="Y83" s="172"/>
      <c r="Z83" s="19"/>
      <c r="AA83" s="19" t="str">
        <f t="shared" si="214"/>
        <v>2026//3/2</v>
      </c>
      <c r="AB83" s="19">
        <v>983696.86</v>
      </c>
      <c r="AC83" s="19">
        <f t="shared" si="270"/>
        <v>1030336.86</v>
      </c>
      <c r="AD83" s="19">
        <f t="shared" si="271"/>
        <v>-46640</v>
      </c>
      <c r="AE83" s="172">
        <f t="shared" si="272"/>
        <v>-0.0452667489737288</v>
      </c>
      <c r="AF83" s="18"/>
      <c r="AG83" s="172"/>
      <c r="AH83" s="19"/>
      <c r="AI83" s="19" t="str">
        <f t="shared" si="215"/>
        <v>2026//3/2</v>
      </c>
      <c r="AJ83" s="19">
        <v>822721.76</v>
      </c>
      <c r="AK83" s="19">
        <f t="shared" si="273"/>
        <v>893921.76</v>
      </c>
      <c r="AL83" s="19">
        <f t="shared" si="274"/>
        <v>-71200</v>
      </c>
      <c r="AM83" s="172">
        <f t="shared" si="275"/>
        <v>-0.0796490287919605</v>
      </c>
      <c r="AN83" s="18"/>
      <c r="AO83" s="18"/>
      <c r="AP83" s="19"/>
      <c r="AQ83" s="19" t="str">
        <f t="shared" si="216"/>
        <v>2026//3/2</v>
      </c>
      <c r="AR83" s="21">
        <v>1773545.49</v>
      </c>
      <c r="AS83" s="19">
        <f t="shared" si="276"/>
        <v>1835045.49</v>
      </c>
      <c r="AT83" s="19">
        <f t="shared" si="277"/>
        <v>-61500</v>
      </c>
      <c r="AU83" s="172">
        <f t="shared" si="278"/>
        <v>-0.0335141555537133</v>
      </c>
      <c r="AV83" s="18"/>
      <c r="AW83" s="18"/>
      <c r="AX83" s="17"/>
      <c r="AY83" s="205">
        <v>4.9398</v>
      </c>
      <c r="AZ83" s="204" t="str">
        <f t="shared" si="217"/>
        <v>2026//3/2</v>
      </c>
      <c r="BA83" s="205">
        <v>1987942</v>
      </c>
      <c r="BB83" s="205">
        <f t="shared" si="279"/>
        <v>2008912</v>
      </c>
      <c r="BC83" s="205">
        <v>-20970</v>
      </c>
      <c r="BD83" s="292">
        <v>-0.0104</v>
      </c>
      <c r="BE83" s="18"/>
      <c r="BF83" s="18"/>
      <c r="BG83" s="74"/>
      <c r="BH83" s="8" t="str">
        <f t="shared" si="218"/>
        <v>2026//3/2</v>
      </c>
      <c r="BI83" s="256">
        <v>1263526.55</v>
      </c>
      <c r="BJ83" s="195">
        <f t="shared" si="280"/>
        <v>1199526.55</v>
      </c>
      <c r="BK83" s="195">
        <f t="shared" si="281"/>
        <v>64000</v>
      </c>
      <c r="BL83" s="196">
        <f t="shared" si="282"/>
        <v>0.0533543838608658</v>
      </c>
      <c r="BM83" s="197"/>
      <c r="BN83" s="192"/>
      <c r="BP83" s="8" t="str">
        <f t="shared" si="219"/>
        <v>2026//3/2</v>
      </c>
      <c r="BQ83" s="198">
        <v>1365262.39</v>
      </c>
      <c r="BR83" s="12">
        <f t="shared" si="283"/>
        <v>1365462.39</v>
      </c>
      <c r="BS83" s="12">
        <f t="shared" si="284"/>
        <v>-200</v>
      </c>
      <c r="BT83" s="199">
        <f t="shared" si="285"/>
        <v>-0.00014647053003049</v>
      </c>
      <c r="BU83" s="192"/>
      <c r="BV83" s="192"/>
      <c r="BX83" s="8" t="str">
        <f t="shared" si="220"/>
        <v>2026//3/2</v>
      </c>
      <c r="BY83" s="257">
        <v>3854960.7</v>
      </c>
      <c r="BZ83" s="12">
        <f t="shared" si="286"/>
        <v>3773710.7</v>
      </c>
      <c r="CA83" s="12">
        <f t="shared" si="287"/>
        <v>81250</v>
      </c>
      <c r="CB83" s="199">
        <f t="shared" si="288"/>
        <v>0.0215305322689415</v>
      </c>
      <c r="CC83" s="192"/>
      <c r="CD83" s="201"/>
      <c r="CF83" s="8" t="str">
        <f t="shared" si="221"/>
        <v>2026//3/2</v>
      </c>
      <c r="CG83" s="200">
        <v>1708603.9</v>
      </c>
      <c r="CH83" s="12">
        <f t="shared" si="289"/>
        <v>1675703.9</v>
      </c>
      <c r="CI83" s="12">
        <f t="shared" si="290"/>
        <v>32900</v>
      </c>
      <c r="CJ83" s="199">
        <f t="shared" si="291"/>
        <v>0.0196335402692564</v>
      </c>
      <c r="CK83" s="192"/>
      <c r="CL83" s="201"/>
      <c r="CN83" s="8" t="str">
        <f t="shared" si="222"/>
        <v>2026//3/2</v>
      </c>
      <c r="CO83" s="200">
        <v>737046.48</v>
      </c>
      <c r="CP83" s="12">
        <f t="shared" si="292"/>
        <v>741046.48</v>
      </c>
      <c r="CQ83" s="12">
        <f t="shared" si="293"/>
        <v>-4000</v>
      </c>
      <c r="CR83" s="199">
        <f t="shared" si="294"/>
        <v>-0.00539777208036937</v>
      </c>
      <c r="CS83" s="201"/>
      <c r="CT83" s="201"/>
      <c r="CV83" s="8" t="str">
        <f t="shared" si="223"/>
        <v>2026//3/2</v>
      </c>
      <c r="CW83" s="200">
        <v>609590.4</v>
      </c>
      <c r="CX83" s="12">
        <f t="shared" si="295"/>
        <v>592990.4</v>
      </c>
      <c r="CY83" s="12">
        <f t="shared" si="296"/>
        <v>16600</v>
      </c>
      <c r="CZ83" s="199">
        <f t="shared" si="297"/>
        <v>0.0279937078239378</v>
      </c>
      <c r="DA83" s="192"/>
      <c r="DB83" s="192"/>
      <c r="DC83" s="277"/>
      <c r="DD83" s="8" t="str">
        <f t="shared" si="224"/>
        <v>2026//3/2</v>
      </c>
      <c r="DE83" s="257">
        <v>2404317.98</v>
      </c>
      <c r="DF83" s="12">
        <f t="shared" si="298"/>
        <v>2382517.98</v>
      </c>
      <c r="DG83" s="12">
        <f t="shared" si="299"/>
        <v>21800</v>
      </c>
      <c r="DH83" s="199">
        <f t="shared" si="300"/>
        <v>0.0091499834137663</v>
      </c>
      <c r="DI83" s="192"/>
      <c r="DJ83" s="192"/>
      <c r="DL83" s="8" t="str">
        <f t="shared" si="225"/>
        <v>2026//3/2</v>
      </c>
      <c r="DM83" s="200">
        <v>1343500.36</v>
      </c>
      <c r="DN83" s="12">
        <f t="shared" si="301"/>
        <v>1354500.36</v>
      </c>
      <c r="DO83" s="12">
        <f t="shared" si="302"/>
        <v>-11000</v>
      </c>
      <c r="DP83" s="199">
        <f t="shared" si="303"/>
        <v>-0.0081210757300943</v>
      </c>
      <c r="DQ83" s="192"/>
      <c r="DR83" s="192"/>
      <c r="DT83" s="8" t="str">
        <f t="shared" si="226"/>
        <v>2026//3/2</v>
      </c>
      <c r="DU83" s="200">
        <v>1764689.48</v>
      </c>
      <c r="DV83" s="12">
        <f t="shared" si="304"/>
        <v>1780589.48</v>
      </c>
      <c r="DW83" s="12">
        <f t="shared" si="305"/>
        <v>-15900</v>
      </c>
      <c r="DX83" s="199">
        <f t="shared" si="306"/>
        <v>-0.00892962705811336</v>
      </c>
      <c r="DY83" s="192"/>
      <c r="DZ83" s="192"/>
      <c r="EB83" s="8" t="str">
        <f t="shared" si="227"/>
        <v>2026//3/2</v>
      </c>
      <c r="EC83" s="200">
        <v>4884566.82</v>
      </c>
      <c r="ED83" s="12">
        <f t="shared" si="307"/>
        <v>4908866.82</v>
      </c>
      <c r="EE83" s="12">
        <f t="shared" si="308"/>
        <v>-24300</v>
      </c>
      <c r="EF83" s="199">
        <f t="shared" si="309"/>
        <v>-0.00495022596681488</v>
      </c>
      <c r="EG83" s="192"/>
      <c r="EH83" s="192"/>
      <c r="EJ83" s="8" t="str">
        <f t="shared" si="228"/>
        <v>2026//3/2</v>
      </c>
      <c r="EK83" s="257">
        <v>1629522.96</v>
      </c>
      <c r="EL83" s="12">
        <f t="shared" si="310"/>
        <v>1637522.96</v>
      </c>
      <c r="EM83" s="12">
        <f t="shared" si="311"/>
        <v>-8000</v>
      </c>
      <c r="EN83" s="199">
        <f t="shared" si="312"/>
        <v>-0.00488542768279719</v>
      </c>
      <c r="EO83" s="192"/>
      <c r="EP83" s="192"/>
      <c r="ER83" s="8" t="str">
        <f t="shared" si="229"/>
        <v>2026//3/2</v>
      </c>
      <c r="ES83" s="8">
        <v>551597.02</v>
      </c>
      <c r="ET83" s="12">
        <f t="shared" si="313"/>
        <v>552197.02</v>
      </c>
      <c r="EU83" s="12">
        <f t="shared" si="314"/>
        <v>-600</v>
      </c>
      <c r="EV83" s="199">
        <f t="shared" si="315"/>
        <v>-0.00108656870332259</v>
      </c>
      <c r="EW83" s="192"/>
      <c r="EX83" s="192"/>
      <c r="EZ83" s="8" t="str">
        <f t="shared" si="230"/>
        <v>2026//3/2</v>
      </c>
      <c r="FA83" s="200">
        <v>771408</v>
      </c>
      <c r="FB83" s="12">
        <f t="shared" si="316"/>
        <v>714908</v>
      </c>
      <c r="FC83" s="12">
        <f t="shared" si="317"/>
        <v>56500</v>
      </c>
      <c r="FD83" s="199">
        <f t="shared" si="318"/>
        <v>0.0790311480638068</v>
      </c>
      <c r="FE83" s="192"/>
      <c r="FF83" s="192"/>
      <c r="FH83" s="8" t="str">
        <f t="shared" si="231"/>
        <v>2026//3/2</v>
      </c>
      <c r="FI83" s="198">
        <v>1125595.33</v>
      </c>
      <c r="FJ83" s="12">
        <f t="shared" si="319"/>
        <v>1087695.33</v>
      </c>
      <c r="FK83" s="12">
        <f t="shared" si="320"/>
        <v>37900</v>
      </c>
      <c r="FL83" s="199">
        <f t="shared" si="321"/>
        <v>0.0348443161928442</v>
      </c>
      <c r="FM83" s="201"/>
      <c r="FN83" s="201"/>
      <c r="FP83" s="8" t="str">
        <f t="shared" si="232"/>
        <v>2026//3/2</v>
      </c>
      <c r="FQ83" s="200">
        <v>2392768.73</v>
      </c>
      <c r="FR83" s="12">
        <f t="shared" si="322"/>
        <v>2426818.73</v>
      </c>
      <c r="FS83" s="12">
        <f t="shared" si="323"/>
        <v>-34050</v>
      </c>
      <c r="FT83" s="199">
        <f t="shared" si="324"/>
        <v>-0.0140307141934742</v>
      </c>
      <c r="FU83" s="192"/>
      <c r="FV83" s="192"/>
      <c r="FX83" s="8" t="str">
        <f t="shared" si="233"/>
        <v>2026//3/2</v>
      </c>
      <c r="FY83" s="200">
        <v>7957782.05</v>
      </c>
      <c r="FZ83" s="12">
        <f t="shared" si="325"/>
        <v>7875482.05</v>
      </c>
      <c r="GA83" s="12">
        <f t="shared" si="326"/>
        <v>82300</v>
      </c>
      <c r="GB83" s="199">
        <f t="shared" si="327"/>
        <v>0.0104501539686704</v>
      </c>
      <c r="GC83" s="192"/>
      <c r="GD83" s="192"/>
      <c r="GF83" s="8" t="str">
        <f t="shared" si="234"/>
        <v>2026//3/2</v>
      </c>
      <c r="GG83" s="200">
        <v>4688569.49</v>
      </c>
      <c r="GH83" s="12">
        <f t="shared" si="328"/>
        <v>4631669.49</v>
      </c>
      <c r="GI83" s="12">
        <f t="shared" si="329"/>
        <v>56900</v>
      </c>
      <c r="GJ83" s="199">
        <f t="shared" si="330"/>
        <v>0.0122849871137934</v>
      </c>
      <c r="GK83" s="192"/>
      <c r="GL83" s="192"/>
      <c r="GN83" s="8" t="str">
        <f t="shared" si="235"/>
        <v>2026//3/2</v>
      </c>
      <c r="GO83" s="257">
        <v>1807858.12</v>
      </c>
      <c r="GP83" s="12">
        <f t="shared" si="331"/>
        <v>1792618.12</v>
      </c>
      <c r="GQ83" s="12">
        <f t="shared" si="332"/>
        <v>15240</v>
      </c>
      <c r="GR83" s="199">
        <f t="shared" si="333"/>
        <v>0.00850153182653314</v>
      </c>
      <c r="GS83" s="192"/>
      <c r="GT83" s="192"/>
      <c r="GV83" s="8" t="str">
        <f t="shared" si="236"/>
        <v>2026//3/2</v>
      </c>
      <c r="GW83" s="200">
        <v>1013749.4</v>
      </c>
      <c r="GX83" s="12">
        <f t="shared" si="334"/>
        <v>1020949.4</v>
      </c>
      <c r="GY83" s="12">
        <f t="shared" si="335"/>
        <v>-7200</v>
      </c>
      <c r="GZ83" s="199">
        <f t="shared" si="336"/>
        <v>-0.00705225939698872</v>
      </c>
      <c r="HA83" s="192"/>
      <c r="HB83" s="192"/>
      <c r="HD83" s="8" t="str">
        <f t="shared" si="237"/>
        <v>2026//3/2</v>
      </c>
      <c r="HE83" s="257">
        <v>1109164.67</v>
      </c>
      <c r="HF83" s="12">
        <f t="shared" si="337"/>
        <v>1128164.67</v>
      </c>
      <c r="HG83" s="12">
        <f t="shared" si="338"/>
        <v>-19000</v>
      </c>
      <c r="HH83" s="199">
        <f t="shared" si="339"/>
        <v>-0.0168415130390495</v>
      </c>
      <c r="HI83" s="201"/>
      <c r="HJ83" s="192"/>
      <c r="HL83" s="8" t="str">
        <f t="shared" si="238"/>
        <v>2026//3/2</v>
      </c>
      <c r="HM83" s="200">
        <v>161654.25</v>
      </c>
      <c r="HN83" s="12">
        <f t="shared" si="340"/>
        <v>157354.25</v>
      </c>
      <c r="HO83" s="12">
        <f t="shared" si="341"/>
        <v>4300</v>
      </c>
      <c r="HP83" s="199">
        <f t="shared" si="342"/>
        <v>0.027326875505428</v>
      </c>
      <c r="HQ83" s="192"/>
      <c r="HR83" s="192"/>
      <c r="HT83" s="8" t="str">
        <f t="shared" si="239"/>
        <v>2026//3/2</v>
      </c>
      <c r="HU83" s="257">
        <v>355768.82</v>
      </c>
      <c r="HV83" s="12">
        <f t="shared" si="343"/>
        <v>358568.82</v>
      </c>
      <c r="HW83" s="12">
        <f t="shared" si="344"/>
        <v>-2800</v>
      </c>
      <c r="HX83" s="199">
        <f t="shared" si="345"/>
        <v>-0.00780882174863949</v>
      </c>
      <c r="HY83" s="192"/>
      <c r="HZ83" s="192"/>
      <c r="IB83" s="8" t="str">
        <f t="shared" si="240"/>
        <v>2026//3/2</v>
      </c>
      <c r="IC83" s="200">
        <v>499934.79</v>
      </c>
      <c r="ID83" s="12">
        <f t="shared" si="346"/>
        <v>499059.79</v>
      </c>
      <c r="IE83" s="12">
        <f t="shared" si="347"/>
        <v>875</v>
      </c>
      <c r="IF83" s="199">
        <f t="shared" si="348"/>
        <v>0.0017532969346218</v>
      </c>
      <c r="IG83" s="201"/>
      <c r="IH83" s="192"/>
      <c r="IJ83" s="8" t="str">
        <f t="shared" si="241"/>
        <v>2026//3/2</v>
      </c>
      <c r="IK83" s="257">
        <v>420156.29</v>
      </c>
      <c r="IL83" s="12">
        <f t="shared" si="349"/>
        <v>399756.29</v>
      </c>
      <c r="IM83" s="12">
        <f t="shared" si="350"/>
        <v>20400</v>
      </c>
      <c r="IN83" s="199">
        <f t="shared" si="351"/>
        <v>0.0510310919685591</v>
      </c>
      <c r="IO83" s="192"/>
      <c r="IP83" s="192"/>
      <c r="IR83" s="8" t="str">
        <f t="shared" si="242"/>
        <v>2026//3/2</v>
      </c>
      <c r="IS83" s="200">
        <v>152789</v>
      </c>
      <c r="IT83" s="12">
        <f t="shared" si="352"/>
        <v>155489</v>
      </c>
      <c r="IU83" s="12">
        <f t="shared" si="353"/>
        <v>-2700</v>
      </c>
      <c r="IV83" s="199">
        <f t="shared" si="354"/>
        <v>-0.0173645724134826</v>
      </c>
      <c r="IW83" s="192"/>
      <c r="IX83" s="192"/>
      <c r="IZ83" s="8" t="str">
        <f t="shared" si="243"/>
        <v>2026//3/2</v>
      </c>
      <c r="JA83" s="200">
        <v>4940029.15</v>
      </c>
      <c r="JB83" s="12">
        <f t="shared" si="355"/>
        <v>4903829.15</v>
      </c>
      <c r="JC83" s="12">
        <f t="shared" si="356"/>
        <v>36200</v>
      </c>
      <c r="JD83" s="199">
        <f t="shared" si="357"/>
        <v>0.00738198638098964</v>
      </c>
      <c r="JE83" s="192"/>
      <c r="JF83" s="192"/>
      <c r="JH83" s="8" t="str">
        <f t="shared" si="244"/>
        <v>2026//3/2</v>
      </c>
      <c r="JI83" s="200">
        <v>1464447.99</v>
      </c>
      <c r="JJ83" s="12">
        <f t="shared" si="358"/>
        <v>1480767.99</v>
      </c>
      <c r="JK83" s="12">
        <f t="shared" si="359"/>
        <v>-16320</v>
      </c>
      <c r="JL83" s="199">
        <f t="shared" si="360"/>
        <v>-0.0110213079362959</v>
      </c>
      <c r="JM83" s="192"/>
      <c r="JN83" s="192"/>
      <c r="JP83" s="8" t="str">
        <f t="shared" si="245"/>
        <v>2026//3/2</v>
      </c>
      <c r="JQ83" s="257">
        <v>1237590.41</v>
      </c>
      <c r="JR83" s="12">
        <f t="shared" si="361"/>
        <v>1230490.41</v>
      </c>
      <c r="JS83" s="12">
        <f t="shared" si="362"/>
        <v>7100</v>
      </c>
      <c r="JT83" s="199">
        <f t="shared" si="363"/>
        <v>0.00577005715956779</v>
      </c>
      <c r="JU83" s="192"/>
      <c r="JV83" s="201"/>
      <c r="JX83" s="8" t="str">
        <f t="shared" si="246"/>
        <v>2026//3/2</v>
      </c>
      <c r="JY83" s="200">
        <v>1314648.8</v>
      </c>
      <c r="JZ83" s="12">
        <f t="shared" si="364"/>
        <v>1308448.8</v>
      </c>
      <c r="KA83" s="12">
        <f t="shared" si="365"/>
        <v>6200</v>
      </c>
      <c r="KB83" s="199">
        <f t="shared" si="366"/>
        <v>0.00473843531363245</v>
      </c>
      <c r="KC83" s="192"/>
      <c r="KD83" s="201"/>
      <c r="KF83" s="8" t="str">
        <f t="shared" si="247"/>
        <v>2026//3/2</v>
      </c>
      <c r="KG83" s="257">
        <v>796755.92</v>
      </c>
      <c r="KH83" s="12">
        <f t="shared" si="367"/>
        <v>800155.92</v>
      </c>
      <c r="KI83" s="12">
        <f t="shared" si="368"/>
        <v>-3400</v>
      </c>
      <c r="KJ83" s="199">
        <f t="shared" si="369"/>
        <v>-0.00424917183640908</v>
      </c>
      <c r="KK83" s="201"/>
      <c r="KL83" s="201"/>
      <c r="KN83" s="8" t="str">
        <f t="shared" si="248"/>
        <v>2026//3/2</v>
      </c>
      <c r="KO83" s="200">
        <v>7855975.95</v>
      </c>
      <c r="KP83" s="12">
        <f t="shared" si="370"/>
        <v>7778175.95</v>
      </c>
      <c r="KQ83" s="12">
        <f t="shared" si="371"/>
        <v>77800</v>
      </c>
      <c r="KR83" s="199">
        <f t="shared" si="372"/>
        <v>0.0100023450870895</v>
      </c>
      <c r="KS83" s="192"/>
      <c r="KT83" s="192"/>
      <c r="KV83" s="8" t="str">
        <f t="shared" si="249"/>
        <v>2026//3/2</v>
      </c>
      <c r="KW83" s="257">
        <v>1013072.97</v>
      </c>
      <c r="KX83" s="12">
        <f t="shared" si="373"/>
        <v>1013072.97</v>
      </c>
      <c r="KY83" s="12">
        <f t="shared" si="374"/>
        <v>0</v>
      </c>
      <c r="KZ83" s="199">
        <f t="shared" si="375"/>
        <v>0</v>
      </c>
      <c r="LA83" s="201"/>
      <c r="LB83" s="192"/>
      <c r="LD83" s="8" t="str">
        <f t="shared" si="250"/>
        <v>2026//3/2</v>
      </c>
      <c r="LE83" s="200">
        <v>484907.7</v>
      </c>
      <c r="LF83" s="12">
        <f t="shared" si="376"/>
        <v>470807.7</v>
      </c>
      <c r="LG83" s="12">
        <f t="shared" si="377"/>
        <v>14100</v>
      </c>
      <c r="LH83" s="199">
        <f t="shared" si="378"/>
        <v>0.0299485331272195</v>
      </c>
      <c r="LI83" s="192"/>
      <c r="LJ83" s="192"/>
      <c r="LL83" s="8" t="str">
        <f t="shared" si="251"/>
        <v>2026//3/2</v>
      </c>
      <c r="LM83" s="198">
        <v>3481855.02</v>
      </c>
      <c r="LN83" s="12">
        <f t="shared" si="379"/>
        <v>3438115.02</v>
      </c>
      <c r="LO83" s="12">
        <f t="shared" si="380"/>
        <v>43740</v>
      </c>
      <c r="LP83" s="199">
        <f t="shared" si="381"/>
        <v>0.0127220874652413</v>
      </c>
      <c r="LQ83" s="192"/>
      <c r="LR83" s="192"/>
      <c r="LT83" s="8" t="str">
        <f t="shared" si="252"/>
        <v>2026//3/2</v>
      </c>
      <c r="LU83" s="257">
        <v>2812862.9</v>
      </c>
      <c r="LV83" s="12">
        <f t="shared" si="382"/>
        <v>2817062.9</v>
      </c>
      <c r="LW83" s="12">
        <f t="shared" si="383"/>
        <v>-4200</v>
      </c>
      <c r="LX83" s="199">
        <f t="shared" si="384"/>
        <v>-0.00149091452661565</v>
      </c>
      <c r="LY83" s="192"/>
      <c r="LZ83" s="192"/>
      <c r="MB83" s="8" t="str">
        <f t="shared" si="253"/>
        <v>2026//3/2</v>
      </c>
      <c r="MC83" s="200">
        <v>788917.69</v>
      </c>
      <c r="MD83" s="12">
        <f t="shared" si="385"/>
        <v>782517.69</v>
      </c>
      <c r="ME83" s="12">
        <f t="shared" si="386"/>
        <v>6400</v>
      </c>
      <c r="MF83" s="199">
        <f t="shared" si="387"/>
        <v>0.00817872884126108</v>
      </c>
      <c r="MG83" s="192"/>
      <c r="MH83" s="192"/>
      <c r="MI83" s="192"/>
      <c r="MJ83" s="192"/>
      <c r="MK83" s="8" t="str">
        <f t="shared" si="254"/>
        <v>2026//3/2</v>
      </c>
      <c r="ML83" s="258">
        <v>253425.53</v>
      </c>
      <c r="MM83" s="12">
        <f t="shared" si="388"/>
        <v>254865.53</v>
      </c>
      <c r="MN83" s="12">
        <f t="shared" si="389"/>
        <v>-1440</v>
      </c>
      <c r="MO83" s="199">
        <f t="shared" si="390"/>
        <v>-0.00565003827704751</v>
      </c>
      <c r="MP83" s="192"/>
      <c r="MQ83" s="201"/>
      <c r="MR83" s="201"/>
      <c r="MS83" s="204">
        <v>1.7031</v>
      </c>
      <c r="MT83" s="295" t="str">
        <f t="shared" si="255"/>
        <v>2026//3/2</v>
      </c>
      <c r="MU83" s="204">
        <v>387215</v>
      </c>
      <c r="MV83" s="204">
        <f t="shared" si="391"/>
        <v>204415</v>
      </c>
      <c r="MW83" s="204">
        <v>182800</v>
      </c>
      <c r="MX83" s="296">
        <v>0.8943</v>
      </c>
      <c r="MY83" s="192"/>
      <c r="MZ83" s="192"/>
      <c r="NA83" s="192"/>
      <c r="NB83" s="204">
        <v>1.647</v>
      </c>
      <c r="NC83" s="204" t="str">
        <f t="shared" si="256"/>
        <v>2026//3/2</v>
      </c>
      <c r="ND83" s="204">
        <v>50691</v>
      </c>
      <c r="NE83" s="204">
        <f t="shared" si="392"/>
        <v>45891</v>
      </c>
      <c r="NF83" s="204">
        <v>4800</v>
      </c>
      <c r="NG83" s="296">
        <v>0.1046</v>
      </c>
      <c r="NH83" s="192"/>
      <c r="NI83" s="192"/>
      <c r="NJ83" s="192"/>
      <c r="NK83" s="192"/>
      <c r="NL83" s="205">
        <v>1.1825</v>
      </c>
      <c r="NM83" s="204" t="str">
        <f t="shared" si="257"/>
        <v>2026//3/2</v>
      </c>
      <c r="NN83" s="205">
        <v>2514811</v>
      </c>
      <c r="NO83" s="8">
        <f t="shared" si="393"/>
        <v>2541211</v>
      </c>
      <c r="NP83" s="205">
        <v>-26400</v>
      </c>
      <c r="NQ83" s="292">
        <v>-0.0104</v>
      </c>
      <c r="NR83" s="293"/>
      <c r="NS83" s="205">
        <v>1.041</v>
      </c>
      <c r="NT83" s="294"/>
      <c r="NU83" s="204" t="str">
        <f t="shared" si="258"/>
        <v>2026//3/2</v>
      </c>
      <c r="NV83" s="205">
        <v>244376</v>
      </c>
      <c r="NW83" s="205">
        <f t="shared" si="394"/>
        <v>242226</v>
      </c>
      <c r="NX83" s="205">
        <v>2150</v>
      </c>
      <c r="NY83" s="292">
        <v>0.0089</v>
      </c>
      <c r="NZ83" s="192"/>
      <c r="OA83" s="8"/>
      <c r="OC83" s="8" t="str">
        <f t="shared" si="259"/>
        <v>2026//3/2</v>
      </c>
      <c r="OD83" s="200">
        <v>12557.97</v>
      </c>
      <c r="OE83" s="12">
        <f t="shared" si="395"/>
        <v>12671.97</v>
      </c>
      <c r="OF83" s="12">
        <f t="shared" si="396"/>
        <v>-114</v>
      </c>
      <c r="OG83" s="199">
        <f t="shared" si="397"/>
        <v>-0.00899623341911321</v>
      </c>
      <c r="OH83" s="192"/>
      <c r="OI83" s="192"/>
      <c r="OK83" s="8" t="str">
        <f t="shared" si="260"/>
        <v>2026//3/2</v>
      </c>
      <c r="OL83" s="200">
        <v>10784.65</v>
      </c>
      <c r="OM83" s="12">
        <f t="shared" si="398"/>
        <v>11157.65</v>
      </c>
      <c r="ON83" s="12">
        <f t="shared" si="399"/>
        <v>-373</v>
      </c>
      <c r="OO83" s="199">
        <f t="shared" si="400"/>
        <v>-0.0334299785349065</v>
      </c>
      <c r="OP83" s="192"/>
      <c r="OQ83" s="192"/>
      <c r="OT83" s="234" t="str">
        <f t="shared" si="211"/>
        <v>2026//3/2</v>
      </c>
      <c r="OU83" s="206">
        <v>141192.4066</v>
      </c>
      <c r="OV83" s="8">
        <f t="shared" si="401"/>
        <v>141072.4066</v>
      </c>
      <c r="OW83" s="191">
        <f t="shared" si="402"/>
        <v>120</v>
      </c>
      <c r="OX83" s="192">
        <f t="shared" si="403"/>
        <v>0.000850627014113758</v>
      </c>
    </row>
    <row r="84" s="11" customFormat="1" ht="17" customHeight="1" spans="1:414">
      <c r="A84" s="100"/>
      <c r="B84" s="100"/>
      <c r="C84" s="297" t="s">
        <v>430</v>
      </c>
      <c r="D84" s="88">
        <v>4561248.77</v>
      </c>
      <c r="E84" s="88">
        <f t="shared" si="261"/>
        <v>4559628.77</v>
      </c>
      <c r="F84" s="88">
        <f t="shared" si="262"/>
        <v>1620</v>
      </c>
      <c r="G84" s="236">
        <f t="shared" si="263"/>
        <v>0.000355292082254319</v>
      </c>
      <c r="H84" s="87">
        <f>(D84-D88)/D88</f>
        <v>-0.0110832421580202</v>
      </c>
      <c r="I84" s="236">
        <f>(D84-D98)/D98</f>
        <v>-0.0631636832412494</v>
      </c>
      <c r="J84" s="236"/>
      <c r="K84" s="88" t="str">
        <f t="shared" si="212"/>
        <v>2026//2/27</v>
      </c>
      <c r="L84" s="88">
        <v>3196954.4</v>
      </c>
      <c r="M84" s="88">
        <f t="shared" si="264"/>
        <v>3199564.4</v>
      </c>
      <c r="N84" s="88">
        <f t="shared" si="265"/>
        <v>-2610</v>
      </c>
      <c r="O84" s="236">
        <f t="shared" si="266"/>
        <v>-0.000815736042068727</v>
      </c>
      <c r="P84" s="87">
        <f>(L84-L88)/L88</f>
        <v>-0.0072107895771111</v>
      </c>
      <c r="Q84" s="236">
        <f>(L84-L98)/L98</f>
        <v>-0.0155748927555625</v>
      </c>
      <c r="R84" s="88"/>
      <c r="S84" s="88" t="str">
        <f t="shared" si="213"/>
        <v>2026//2/27</v>
      </c>
      <c r="T84" s="88">
        <v>2369046.68</v>
      </c>
      <c r="U84" s="88">
        <f t="shared" si="267"/>
        <v>2373366.68</v>
      </c>
      <c r="V84" s="88">
        <f t="shared" si="268"/>
        <v>-4320</v>
      </c>
      <c r="W84" s="236">
        <f t="shared" si="269"/>
        <v>-0.00182019914428056</v>
      </c>
      <c r="X84" s="87">
        <f>(T84-T88)/T88</f>
        <v>-0.00858733098839493</v>
      </c>
      <c r="Y84" s="236">
        <f>(T84-T98)/T98</f>
        <v>-0.0730039060474437</v>
      </c>
      <c r="Z84" s="88"/>
      <c r="AA84" s="88" t="str">
        <f t="shared" si="214"/>
        <v>2026//2/27</v>
      </c>
      <c r="AB84" s="88">
        <v>1030336.86</v>
      </c>
      <c r="AC84" s="88">
        <f t="shared" si="270"/>
        <v>1042696.86</v>
      </c>
      <c r="AD84" s="88">
        <f t="shared" si="271"/>
        <v>-12360</v>
      </c>
      <c r="AE84" s="236">
        <f t="shared" si="272"/>
        <v>-0.0118538766866527</v>
      </c>
      <c r="AF84" s="87">
        <f>(AB84-AB88)/AB88</f>
        <v>-0.0546473727798428</v>
      </c>
      <c r="AG84" s="236">
        <f>(AB84-AB98)/AB98</f>
        <v>-0.182698406924149</v>
      </c>
      <c r="AH84" s="88"/>
      <c r="AI84" s="88" t="str">
        <f t="shared" si="215"/>
        <v>2026//2/27</v>
      </c>
      <c r="AJ84" s="88">
        <v>893921.76</v>
      </c>
      <c r="AK84" s="88">
        <f t="shared" si="273"/>
        <v>911521.76</v>
      </c>
      <c r="AL84" s="88">
        <f t="shared" si="274"/>
        <v>-17600</v>
      </c>
      <c r="AM84" s="236">
        <f t="shared" si="275"/>
        <v>-0.0193083706526106</v>
      </c>
      <c r="AN84" s="87">
        <f>(AJ84-AJ88)/AJ88</f>
        <v>-0.119394544354955</v>
      </c>
      <c r="AO84" s="87">
        <f>(AJ84-AJ98)/AJ98</f>
        <v>-0.16543403991718</v>
      </c>
      <c r="AP84" s="88"/>
      <c r="AQ84" s="88" t="str">
        <f t="shared" si="216"/>
        <v>2026//2/27</v>
      </c>
      <c r="AR84" s="90">
        <v>1835045.49</v>
      </c>
      <c r="AS84" s="88">
        <f t="shared" si="276"/>
        <v>1848945.49</v>
      </c>
      <c r="AT84" s="88">
        <f t="shared" si="277"/>
        <v>-13900</v>
      </c>
      <c r="AU84" s="236">
        <f t="shared" si="278"/>
        <v>-0.00751779869940893</v>
      </c>
      <c r="AV84" s="87">
        <f>(AR84-AR88)/AR88</f>
        <v>-0.0419245511680506</v>
      </c>
      <c r="AW84" s="87">
        <f>(AR84-AR98)/AR98</f>
        <v>-0.0303311246233042</v>
      </c>
      <c r="AX84" s="85"/>
      <c r="AY84" s="253">
        <v>4.9212</v>
      </c>
      <c r="AZ84" s="252" t="str">
        <f t="shared" si="217"/>
        <v>2026//2/27</v>
      </c>
      <c r="BA84" s="253">
        <v>2008912</v>
      </c>
      <c r="BB84" s="253">
        <f t="shared" si="279"/>
        <v>2009272</v>
      </c>
      <c r="BC84" s="253">
        <v>-360</v>
      </c>
      <c r="BD84" s="298">
        <v>-0.0002</v>
      </c>
      <c r="BE84" s="87">
        <f>(BA84-BA88)/BA88</f>
        <v>-0.00667519773419066</v>
      </c>
      <c r="BF84" s="87">
        <f>(BA84-BA98)/BA98</f>
        <v>-0.0329271674163534</v>
      </c>
      <c r="BG84" s="299"/>
      <c r="BH84" s="11" t="str">
        <f t="shared" si="218"/>
        <v>2026//2/27</v>
      </c>
      <c r="BI84" s="300">
        <v>1199526.55</v>
      </c>
      <c r="BJ84" s="301">
        <f t="shared" si="280"/>
        <v>1114926.55</v>
      </c>
      <c r="BK84" s="301">
        <f t="shared" si="281"/>
        <v>84600</v>
      </c>
      <c r="BL84" s="302">
        <f t="shared" si="282"/>
        <v>0.0758794379773268</v>
      </c>
      <c r="BM84" s="303">
        <f>(BI84-BI88)/BI88</f>
        <v>0.213571762110194</v>
      </c>
      <c r="BN84" s="304">
        <f>(BI84-BI98)/BI98</f>
        <v>0.228612035594034</v>
      </c>
      <c r="BP84" s="11" t="str">
        <f t="shared" si="219"/>
        <v>2026//2/27</v>
      </c>
      <c r="BQ84" s="305">
        <v>1365462.39</v>
      </c>
      <c r="BR84" s="306">
        <f t="shared" si="283"/>
        <v>1404962.39</v>
      </c>
      <c r="BS84" s="306">
        <f t="shared" si="284"/>
        <v>-39500</v>
      </c>
      <c r="BT84" s="307">
        <f t="shared" si="285"/>
        <v>-0.0281146315952273</v>
      </c>
      <c r="BU84" s="304">
        <f>(BQ84-BQ88)/BQ88</f>
        <v>-0.0558681471347672</v>
      </c>
      <c r="BV84" s="304">
        <f>(BQ84-BQ98)/BQ98</f>
        <v>-0.153391883606388</v>
      </c>
      <c r="BX84" s="11" t="str">
        <f t="shared" si="220"/>
        <v>2026//2/27</v>
      </c>
      <c r="BY84" s="305">
        <v>3773710.7</v>
      </c>
      <c r="BZ84" s="306">
        <f t="shared" si="286"/>
        <v>3740960.7</v>
      </c>
      <c r="CA84" s="306">
        <f t="shared" si="287"/>
        <v>32750</v>
      </c>
      <c r="CB84" s="307">
        <f t="shared" si="288"/>
        <v>0.00875443572556108</v>
      </c>
      <c r="CC84" s="304">
        <f>(BY84-BY88)/BY88</f>
        <v>-0.0367438660525145</v>
      </c>
      <c r="CD84" s="308">
        <f>(BY84-BY98)/BY98</f>
        <v>0.0320241911450951</v>
      </c>
      <c r="CF84" s="11" t="str">
        <f t="shared" si="221"/>
        <v>2026//2/27</v>
      </c>
      <c r="CG84" s="309">
        <v>1675703.9</v>
      </c>
      <c r="CH84" s="306">
        <f t="shared" si="289"/>
        <v>1677453.9</v>
      </c>
      <c r="CI84" s="306">
        <f t="shared" si="290"/>
        <v>-1750</v>
      </c>
      <c r="CJ84" s="307">
        <f t="shared" si="291"/>
        <v>-0.0010432477458844</v>
      </c>
      <c r="CK84" s="304">
        <f>(CG84-CG88)/CG88</f>
        <v>0.00582231530190295</v>
      </c>
      <c r="CL84" s="308">
        <f>(CG84-CG98)/CG98</f>
        <v>-0.112658296821543</v>
      </c>
      <c r="CN84" s="11" t="str">
        <f t="shared" si="222"/>
        <v>2026//2/27</v>
      </c>
      <c r="CO84" s="309">
        <v>741046.48</v>
      </c>
      <c r="CP84" s="306">
        <f t="shared" si="292"/>
        <v>735446.48</v>
      </c>
      <c r="CQ84" s="306">
        <f t="shared" si="293"/>
        <v>5600</v>
      </c>
      <c r="CR84" s="307">
        <f t="shared" si="294"/>
        <v>0.00761442219425675</v>
      </c>
      <c r="CS84" s="308">
        <f>(CO84-CO88)/CO88</f>
        <v>-0.0102838546900414</v>
      </c>
      <c r="CT84" s="308">
        <f>(CO84-CO98)/CO98</f>
        <v>-0.269434562438665</v>
      </c>
      <c r="CV84" s="11" t="str">
        <f t="shared" si="223"/>
        <v>2026//2/27</v>
      </c>
      <c r="CW84" s="310">
        <v>592990.4</v>
      </c>
      <c r="CX84" s="306">
        <f t="shared" si="295"/>
        <v>596890.4</v>
      </c>
      <c r="CY84" s="306">
        <f t="shared" si="296"/>
        <v>-3900</v>
      </c>
      <c r="CZ84" s="307">
        <f t="shared" si="297"/>
        <v>-0.00653386283310973</v>
      </c>
      <c r="DA84" s="304">
        <f>(CW84-CW88)/CW88</f>
        <v>-0.000758290133263593</v>
      </c>
      <c r="DB84" s="304">
        <f>(CW84-CW98)/CW98</f>
        <v>-0.186559384046758</v>
      </c>
      <c r="DC84" s="277"/>
      <c r="DD84" s="11" t="str">
        <f t="shared" si="224"/>
        <v>2026//2/27</v>
      </c>
      <c r="DE84" s="305">
        <v>2382517.98</v>
      </c>
      <c r="DF84" s="12">
        <f t="shared" si="298"/>
        <v>2293917.98</v>
      </c>
      <c r="DG84" s="306">
        <f t="shared" si="299"/>
        <v>88600</v>
      </c>
      <c r="DH84" s="307">
        <f t="shared" si="300"/>
        <v>0.0386238744246645</v>
      </c>
      <c r="DI84" s="304">
        <f>(DE84-DE88)/DE88</f>
        <v>0.000924246263938232</v>
      </c>
      <c r="DJ84" s="304">
        <f>(DE84-DE98)/DE98</f>
        <v>0.0559318327995596</v>
      </c>
      <c r="DL84" s="11" t="str">
        <f t="shared" si="225"/>
        <v>2026//2/27</v>
      </c>
      <c r="DM84" s="310">
        <v>1354500.36</v>
      </c>
      <c r="DN84" s="306">
        <f t="shared" si="301"/>
        <v>1341700.36</v>
      </c>
      <c r="DO84" s="306">
        <f t="shared" si="302"/>
        <v>12800</v>
      </c>
      <c r="DP84" s="307">
        <f t="shared" si="303"/>
        <v>0.0095401330890304</v>
      </c>
      <c r="DQ84" s="304">
        <f>(DM84-DM88)/DM88</f>
        <v>0.003705074965671</v>
      </c>
      <c r="DR84" s="304">
        <f>(DM84-DM98)/DM98</f>
        <v>0.0211081736909593</v>
      </c>
      <c r="DT84" s="11" t="str">
        <f t="shared" si="226"/>
        <v>2026//2/27</v>
      </c>
      <c r="DU84" s="309">
        <v>1780589.48</v>
      </c>
      <c r="DV84" s="306">
        <f t="shared" si="304"/>
        <v>1788689.48</v>
      </c>
      <c r="DW84" s="306">
        <f t="shared" si="305"/>
        <v>-8100</v>
      </c>
      <c r="DX84" s="307">
        <f t="shared" si="306"/>
        <v>-0.00452845510110564</v>
      </c>
      <c r="DY84" s="304">
        <f>(DU84-DU88)/DU88</f>
        <v>-0.0134634282427088</v>
      </c>
      <c r="DZ84" s="304">
        <f>(DU84-DU98)/DU98</f>
        <v>-0.0284811761359521</v>
      </c>
      <c r="EB84" s="11" t="str">
        <f t="shared" si="227"/>
        <v>2026//2/27</v>
      </c>
      <c r="EC84" s="310">
        <v>4908866.82</v>
      </c>
      <c r="ED84" s="306">
        <f t="shared" si="307"/>
        <v>4942616.82</v>
      </c>
      <c r="EE84" s="306">
        <f t="shared" si="308"/>
        <v>-33750</v>
      </c>
      <c r="EF84" s="307">
        <f t="shared" si="309"/>
        <v>-0.00682836667884766</v>
      </c>
      <c r="EG84" s="304">
        <f>(EC84-EC88)/EC88</f>
        <v>-0.027199132500464</v>
      </c>
      <c r="EH84" s="304">
        <f>(EC84-EC98)/EC98</f>
        <v>-0.0258961104958817</v>
      </c>
      <c r="EJ84" s="11" t="str">
        <f t="shared" si="228"/>
        <v>2026//2/27</v>
      </c>
      <c r="EK84" s="305">
        <v>1637522.96</v>
      </c>
      <c r="EL84" s="306">
        <f t="shared" si="310"/>
        <v>1638522.96</v>
      </c>
      <c r="EM84" s="306">
        <f t="shared" si="311"/>
        <v>-1000</v>
      </c>
      <c r="EN84" s="307">
        <f t="shared" si="312"/>
        <v>-0.000610305759767932</v>
      </c>
      <c r="EO84" s="304">
        <f>(EK84-EK88)/EK88</f>
        <v>0.00466279706864182</v>
      </c>
      <c r="EP84" s="304">
        <f>(EK84-EK98)/EK98</f>
        <v>0.0477310794640831</v>
      </c>
      <c r="ER84" s="11" t="str">
        <f t="shared" si="229"/>
        <v>2026//2/27</v>
      </c>
      <c r="ES84" s="11">
        <v>552197.02</v>
      </c>
      <c r="ET84" s="306">
        <f t="shared" si="313"/>
        <v>551597.02</v>
      </c>
      <c r="EU84" s="306">
        <f t="shared" si="314"/>
        <v>600</v>
      </c>
      <c r="EV84" s="307">
        <f t="shared" si="315"/>
        <v>0.00108775061910233</v>
      </c>
      <c r="EW84" s="304">
        <f>(ES84-ES88)/ES88</f>
        <v>0.0123751707361056</v>
      </c>
      <c r="EX84" s="304">
        <f>(ES84-ES98)/ES98</f>
        <v>0.0571459585294833</v>
      </c>
      <c r="EZ84" s="11" t="str">
        <f t="shared" si="230"/>
        <v>2026//2/27</v>
      </c>
      <c r="FA84" s="309">
        <v>714908</v>
      </c>
      <c r="FB84" s="306">
        <f t="shared" si="316"/>
        <v>712608</v>
      </c>
      <c r="FC84" s="306">
        <f t="shared" si="317"/>
        <v>2300</v>
      </c>
      <c r="FD84" s="307">
        <f t="shared" si="318"/>
        <v>0.00322758094211684</v>
      </c>
      <c r="FE84" s="304">
        <f>(FA84-FA88)/FA88</f>
        <v>0.0330921029814684</v>
      </c>
      <c r="FF84" s="304">
        <f>(FA84-FA98)/FA98</f>
        <v>0.0595813299975693</v>
      </c>
      <c r="FH84" s="11" t="str">
        <f t="shared" si="231"/>
        <v>2026//2/27</v>
      </c>
      <c r="FI84" s="305">
        <v>1087695.33</v>
      </c>
      <c r="FJ84" s="306">
        <f t="shared" si="319"/>
        <v>1073995.33</v>
      </c>
      <c r="FK84" s="306">
        <f t="shared" si="320"/>
        <v>13700</v>
      </c>
      <c r="FL84" s="307">
        <f t="shared" si="321"/>
        <v>0.0127561076080284</v>
      </c>
      <c r="FM84" s="308">
        <f>(FI84-FI88)/FI88</f>
        <v>0.0462680031469554</v>
      </c>
      <c r="FN84" s="308">
        <f>(FI84-FI98)/FI98</f>
        <v>0.188744561445691</v>
      </c>
      <c r="FP84" s="11" t="str">
        <f t="shared" si="232"/>
        <v>2026//2/27</v>
      </c>
      <c r="FQ84" s="309">
        <v>2426818.73</v>
      </c>
      <c r="FR84" s="306">
        <f t="shared" si="322"/>
        <v>2468068.73</v>
      </c>
      <c r="FS84" s="306">
        <f t="shared" si="323"/>
        <v>-41250</v>
      </c>
      <c r="FT84" s="307">
        <f t="shared" si="324"/>
        <v>-0.0167134729671811</v>
      </c>
      <c r="FU84" s="304">
        <f>(FQ84-FQ88)/FQ88</f>
        <v>-0.0177283526058268</v>
      </c>
      <c r="FV84" s="304">
        <f>(FQ84-FQ98)/FQ98</f>
        <v>0.0479990935491019</v>
      </c>
      <c r="FX84" s="11" t="str">
        <f t="shared" si="233"/>
        <v>2026//2/27</v>
      </c>
      <c r="FY84" s="309">
        <v>7875482.05</v>
      </c>
      <c r="FZ84" s="306">
        <f t="shared" si="325"/>
        <v>7879982.05</v>
      </c>
      <c r="GA84" s="306">
        <f t="shared" si="326"/>
        <v>-4500</v>
      </c>
      <c r="GB84" s="307">
        <f t="shared" si="327"/>
        <v>-0.000571067290692623</v>
      </c>
      <c r="GC84" s="304">
        <f>(FY84-FY88)/FY88</f>
        <v>0.00636366257686127</v>
      </c>
      <c r="GD84" s="304">
        <f>(FY84-FY98)/FY98</f>
        <v>0.0291812189700845</v>
      </c>
      <c r="GF84" s="11" t="str">
        <f t="shared" si="234"/>
        <v>2026//2/27</v>
      </c>
      <c r="GG84" s="309">
        <v>4631669.49</v>
      </c>
      <c r="GH84" s="306">
        <f t="shared" si="328"/>
        <v>4634569.49</v>
      </c>
      <c r="GI84" s="306">
        <f t="shared" si="329"/>
        <v>-2900</v>
      </c>
      <c r="GJ84" s="307">
        <f t="shared" si="330"/>
        <v>-0.000625732337438747</v>
      </c>
      <c r="GK84" s="304">
        <f>(GG84-GG88)/GG88</f>
        <v>-0.0022188857600613</v>
      </c>
      <c r="GL84" s="304">
        <f>(GG84-GG98)/GG98</f>
        <v>-0.0229719235694613</v>
      </c>
      <c r="GN84" s="11" t="str">
        <f t="shared" si="235"/>
        <v>2026//2/27</v>
      </c>
      <c r="GO84" s="305">
        <v>1792618.12</v>
      </c>
      <c r="GP84" s="306">
        <f t="shared" si="331"/>
        <v>1795678.12</v>
      </c>
      <c r="GQ84" s="306">
        <f t="shared" si="332"/>
        <v>-3060</v>
      </c>
      <c r="GR84" s="307">
        <f t="shared" si="333"/>
        <v>-0.00170409159966821</v>
      </c>
      <c r="GS84" s="304">
        <f>(GO84-GO88)/GO88</f>
        <v>-0.0132113622206961</v>
      </c>
      <c r="GT84" s="304">
        <f>(GO84-GO98)/GO98</f>
        <v>-0.0277579196143231</v>
      </c>
      <c r="GV84" s="11" t="str">
        <f t="shared" si="236"/>
        <v>2026//2/27</v>
      </c>
      <c r="GW84" s="310">
        <v>1020949.4</v>
      </c>
      <c r="GX84" s="306">
        <f t="shared" si="334"/>
        <v>1025149.4</v>
      </c>
      <c r="GY84" s="306">
        <f t="shared" si="335"/>
        <v>-4200</v>
      </c>
      <c r="GZ84" s="307">
        <f t="shared" si="336"/>
        <v>-0.00409696381815177</v>
      </c>
      <c r="HA84" s="304">
        <f>(GW84-GW88)/GW88</f>
        <v>-0.0159992382049472</v>
      </c>
      <c r="HB84" s="304">
        <f>(GW84-GW98)/GW98</f>
        <v>0.0306900392852694</v>
      </c>
      <c r="HD84" s="11" t="str">
        <f t="shared" si="237"/>
        <v>2026//2/27</v>
      </c>
      <c r="HE84" s="305">
        <v>1128164.67</v>
      </c>
      <c r="HF84" s="306">
        <f t="shared" si="337"/>
        <v>1150064.67</v>
      </c>
      <c r="HG84" s="306">
        <f t="shared" si="338"/>
        <v>-21900</v>
      </c>
      <c r="HH84" s="307">
        <f t="shared" si="339"/>
        <v>-0.0190424074152282</v>
      </c>
      <c r="HI84" s="308">
        <f>(HE84-HE88)/HE88</f>
        <v>-0.0415440215362169</v>
      </c>
      <c r="HJ84" s="304">
        <f>(HE84-HE98)/HE98</f>
        <v>-0.0981642431196718</v>
      </c>
      <c r="HL84" s="11" t="str">
        <f t="shared" si="238"/>
        <v>2026//2/27</v>
      </c>
      <c r="HM84" s="309">
        <v>157354.25</v>
      </c>
      <c r="HN84" s="306">
        <f t="shared" si="340"/>
        <v>154904.25</v>
      </c>
      <c r="HO84" s="306">
        <f t="shared" si="341"/>
        <v>2450</v>
      </c>
      <c r="HP84" s="307">
        <f t="shared" si="342"/>
        <v>0.0158162219564667</v>
      </c>
      <c r="HQ84" s="304">
        <f>(HM84-HM88)/HM88</f>
        <v>0.102273662605492</v>
      </c>
      <c r="HR84" s="304">
        <f>(HM84-HM98)/HM98</f>
        <v>0.0803272132464381</v>
      </c>
      <c r="HT84" s="11" t="str">
        <f t="shared" si="239"/>
        <v>2026//2/27</v>
      </c>
      <c r="HU84" s="305">
        <v>358568.82</v>
      </c>
      <c r="HV84" s="306">
        <f t="shared" si="343"/>
        <v>349468.82</v>
      </c>
      <c r="HW84" s="306">
        <f t="shared" si="344"/>
        <v>9100</v>
      </c>
      <c r="HX84" s="307">
        <f t="shared" si="345"/>
        <v>0.0260395190621012</v>
      </c>
      <c r="HY84" s="304">
        <f>(HU84-HU88)/HU88</f>
        <v>0.164680528544592</v>
      </c>
      <c r="HZ84" s="304">
        <f>(HU84-HU98)/HU98</f>
        <v>0.523433817614415</v>
      </c>
      <c r="IB84" s="11" t="str">
        <f t="shared" si="240"/>
        <v>2026//2/27</v>
      </c>
      <c r="IC84" s="309">
        <v>499059.79</v>
      </c>
      <c r="ID84" s="306">
        <f t="shared" si="346"/>
        <v>496959.79</v>
      </c>
      <c r="IE84" s="306">
        <f t="shared" si="347"/>
        <v>2100</v>
      </c>
      <c r="IF84" s="307">
        <f t="shared" si="348"/>
        <v>0.00422569399427668</v>
      </c>
      <c r="IG84" s="308">
        <f>(IC84-IC88)/IC88</f>
        <v>0.0371478907302951</v>
      </c>
      <c r="IH84" s="304">
        <f>(IC84-IC98)/IC98</f>
        <v>0.157482217903483</v>
      </c>
      <c r="IJ84" s="11" t="str">
        <f t="shared" si="241"/>
        <v>2026//2/27</v>
      </c>
      <c r="IK84" s="305">
        <v>399756.29</v>
      </c>
      <c r="IL84" s="306">
        <f t="shared" si="349"/>
        <v>392156.29</v>
      </c>
      <c r="IM84" s="306">
        <f t="shared" si="350"/>
        <v>7600</v>
      </c>
      <c r="IN84" s="307">
        <f t="shared" si="351"/>
        <v>0.0193800283045313</v>
      </c>
      <c r="IO84" s="304">
        <f>(IK84-IK88)/IK88</f>
        <v>0.0307346174335568</v>
      </c>
      <c r="IP84" s="304">
        <f>(IK84-IK98)/IK98</f>
        <v>-0.00279387937859832</v>
      </c>
      <c r="IR84" s="11" t="str">
        <f t="shared" si="242"/>
        <v>2026//2/27</v>
      </c>
      <c r="IS84" s="310">
        <v>155489</v>
      </c>
      <c r="IT84" s="306">
        <f t="shared" si="352"/>
        <v>159689</v>
      </c>
      <c r="IU84" s="306">
        <f t="shared" si="353"/>
        <v>-4200</v>
      </c>
      <c r="IV84" s="307">
        <f t="shared" si="354"/>
        <v>-0.026301122807457</v>
      </c>
      <c r="IW84" s="304">
        <f>(IS84-IS88)/IS88</f>
        <v>-0.00639022551105829</v>
      </c>
      <c r="IX84" s="304">
        <f>(IS84-IS98)/IS98</f>
        <v>0.00712485993173089</v>
      </c>
      <c r="IZ84" s="11" t="str">
        <f t="shared" si="243"/>
        <v>2026//2/27</v>
      </c>
      <c r="JA84" s="310">
        <v>4903829.15</v>
      </c>
      <c r="JB84" s="306">
        <f t="shared" si="355"/>
        <v>4915429.15</v>
      </c>
      <c r="JC84" s="306">
        <f t="shared" si="356"/>
        <v>-11600</v>
      </c>
      <c r="JD84" s="307">
        <f t="shared" si="357"/>
        <v>-0.00235991602076087</v>
      </c>
      <c r="JE84" s="304">
        <f>(JA84-JA88)/JA88</f>
        <v>0.01988257984751</v>
      </c>
      <c r="JF84" s="304">
        <f>(JA84-JA98)/JA98</f>
        <v>0.0463892642012949</v>
      </c>
      <c r="JH84" s="11" t="str">
        <f t="shared" si="244"/>
        <v>2026//2/27</v>
      </c>
      <c r="JI84" s="310">
        <v>1480767.99</v>
      </c>
      <c r="JJ84" s="306">
        <f t="shared" si="358"/>
        <v>1485987.99</v>
      </c>
      <c r="JK84" s="306">
        <f t="shared" si="359"/>
        <v>-5220</v>
      </c>
      <c r="JL84" s="307">
        <f t="shared" si="360"/>
        <v>-0.00351281439360758</v>
      </c>
      <c r="JM84" s="304">
        <f>(JI84-JI88)/JI88</f>
        <v>-0.0358252573651133</v>
      </c>
      <c r="JN84" s="304">
        <f>(JI84-JI98)/JI98</f>
        <v>-0.0588426721795984</v>
      </c>
      <c r="JP84" s="11" t="str">
        <f t="shared" si="245"/>
        <v>2026//2/27</v>
      </c>
      <c r="JQ84" s="305">
        <v>1230490.41</v>
      </c>
      <c r="JR84" s="306">
        <f t="shared" si="361"/>
        <v>1235790.41</v>
      </c>
      <c r="JS84" s="306">
        <f t="shared" si="362"/>
        <v>-5300</v>
      </c>
      <c r="JT84" s="307">
        <f t="shared" si="363"/>
        <v>-0.00428875313897281</v>
      </c>
      <c r="JU84" s="304">
        <f>(JQ84-JQ88)/JQ88</f>
        <v>-0.0121227651391439</v>
      </c>
      <c r="JV84" s="308">
        <f>(JQ84-JQ98)/JQ98</f>
        <v>-0.0268113390705012</v>
      </c>
      <c r="JX84" s="11" t="str">
        <f t="shared" si="246"/>
        <v>2026//2/27</v>
      </c>
      <c r="JY84" s="309">
        <v>1308448.8</v>
      </c>
      <c r="JZ84" s="306">
        <f t="shared" si="364"/>
        <v>1308348.8</v>
      </c>
      <c r="KA84" s="306">
        <f t="shared" si="365"/>
        <v>100</v>
      </c>
      <c r="KB84" s="307">
        <f t="shared" si="366"/>
        <v>7.64322174637222e-5</v>
      </c>
      <c r="KC84" s="304">
        <f>(JY84-JY88)/JY88</f>
        <v>-0.00327556955298683</v>
      </c>
      <c r="KD84" s="308">
        <f>(JY84-JY98)/JY98</f>
        <v>-0.00637886445277544</v>
      </c>
      <c r="KF84" s="11" t="str">
        <f t="shared" si="247"/>
        <v>2026//2/27</v>
      </c>
      <c r="KG84" s="305">
        <v>800155.92</v>
      </c>
      <c r="KH84" s="306">
        <f t="shared" si="367"/>
        <v>800155.92</v>
      </c>
      <c r="KI84" s="306">
        <f t="shared" si="368"/>
        <v>0</v>
      </c>
      <c r="KJ84" s="307">
        <f t="shared" si="369"/>
        <v>0</v>
      </c>
      <c r="KK84" s="308">
        <f>(KG84-KG88)/KG88</f>
        <v>0</v>
      </c>
      <c r="KL84" s="308">
        <f>(KG84-KG98)/KG98</f>
        <v>-0.0179194770379821</v>
      </c>
      <c r="KN84" s="11" t="str">
        <f t="shared" si="248"/>
        <v>2026//2/27</v>
      </c>
      <c r="KO84" s="310">
        <v>7778175.95</v>
      </c>
      <c r="KP84" s="306">
        <f t="shared" si="370"/>
        <v>7759975.95</v>
      </c>
      <c r="KQ84" s="306">
        <f t="shared" si="371"/>
        <v>18200</v>
      </c>
      <c r="KR84" s="307">
        <f t="shared" si="372"/>
        <v>0.00234536809356993</v>
      </c>
      <c r="KS84" s="304">
        <f>(KO84-KO88)/KO88</f>
        <v>0.0499164732588929</v>
      </c>
      <c r="KT84" s="304">
        <f>(KO84-KO98)/KO98</f>
        <v>0.114595221897985</v>
      </c>
      <c r="KV84" s="11" t="str">
        <f t="shared" si="249"/>
        <v>2026//2/27</v>
      </c>
      <c r="KW84" s="305">
        <v>1013072.97</v>
      </c>
      <c r="KX84" s="306">
        <f t="shared" si="373"/>
        <v>1013172.97</v>
      </c>
      <c r="KY84" s="306">
        <f t="shared" si="374"/>
        <v>-100</v>
      </c>
      <c r="KZ84" s="307">
        <f t="shared" si="375"/>
        <v>-9.86998300990995e-5</v>
      </c>
      <c r="LA84" s="308">
        <f>(KW84-KW88)/KW88</f>
        <v>-0.000197380178808086</v>
      </c>
      <c r="LB84" s="304">
        <f>(KW84-KW98)/KW98</f>
        <v>-0.0127658790310955</v>
      </c>
      <c r="LD84" s="11" t="str">
        <f t="shared" si="250"/>
        <v>2026//2/27</v>
      </c>
      <c r="LE84" s="309">
        <v>470807.7</v>
      </c>
      <c r="LF84" s="306">
        <f t="shared" si="376"/>
        <v>458707.7</v>
      </c>
      <c r="LG84" s="306">
        <f t="shared" si="377"/>
        <v>12100</v>
      </c>
      <c r="LH84" s="307">
        <f t="shared" si="378"/>
        <v>0.0263784540787085</v>
      </c>
      <c r="LI84" s="304">
        <f>(LE84-LE88)/LE88</f>
        <v>-0.00211950758751924</v>
      </c>
      <c r="LJ84" s="304">
        <f>(LE84-LE98)/LE98</f>
        <v>0.0139993370775458</v>
      </c>
      <c r="LL84" s="11" t="str">
        <f t="shared" si="251"/>
        <v>2026//2/27</v>
      </c>
      <c r="LM84" s="309">
        <v>3438115.02</v>
      </c>
      <c r="LN84" s="306">
        <f t="shared" si="379"/>
        <v>3434515.02</v>
      </c>
      <c r="LO84" s="306">
        <f t="shared" si="380"/>
        <v>3600</v>
      </c>
      <c r="LP84" s="307">
        <f t="shared" si="381"/>
        <v>0.00104818292511063</v>
      </c>
      <c r="LQ84" s="304">
        <f>(LM84-LM88)/LM88</f>
        <v>-0.00120269996730225</v>
      </c>
      <c r="LR84" s="304">
        <f>(LM84-LM98)/LM98</f>
        <v>-0.0202106845887221</v>
      </c>
      <c r="LT84" s="11" t="str">
        <f t="shared" si="252"/>
        <v>2026//2/27</v>
      </c>
      <c r="LU84" s="305">
        <v>2817062.9</v>
      </c>
      <c r="LV84" s="306">
        <f t="shared" si="382"/>
        <v>2831662.9</v>
      </c>
      <c r="LW84" s="306">
        <f t="shared" si="383"/>
        <v>-14600</v>
      </c>
      <c r="LX84" s="307">
        <f t="shared" si="384"/>
        <v>-0.00515598096086932</v>
      </c>
      <c r="LY84" s="304">
        <f>(LU84-LU88)/LU88</f>
        <v>-0.0216027511763514</v>
      </c>
      <c r="LZ84" s="304">
        <f>(LU84-LU98)/LU98</f>
        <v>-0.0382374854428698</v>
      </c>
      <c r="MB84" s="11" t="str">
        <f t="shared" si="253"/>
        <v>2026//2/27</v>
      </c>
      <c r="MC84" s="310">
        <v>782517.69</v>
      </c>
      <c r="MD84" s="306">
        <f t="shared" si="385"/>
        <v>780267.69</v>
      </c>
      <c r="ME84" s="306">
        <f t="shared" si="386"/>
        <v>2250</v>
      </c>
      <c r="MF84" s="307">
        <f t="shared" si="387"/>
        <v>0.00288362574644094</v>
      </c>
      <c r="MG84" s="304">
        <f>(MC84-MC88)/MC88</f>
        <v>-0.0149175251576509</v>
      </c>
      <c r="MH84" s="304">
        <f>(MC84-MC98)/MC98</f>
        <v>-0.0542080631647581</v>
      </c>
      <c r="MI84" s="304"/>
      <c r="MJ84" s="304"/>
      <c r="MK84" s="11" t="str">
        <f t="shared" si="254"/>
        <v>2026//2/27</v>
      </c>
      <c r="ML84" s="305">
        <v>254865.53</v>
      </c>
      <c r="MM84" s="306">
        <f t="shared" si="388"/>
        <v>256065.53</v>
      </c>
      <c r="MN84" s="306">
        <f t="shared" si="389"/>
        <v>-1200</v>
      </c>
      <c r="MO84" s="307">
        <f t="shared" si="390"/>
        <v>-0.00468630041692843</v>
      </c>
      <c r="MP84" s="304">
        <f>(ML84-ML88)/ML88</f>
        <v>-0.0148431307208624</v>
      </c>
      <c r="MQ84" s="308">
        <f>(ML84-ML98)/ML98</f>
        <v>-0.0522133013023138</v>
      </c>
      <c r="MR84" s="308"/>
      <c r="MS84" s="311">
        <v>1.5826</v>
      </c>
      <c r="MT84" s="312" t="str">
        <f t="shared" si="255"/>
        <v>2026//2/27</v>
      </c>
      <c r="MU84" s="311">
        <v>204415</v>
      </c>
      <c r="MV84" s="311">
        <f t="shared" si="391"/>
        <v>200315</v>
      </c>
      <c r="MW84" s="311">
        <v>4100</v>
      </c>
      <c r="MX84" s="313">
        <v>0.0205</v>
      </c>
      <c r="MY84" s="304">
        <f>(MU84-MU88)/MU88</f>
        <v>0.0995078396041202</v>
      </c>
      <c r="MZ84" s="304">
        <f>(MU84-MU98)/MU98</f>
        <v>0.234278296048063</v>
      </c>
      <c r="NA84" s="304"/>
      <c r="NB84" s="311">
        <v>1.582</v>
      </c>
      <c r="NC84" s="311" t="str">
        <f t="shared" si="256"/>
        <v>2026//2/27</v>
      </c>
      <c r="ND84" s="311">
        <v>45891</v>
      </c>
      <c r="NE84" s="311">
        <f t="shared" si="392"/>
        <v>44891</v>
      </c>
      <c r="NF84" s="311">
        <v>1000</v>
      </c>
      <c r="NG84" s="313">
        <v>0.0223</v>
      </c>
      <c r="NH84" s="304">
        <f>(ND84-ND88)/ND88</f>
        <v>0.0851244945733135</v>
      </c>
      <c r="NI84" s="304">
        <f>(ND84-ND98)/ND98</f>
        <v>0.0222761800806398</v>
      </c>
      <c r="NJ84" s="304"/>
      <c r="NK84" s="304"/>
      <c r="NL84" s="205">
        <v>1.1712</v>
      </c>
      <c r="NM84" s="204" t="str">
        <f t="shared" si="257"/>
        <v>2026//2/27</v>
      </c>
      <c r="NN84" s="205">
        <v>2541211</v>
      </c>
      <c r="NO84" s="8">
        <f t="shared" si="393"/>
        <v>2540011</v>
      </c>
      <c r="NP84" s="205">
        <v>1200</v>
      </c>
      <c r="NQ84" s="292">
        <v>0.0005</v>
      </c>
      <c r="NR84" s="293">
        <f>(NN84-NN88)/NN88</f>
        <v>-0.00796373844428369</v>
      </c>
      <c r="NS84" s="205">
        <v>1.0542</v>
      </c>
      <c r="NT84" s="294"/>
      <c r="NU84" s="204" t="str">
        <f t="shared" si="258"/>
        <v>2026//2/27</v>
      </c>
      <c r="NV84" s="205">
        <v>242226</v>
      </c>
      <c r="NW84" s="205">
        <f t="shared" si="394"/>
        <v>242126</v>
      </c>
      <c r="NX84" s="205">
        <v>100</v>
      </c>
      <c r="NY84" s="292">
        <v>0.0004</v>
      </c>
      <c r="NZ84" s="304">
        <f>(NV84-NV88)/NV88</f>
        <v>0.00144702244125089</v>
      </c>
      <c r="OC84" s="11" t="str">
        <f t="shared" si="259"/>
        <v>2026//2/27</v>
      </c>
      <c r="OD84" s="309">
        <v>12671.97</v>
      </c>
      <c r="OE84" s="306">
        <f t="shared" si="395"/>
        <v>12562.97</v>
      </c>
      <c r="OF84" s="306">
        <f t="shared" si="396"/>
        <v>109</v>
      </c>
      <c r="OG84" s="307">
        <f t="shared" si="397"/>
        <v>0.00867629230985985</v>
      </c>
      <c r="OH84" s="304">
        <f>(OD84-OD88)/OD88</f>
        <v>-0.0116986703291304</v>
      </c>
      <c r="OI84" s="304">
        <f>(OD84-OD98)/OD98</f>
        <v>0.082614479148601</v>
      </c>
      <c r="OK84" s="11" t="str">
        <f t="shared" si="260"/>
        <v>2026//2/27</v>
      </c>
      <c r="OL84" s="309">
        <v>11157.65</v>
      </c>
      <c r="OM84" s="306">
        <f t="shared" si="398"/>
        <v>11157.65</v>
      </c>
      <c r="ON84" s="306">
        <f t="shared" si="399"/>
        <v>0</v>
      </c>
      <c r="OO84" s="307">
        <f t="shared" si="400"/>
        <v>0</v>
      </c>
      <c r="OP84" s="304">
        <f>(OL84-OL88)/OL88</f>
        <v>0.00179571094440928</v>
      </c>
      <c r="OQ84" s="304">
        <f>(OL84-OL98)/OL98</f>
        <v>0.0337235318914362</v>
      </c>
      <c r="OT84" s="234" t="str">
        <f t="shared" si="211"/>
        <v>2026//2/27</v>
      </c>
      <c r="OU84" s="206">
        <v>141072.4066</v>
      </c>
      <c r="OV84" s="8">
        <f t="shared" si="401"/>
        <v>140952.4066</v>
      </c>
      <c r="OW84" s="191">
        <f t="shared" si="402"/>
        <v>120</v>
      </c>
      <c r="OX84" s="192">
        <f t="shared" si="403"/>
        <v>0.000851351196439948</v>
      </c>
    </row>
    <row r="85" s="8" customFormat="1" ht="17" customHeight="1" spans="1:414">
      <c r="A85" s="15"/>
      <c r="B85" s="15"/>
      <c r="C85" s="287" t="s">
        <v>513</v>
      </c>
      <c r="D85" s="19">
        <v>4559628.77</v>
      </c>
      <c r="E85" s="19">
        <f t="shared" si="261"/>
        <v>4597968.77</v>
      </c>
      <c r="F85" s="19">
        <f t="shared" si="262"/>
        <v>-38340</v>
      </c>
      <c r="G85" s="172">
        <f t="shared" si="263"/>
        <v>-0.00833846463902799</v>
      </c>
      <c r="H85" s="18"/>
      <c r="I85" s="172"/>
      <c r="J85" s="172"/>
      <c r="K85" s="19" t="str">
        <f t="shared" si="212"/>
        <v>2026//2/26</v>
      </c>
      <c r="L85" s="19">
        <v>3199564.4</v>
      </c>
      <c r="M85" s="19">
        <f t="shared" si="264"/>
        <v>3218104.4</v>
      </c>
      <c r="N85" s="19">
        <f t="shared" si="265"/>
        <v>-18540</v>
      </c>
      <c r="O85" s="172">
        <f t="shared" si="266"/>
        <v>-0.00576115554237457</v>
      </c>
      <c r="P85" s="18"/>
      <c r="Q85" s="172"/>
      <c r="R85" s="19"/>
      <c r="S85" s="19" t="str">
        <f t="shared" si="213"/>
        <v>2026//2/26</v>
      </c>
      <c r="T85" s="19">
        <v>2373366.68</v>
      </c>
      <c r="U85" s="19">
        <f t="shared" si="267"/>
        <v>2390646.68</v>
      </c>
      <c r="V85" s="19">
        <f t="shared" si="268"/>
        <v>-17280</v>
      </c>
      <c r="W85" s="172">
        <f t="shared" si="269"/>
        <v>-0.00722816974359423</v>
      </c>
      <c r="X85" s="18"/>
      <c r="Y85" s="172"/>
      <c r="Z85" s="19"/>
      <c r="AA85" s="19" t="str">
        <f t="shared" si="214"/>
        <v>2026//2/26</v>
      </c>
      <c r="AB85" s="19">
        <v>1042696.86</v>
      </c>
      <c r="AC85" s="19">
        <f t="shared" si="270"/>
        <v>1107656.86</v>
      </c>
      <c r="AD85" s="19">
        <f t="shared" si="271"/>
        <v>-64960.0000000001</v>
      </c>
      <c r="AE85" s="172">
        <f t="shared" si="272"/>
        <v>-0.0586463212081764</v>
      </c>
      <c r="AF85" s="18"/>
      <c r="AG85" s="172"/>
      <c r="AH85" s="19"/>
      <c r="AI85" s="19" t="str">
        <f t="shared" si="215"/>
        <v>2026//2/26</v>
      </c>
      <c r="AJ85" s="19">
        <v>911521.76</v>
      </c>
      <c r="AK85" s="19">
        <f t="shared" si="273"/>
        <v>1006321.76</v>
      </c>
      <c r="AL85" s="19">
        <f t="shared" si="274"/>
        <v>-94800</v>
      </c>
      <c r="AM85" s="172">
        <f t="shared" si="275"/>
        <v>-0.094204462000305</v>
      </c>
      <c r="AN85" s="18"/>
      <c r="AO85" s="18"/>
      <c r="AP85" s="19"/>
      <c r="AQ85" s="19" t="str">
        <f t="shared" si="216"/>
        <v>2026//2/26</v>
      </c>
      <c r="AR85" s="21">
        <v>1848945.49</v>
      </c>
      <c r="AS85" s="19">
        <f t="shared" si="276"/>
        <v>1841945.49</v>
      </c>
      <c r="AT85" s="19">
        <f t="shared" si="277"/>
        <v>7000</v>
      </c>
      <c r="AU85" s="172">
        <f t="shared" si="278"/>
        <v>0.00380032961778907</v>
      </c>
      <c r="AV85" s="18"/>
      <c r="AW85" s="18"/>
      <c r="AX85" s="17"/>
      <c r="AY85" s="205">
        <v>4.938</v>
      </c>
      <c r="AZ85" s="204" t="str">
        <f t="shared" si="217"/>
        <v>2026//2/26</v>
      </c>
      <c r="BA85" s="205">
        <v>2009272</v>
      </c>
      <c r="BB85" s="205">
        <f t="shared" si="279"/>
        <v>2020792</v>
      </c>
      <c r="BC85" s="205">
        <v>-11520</v>
      </c>
      <c r="BD85" s="292">
        <v>-0.0057</v>
      </c>
      <c r="BE85" s="18"/>
      <c r="BF85" s="18"/>
      <c r="BG85" s="74"/>
      <c r="BH85" s="8" t="str">
        <f t="shared" si="218"/>
        <v>2026//2/26</v>
      </c>
      <c r="BI85" s="256">
        <v>1114926.55</v>
      </c>
      <c r="BJ85" s="195">
        <f t="shared" si="280"/>
        <v>1067826.55</v>
      </c>
      <c r="BK85" s="195">
        <f t="shared" si="281"/>
        <v>47100</v>
      </c>
      <c r="BL85" s="196">
        <f t="shared" si="282"/>
        <v>0.0441082870621638</v>
      </c>
      <c r="BM85" s="197"/>
      <c r="BN85" s="192"/>
      <c r="BP85" s="8" t="str">
        <f t="shared" si="219"/>
        <v>2026//2/26</v>
      </c>
      <c r="BQ85" s="198">
        <v>1404962.39</v>
      </c>
      <c r="BR85" s="12">
        <f t="shared" si="283"/>
        <v>1433962.39</v>
      </c>
      <c r="BS85" s="12">
        <f t="shared" si="284"/>
        <v>-29000</v>
      </c>
      <c r="BT85" s="199">
        <f t="shared" si="285"/>
        <v>-0.0202236824356321</v>
      </c>
      <c r="BU85" s="192"/>
      <c r="BV85" s="192"/>
      <c r="BX85" s="8" t="str">
        <f t="shared" si="220"/>
        <v>2026//2/26</v>
      </c>
      <c r="BY85" s="257">
        <v>3740960.7</v>
      </c>
      <c r="BZ85" s="12">
        <f t="shared" si="286"/>
        <v>3777960.7</v>
      </c>
      <c r="CA85" s="12">
        <f t="shared" si="287"/>
        <v>-37000</v>
      </c>
      <c r="CB85" s="199">
        <f t="shared" si="288"/>
        <v>-0.00979364343308283</v>
      </c>
      <c r="CC85" s="192"/>
      <c r="CD85" s="201"/>
      <c r="CF85" s="8" t="str">
        <f t="shared" si="221"/>
        <v>2026//2/26</v>
      </c>
      <c r="CG85" s="200">
        <v>1677453.9</v>
      </c>
      <c r="CH85" s="12">
        <f t="shared" si="289"/>
        <v>1669103.9</v>
      </c>
      <c r="CI85" s="12">
        <f t="shared" si="290"/>
        <v>8350</v>
      </c>
      <c r="CJ85" s="199">
        <f t="shared" si="291"/>
        <v>0.00500268437453175</v>
      </c>
      <c r="CK85" s="192"/>
      <c r="CL85" s="201"/>
      <c r="CN85" s="8" t="str">
        <f t="shared" si="222"/>
        <v>2026//2/26</v>
      </c>
      <c r="CO85" s="200">
        <v>735446.48</v>
      </c>
      <c r="CP85" s="12">
        <f t="shared" si="292"/>
        <v>747246.48</v>
      </c>
      <c r="CQ85" s="12">
        <f t="shared" si="293"/>
        <v>-11800</v>
      </c>
      <c r="CR85" s="199">
        <f t="shared" si="294"/>
        <v>-0.015791308913225</v>
      </c>
      <c r="CS85" s="201"/>
      <c r="CT85" s="201"/>
      <c r="CV85" s="8" t="str">
        <f t="shared" si="223"/>
        <v>2026//2/26</v>
      </c>
      <c r="CW85" s="200">
        <v>596890.4</v>
      </c>
      <c r="CX85" s="12">
        <f t="shared" si="295"/>
        <v>593740.4</v>
      </c>
      <c r="CY85" s="12">
        <f t="shared" si="296"/>
        <v>3150</v>
      </c>
      <c r="CZ85" s="199">
        <f t="shared" si="297"/>
        <v>0.00530534893701018</v>
      </c>
      <c r="DA85" s="192"/>
      <c r="DB85" s="192"/>
      <c r="DC85" s="277"/>
      <c r="DD85" s="8" t="str">
        <f t="shared" si="224"/>
        <v>2026//2/26</v>
      </c>
      <c r="DE85" s="257">
        <v>2293917.98</v>
      </c>
      <c r="DF85" s="12">
        <f t="shared" si="298"/>
        <v>2294717.98</v>
      </c>
      <c r="DG85" s="12">
        <f t="shared" si="299"/>
        <v>-800</v>
      </c>
      <c r="DH85" s="199">
        <f t="shared" si="300"/>
        <v>-0.000348626718826686</v>
      </c>
      <c r="DI85" s="192"/>
      <c r="DJ85" s="192"/>
      <c r="DL85" s="8" t="str">
        <f t="shared" si="225"/>
        <v>2026//2/26</v>
      </c>
      <c r="DM85" s="200">
        <v>1341700.36</v>
      </c>
      <c r="DN85" s="12">
        <f t="shared" si="301"/>
        <v>1354700.36</v>
      </c>
      <c r="DO85" s="12">
        <f t="shared" si="302"/>
        <v>-13000</v>
      </c>
      <c r="DP85" s="199">
        <f t="shared" si="303"/>
        <v>-0.00959621801532554</v>
      </c>
      <c r="DQ85" s="192"/>
      <c r="DR85" s="192"/>
      <c r="DT85" s="8" t="str">
        <f t="shared" si="226"/>
        <v>2026//2/26</v>
      </c>
      <c r="DU85" s="200">
        <v>1788689.48</v>
      </c>
      <c r="DV85" s="12">
        <f t="shared" si="304"/>
        <v>1801889.48</v>
      </c>
      <c r="DW85" s="12">
        <f t="shared" si="305"/>
        <v>-13200</v>
      </c>
      <c r="DX85" s="199">
        <f t="shared" si="306"/>
        <v>-0.00732564352393022</v>
      </c>
      <c r="DY85" s="192"/>
      <c r="DZ85" s="192"/>
      <c r="EB85" s="8" t="str">
        <f t="shared" si="227"/>
        <v>2026//2/26</v>
      </c>
      <c r="EC85" s="200">
        <v>4942616.82</v>
      </c>
      <c r="ED85" s="12">
        <f t="shared" si="307"/>
        <v>5007416.82</v>
      </c>
      <c r="EE85" s="12">
        <f t="shared" si="308"/>
        <v>-64800</v>
      </c>
      <c r="EF85" s="199">
        <f t="shared" si="309"/>
        <v>-0.012940804077101</v>
      </c>
      <c r="EG85" s="192"/>
      <c r="EH85" s="192"/>
      <c r="EJ85" s="8" t="str">
        <f t="shared" si="228"/>
        <v>2026//2/26</v>
      </c>
      <c r="EK85" s="257">
        <v>1638522.96</v>
      </c>
      <c r="EL85" s="12">
        <f t="shared" si="310"/>
        <v>1649922.96</v>
      </c>
      <c r="EM85" s="12">
        <f t="shared" si="311"/>
        <v>-11400</v>
      </c>
      <c r="EN85" s="199">
        <f t="shared" si="312"/>
        <v>-0.00690941351588925</v>
      </c>
      <c r="EO85" s="192"/>
      <c r="EP85" s="192"/>
      <c r="ER85" s="8" t="str">
        <f t="shared" si="229"/>
        <v>2026//2/26</v>
      </c>
      <c r="ES85" s="8">
        <v>551597.02</v>
      </c>
      <c r="ET85" s="12">
        <f t="shared" si="313"/>
        <v>555047.02</v>
      </c>
      <c r="EU85" s="12">
        <f t="shared" si="314"/>
        <v>-3450</v>
      </c>
      <c r="EV85" s="199">
        <f t="shared" si="315"/>
        <v>-0.00621568961851196</v>
      </c>
      <c r="EW85" s="192"/>
      <c r="EX85" s="192"/>
      <c r="EZ85" s="8" t="str">
        <f t="shared" si="230"/>
        <v>2026//2/26</v>
      </c>
      <c r="FA85" s="200">
        <v>712608</v>
      </c>
      <c r="FB85" s="12">
        <f t="shared" si="316"/>
        <v>713208</v>
      </c>
      <c r="FC85" s="12">
        <f t="shared" si="317"/>
        <v>-600</v>
      </c>
      <c r="FD85" s="199">
        <f t="shared" si="318"/>
        <v>-0.000841269307130599</v>
      </c>
      <c r="FE85" s="192"/>
      <c r="FF85" s="192"/>
      <c r="FH85" s="8" t="str">
        <f t="shared" si="231"/>
        <v>2026//2/26</v>
      </c>
      <c r="FI85" s="198">
        <v>1073995.33</v>
      </c>
      <c r="FJ85" s="12">
        <f t="shared" si="319"/>
        <v>1066295.33</v>
      </c>
      <c r="FK85" s="12">
        <f t="shared" si="320"/>
        <v>7700</v>
      </c>
      <c r="FL85" s="199">
        <f t="shared" si="321"/>
        <v>0.00722126392507036</v>
      </c>
      <c r="FM85" s="201"/>
      <c r="FN85" s="201"/>
      <c r="FP85" s="8" t="str">
        <f t="shared" si="232"/>
        <v>2026//2/26</v>
      </c>
      <c r="FQ85" s="200">
        <v>2468068.73</v>
      </c>
      <c r="FR85" s="12">
        <f t="shared" si="322"/>
        <v>2501218.73</v>
      </c>
      <c r="FS85" s="12">
        <f t="shared" si="323"/>
        <v>-33150</v>
      </c>
      <c r="FT85" s="199">
        <f t="shared" si="324"/>
        <v>-0.013253539005763</v>
      </c>
      <c r="FU85" s="192"/>
      <c r="FV85" s="192"/>
      <c r="FX85" s="8" t="str">
        <f t="shared" si="233"/>
        <v>2026//2/26</v>
      </c>
      <c r="FY85" s="200">
        <v>7879982.05</v>
      </c>
      <c r="FZ85" s="12">
        <f t="shared" si="325"/>
        <v>7847182.05</v>
      </c>
      <c r="GA85" s="12">
        <f t="shared" si="326"/>
        <v>32800</v>
      </c>
      <c r="GB85" s="199">
        <f t="shared" si="327"/>
        <v>0.00417984440669374</v>
      </c>
      <c r="GC85" s="192"/>
      <c r="GD85" s="192"/>
      <c r="GF85" s="8" t="str">
        <f t="shared" si="234"/>
        <v>2026//2/26</v>
      </c>
      <c r="GG85" s="200">
        <v>4634569.49</v>
      </c>
      <c r="GH85" s="12">
        <f t="shared" si="328"/>
        <v>4634269.49</v>
      </c>
      <c r="GI85" s="12">
        <f t="shared" si="329"/>
        <v>300</v>
      </c>
      <c r="GJ85" s="199">
        <f t="shared" si="330"/>
        <v>6.47351218239145e-5</v>
      </c>
      <c r="GK85" s="192"/>
      <c r="GL85" s="192"/>
      <c r="GN85" s="8" t="str">
        <f t="shared" si="235"/>
        <v>2026//2/26</v>
      </c>
      <c r="GO85" s="257">
        <v>1795678.12</v>
      </c>
      <c r="GP85" s="12">
        <f t="shared" si="331"/>
        <v>1799518.12</v>
      </c>
      <c r="GQ85" s="12">
        <f t="shared" si="332"/>
        <v>-3840</v>
      </c>
      <c r="GR85" s="199">
        <f t="shared" si="333"/>
        <v>-0.00213390460330569</v>
      </c>
      <c r="GS85" s="192"/>
      <c r="GT85" s="192"/>
      <c r="GV85" s="8" t="str">
        <f t="shared" si="236"/>
        <v>2026//2/26</v>
      </c>
      <c r="GW85" s="200">
        <v>1025149.4</v>
      </c>
      <c r="GX85" s="12">
        <f t="shared" si="334"/>
        <v>1025749.4</v>
      </c>
      <c r="GY85" s="12">
        <f t="shared" si="335"/>
        <v>-600</v>
      </c>
      <c r="GZ85" s="199">
        <f t="shared" si="336"/>
        <v>-0.000584938192505889</v>
      </c>
      <c r="HA85" s="192"/>
      <c r="HB85" s="192"/>
      <c r="HD85" s="8" t="str">
        <f t="shared" si="237"/>
        <v>2026//2/26</v>
      </c>
      <c r="HE85" s="257">
        <v>1150064.67</v>
      </c>
      <c r="HF85" s="12">
        <f t="shared" si="337"/>
        <v>1153964.67</v>
      </c>
      <c r="HG85" s="12">
        <f t="shared" si="338"/>
        <v>-3900</v>
      </c>
      <c r="HH85" s="199">
        <f t="shared" si="339"/>
        <v>-0.0033796528623359</v>
      </c>
      <c r="HI85" s="201"/>
      <c r="HJ85" s="192"/>
      <c r="HL85" s="8" t="str">
        <f t="shared" si="238"/>
        <v>2026//2/26</v>
      </c>
      <c r="HM85" s="200">
        <v>154904.25</v>
      </c>
      <c r="HN85" s="12">
        <f t="shared" si="340"/>
        <v>154854.25</v>
      </c>
      <c r="HO85" s="12">
        <f t="shared" si="341"/>
        <v>50</v>
      </c>
      <c r="HP85" s="199">
        <f t="shared" si="342"/>
        <v>0.000322884260522394</v>
      </c>
      <c r="HQ85" s="192"/>
      <c r="HR85" s="192"/>
      <c r="HT85" s="8" t="str">
        <f t="shared" si="239"/>
        <v>2026//2/26</v>
      </c>
      <c r="HU85" s="257">
        <v>349468.82</v>
      </c>
      <c r="HV85" s="12">
        <f t="shared" si="343"/>
        <v>329068.82</v>
      </c>
      <c r="HW85" s="12">
        <f t="shared" si="344"/>
        <v>20400</v>
      </c>
      <c r="HX85" s="199">
        <f t="shared" si="345"/>
        <v>0.0619931113497778</v>
      </c>
      <c r="HY85" s="192"/>
      <c r="HZ85" s="192"/>
      <c r="IB85" s="8" t="str">
        <f t="shared" si="240"/>
        <v>2026//2/26</v>
      </c>
      <c r="IC85" s="200">
        <v>496959.79</v>
      </c>
      <c r="ID85" s="12">
        <f t="shared" si="346"/>
        <v>488609.79</v>
      </c>
      <c r="IE85" s="12">
        <f t="shared" si="347"/>
        <v>8350</v>
      </c>
      <c r="IF85" s="199">
        <f t="shared" si="348"/>
        <v>0.0170893014648765</v>
      </c>
      <c r="IG85" s="201"/>
      <c r="IH85" s="192"/>
      <c r="IJ85" s="8" t="str">
        <f t="shared" si="241"/>
        <v>2026//2/26</v>
      </c>
      <c r="IK85" s="257">
        <v>392156.29</v>
      </c>
      <c r="IL85" s="12">
        <f t="shared" si="349"/>
        <v>391276.29</v>
      </c>
      <c r="IM85" s="12">
        <f t="shared" si="350"/>
        <v>880</v>
      </c>
      <c r="IN85" s="199">
        <f t="shared" si="351"/>
        <v>0.00224905015328171</v>
      </c>
      <c r="IO85" s="192"/>
      <c r="IP85" s="192"/>
      <c r="IR85" s="8" t="str">
        <f t="shared" si="242"/>
        <v>2026//2/26</v>
      </c>
      <c r="IS85" s="200">
        <v>159689</v>
      </c>
      <c r="IT85" s="12">
        <f t="shared" si="352"/>
        <v>161189</v>
      </c>
      <c r="IU85" s="12">
        <f t="shared" si="353"/>
        <v>-1500</v>
      </c>
      <c r="IV85" s="199">
        <f t="shared" si="354"/>
        <v>-0.00930584593241474</v>
      </c>
      <c r="IW85" s="192"/>
      <c r="IX85" s="192"/>
      <c r="IZ85" s="8" t="str">
        <f t="shared" si="243"/>
        <v>2026//2/26</v>
      </c>
      <c r="JA85" s="200">
        <v>4915429.15</v>
      </c>
      <c r="JB85" s="12">
        <f t="shared" si="355"/>
        <v>4842929.15</v>
      </c>
      <c r="JC85" s="12">
        <f t="shared" si="356"/>
        <v>72500</v>
      </c>
      <c r="JD85" s="199">
        <f t="shared" si="357"/>
        <v>0.0149702788858681</v>
      </c>
      <c r="JE85" s="192"/>
      <c r="JF85" s="192"/>
      <c r="JH85" s="8" t="str">
        <f t="shared" si="244"/>
        <v>2026//2/26</v>
      </c>
      <c r="JI85" s="200">
        <v>1485987.99</v>
      </c>
      <c r="JJ85" s="12">
        <f t="shared" si="358"/>
        <v>1506027.99</v>
      </c>
      <c r="JK85" s="12">
        <f t="shared" si="359"/>
        <v>-20040</v>
      </c>
      <c r="JL85" s="199">
        <f t="shared" si="360"/>
        <v>-0.013306525597841</v>
      </c>
      <c r="JM85" s="192"/>
      <c r="JN85" s="192"/>
      <c r="JP85" s="8" t="str">
        <f t="shared" si="245"/>
        <v>2026//2/26</v>
      </c>
      <c r="JQ85" s="257">
        <v>1235790.41</v>
      </c>
      <c r="JR85" s="12">
        <f t="shared" si="361"/>
        <v>1240190.41</v>
      </c>
      <c r="JS85" s="12">
        <f t="shared" si="362"/>
        <v>-4400</v>
      </c>
      <c r="JT85" s="199">
        <f t="shared" si="363"/>
        <v>-0.00354784230269931</v>
      </c>
      <c r="JU85" s="192"/>
      <c r="JV85" s="201"/>
      <c r="JX85" s="8" t="str">
        <f t="shared" si="246"/>
        <v>2026//2/26</v>
      </c>
      <c r="JY85" s="200">
        <v>1308348.8</v>
      </c>
      <c r="JZ85" s="12">
        <f t="shared" si="364"/>
        <v>1312748.8</v>
      </c>
      <c r="KA85" s="12">
        <f t="shared" si="365"/>
        <v>-4400</v>
      </c>
      <c r="KB85" s="199">
        <f t="shared" si="366"/>
        <v>-0.0033517455891028</v>
      </c>
      <c r="KC85" s="192"/>
      <c r="KD85" s="201"/>
      <c r="KF85" s="8" t="str">
        <f t="shared" si="247"/>
        <v>2026//2/26</v>
      </c>
      <c r="KG85" s="257">
        <v>800155.92</v>
      </c>
      <c r="KH85" s="12">
        <f t="shared" si="367"/>
        <v>800155.92</v>
      </c>
      <c r="KI85" s="12">
        <f t="shared" si="368"/>
        <v>0</v>
      </c>
      <c r="KJ85" s="199">
        <f t="shared" si="369"/>
        <v>0</v>
      </c>
      <c r="KK85" s="201"/>
      <c r="KL85" s="201"/>
      <c r="KN85" s="8" t="str">
        <f t="shared" si="248"/>
        <v>2026//2/26</v>
      </c>
      <c r="KO85" s="200">
        <v>7759975.95</v>
      </c>
      <c r="KP85" s="12">
        <f t="shared" si="370"/>
        <v>7723675.95</v>
      </c>
      <c r="KQ85" s="12">
        <f t="shared" si="371"/>
        <v>36300</v>
      </c>
      <c r="KR85" s="199">
        <f t="shared" si="372"/>
        <v>0.00469983466874992</v>
      </c>
      <c r="KS85" s="192"/>
      <c r="KT85" s="192"/>
      <c r="KV85" s="8" t="str">
        <f t="shared" si="249"/>
        <v>2026//2/26</v>
      </c>
      <c r="KW85" s="257">
        <v>1013172.97</v>
      </c>
      <c r="KX85" s="12">
        <f t="shared" si="373"/>
        <v>1013172.97</v>
      </c>
      <c r="KY85" s="12">
        <f t="shared" si="374"/>
        <v>0</v>
      </c>
      <c r="KZ85" s="199">
        <f t="shared" si="375"/>
        <v>0</v>
      </c>
      <c r="LA85" s="201"/>
      <c r="LB85" s="192"/>
      <c r="LD85" s="8" t="str">
        <f t="shared" si="250"/>
        <v>2026//2/26</v>
      </c>
      <c r="LE85" s="200">
        <v>458707.7</v>
      </c>
      <c r="LF85" s="12">
        <f t="shared" si="376"/>
        <v>465557.7</v>
      </c>
      <c r="LG85" s="12">
        <f t="shared" si="377"/>
        <v>-6850</v>
      </c>
      <c r="LH85" s="199">
        <f t="shared" si="378"/>
        <v>-0.0147135360450488</v>
      </c>
      <c r="LI85" s="192"/>
      <c r="LJ85" s="192"/>
      <c r="LL85" s="8" t="str">
        <f t="shared" si="251"/>
        <v>2026//2/26</v>
      </c>
      <c r="LM85" s="198">
        <v>3434515.02</v>
      </c>
      <c r="LN85" s="12">
        <f t="shared" si="379"/>
        <v>3437575.02</v>
      </c>
      <c r="LO85" s="12">
        <f t="shared" si="380"/>
        <v>-3060</v>
      </c>
      <c r="LP85" s="199">
        <f t="shared" si="381"/>
        <v>-0.000890162391277791</v>
      </c>
      <c r="LQ85" s="192"/>
      <c r="LR85" s="192"/>
      <c r="LT85" s="8" t="str">
        <f t="shared" si="252"/>
        <v>2026//2/26</v>
      </c>
      <c r="LU85" s="257">
        <v>2831662.9</v>
      </c>
      <c r="LV85" s="12">
        <f t="shared" si="382"/>
        <v>2841662.9</v>
      </c>
      <c r="LW85" s="12">
        <f t="shared" si="383"/>
        <v>-10000</v>
      </c>
      <c r="LX85" s="199">
        <f t="shared" si="384"/>
        <v>-0.00351906624814646</v>
      </c>
      <c r="LY85" s="192"/>
      <c r="LZ85" s="192"/>
      <c r="MB85" s="8" t="str">
        <f t="shared" si="253"/>
        <v>2026//2/26</v>
      </c>
      <c r="MC85" s="200">
        <v>780267.69</v>
      </c>
      <c r="MD85" s="12">
        <f t="shared" si="385"/>
        <v>793717.69</v>
      </c>
      <c r="ME85" s="12">
        <f t="shared" si="386"/>
        <v>-13450</v>
      </c>
      <c r="MF85" s="199">
        <f t="shared" si="387"/>
        <v>-0.0169455716679315</v>
      </c>
      <c r="MG85" s="192"/>
      <c r="MH85" s="192"/>
      <c r="MI85" s="192"/>
      <c r="MJ85" s="192"/>
      <c r="MK85" s="8" t="str">
        <f t="shared" si="254"/>
        <v>2026//2/26</v>
      </c>
      <c r="ML85" s="258">
        <v>256065.53</v>
      </c>
      <c r="MM85" s="12">
        <f t="shared" si="388"/>
        <v>260505.53</v>
      </c>
      <c r="MN85" s="12">
        <f t="shared" si="389"/>
        <v>-4440</v>
      </c>
      <c r="MO85" s="199">
        <f t="shared" si="390"/>
        <v>-0.0170437840609372</v>
      </c>
      <c r="MP85" s="192"/>
      <c r="MQ85" s="201"/>
      <c r="MR85" s="201"/>
      <c r="MS85" s="204">
        <v>1.5562</v>
      </c>
      <c r="MT85" s="295" t="str">
        <f t="shared" si="255"/>
        <v>2026//2/26</v>
      </c>
      <c r="MU85" s="204">
        <v>200315</v>
      </c>
      <c r="MV85" s="204">
        <f t="shared" si="391"/>
        <v>199115</v>
      </c>
      <c r="MW85" s="204">
        <v>1200</v>
      </c>
      <c r="MX85" s="296">
        <v>0.006</v>
      </c>
      <c r="MY85" s="192"/>
      <c r="MZ85" s="192"/>
      <c r="NA85" s="192"/>
      <c r="NB85" s="204">
        <v>1.538</v>
      </c>
      <c r="NC85" s="204" t="str">
        <f t="shared" si="256"/>
        <v>2026//2/26</v>
      </c>
      <c r="ND85" s="204">
        <v>44891</v>
      </c>
      <c r="NE85" s="204">
        <f t="shared" si="392"/>
        <v>43891</v>
      </c>
      <c r="NF85" s="204">
        <v>1000</v>
      </c>
      <c r="NG85" s="296">
        <v>0.0228</v>
      </c>
      <c r="NH85" s="192"/>
      <c r="NI85" s="192"/>
      <c r="NJ85" s="192"/>
      <c r="NK85" s="192"/>
      <c r="NL85" s="205">
        <v>1.1676</v>
      </c>
      <c r="NM85" s="204" t="str">
        <f t="shared" si="257"/>
        <v>2026//2/26</v>
      </c>
      <c r="NN85" s="205">
        <v>2540011</v>
      </c>
      <c r="NO85" s="8">
        <f t="shared" si="393"/>
        <v>2545311</v>
      </c>
      <c r="NP85" s="205">
        <v>-5300</v>
      </c>
      <c r="NQ85" s="292">
        <v>-0.0021</v>
      </c>
      <c r="NR85" s="293"/>
      <c r="NS85" s="205">
        <v>1.0523</v>
      </c>
      <c r="NT85" s="294"/>
      <c r="NU85" s="204" t="str">
        <f t="shared" si="258"/>
        <v>2026//2/26</v>
      </c>
      <c r="NV85" s="205">
        <v>242126</v>
      </c>
      <c r="NW85" s="205">
        <f t="shared" si="394"/>
        <v>241826</v>
      </c>
      <c r="NX85" s="205">
        <v>300</v>
      </c>
      <c r="NY85" s="292">
        <v>0.0012</v>
      </c>
      <c r="NZ85" s="192"/>
      <c r="OA85" s="8"/>
      <c r="OC85" s="8" t="str">
        <f t="shared" si="259"/>
        <v>2026//2/26</v>
      </c>
      <c r="OD85" s="200">
        <v>12562.97</v>
      </c>
      <c r="OE85" s="12">
        <f t="shared" si="395"/>
        <v>12642.97</v>
      </c>
      <c r="OF85" s="12">
        <f t="shared" si="396"/>
        <v>-80</v>
      </c>
      <c r="OG85" s="199">
        <f t="shared" si="397"/>
        <v>-0.006327627131916</v>
      </c>
      <c r="OH85" s="192"/>
      <c r="OI85" s="192"/>
      <c r="OK85" s="8" t="str">
        <f t="shared" si="260"/>
        <v>2026//2/26</v>
      </c>
      <c r="OL85" s="200">
        <v>11157.65</v>
      </c>
      <c r="OM85" s="12">
        <f t="shared" si="398"/>
        <v>11157.65</v>
      </c>
      <c r="ON85" s="12">
        <f t="shared" si="399"/>
        <v>0</v>
      </c>
      <c r="OO85" s="199">
        <f t="shared" si="400"/>
        <v>0</v>
      </c>
      <c r="OP85" s="192"/>
      <c r="OQ85" s="192"/>
      <c r="OT85" s="234" t="str">
        <f t="shared" si="211"/>
        <v>2026//2/26</v>
      </c>
      <c r="OU85" s="206">
        <v>140952.4066</v>
      </c>
      <c r="OV85" s="8">
        <f t="shared" si="401"/>
        <v>140832.4066</v>
      </c>
      <c r="OW85" s="191">
        <f t="shared" si="402"/>
        <v>120</v>
      </c>
      <c r="OX85" s="192">
        <f t="shared" si="403"/>
        <v>0.000852076612883785</v>
      </c>
    </row>
    <row r="86" s="8" customFormat="1" ht="17" customHeight="1" spans="1:414">
      <c r="A86" s="15"/>
      <c r="B86" s="15"/>
      <c r="C86" s="287" t="s">
        <v>514</v>
      </c>
      <c r="D86" s="19">
        <v>4597968.77</v>
      </c>
      <c r="E86" s="19">
        <f t="shared" si="261"/>
        <v>4590768.77</v>
      </c>
      <c r="F86" s="19">
        <f t="shared" si="262"/>
        <v>7200</v>
      </c>
      <c r="G86" s="172">
        <f t="shared" si="263"/>
        <v>0.00156836476867468</v>
      </c>
      <c r="H86" s="18"/>
      <c r="I86" s="172"/>
      <c r="J86" s="172"/>
      <c r="K86" s="19" t="str">
        <f t="shared" si="212"/>
        <v>2026//2/25</v>
      </c>
      <c r="L86" s="19">
        <v>3218104.4</v>
      </c>
      <c r="M86" s="19">
        <f t="shared" si="264"/>
        <v>3218014.4</v>
      </c>
      <c r="N86" s="19">
        <f t="shared" si="265"/>
        <v>90</v>
      </c>
      <c r="O86" s="172">
        <f t="shared" si="266"/>
        <v>2.79675566398957e-5</v>
      </c>
      <c r="P86" s="18"/>
      <c r="Q86" s="172"/>
      <c r="R86" s="19"/>
      <c r="S86" s="19" t="str">
        <f t="shared" si="213"/>
        <v>2026//2/25</v>
      </c>
      <c r="T86" s="19">
        <v>2390646.68</v>
      </c>
      <c r="U86" s="19">
        <f t="shared" si="267"/>
        <v>2380656.68</v>
      </c>
      <c r="V86" s="19">
        <f t="shared" si="268"/>
        <v>9990</v>
      </c>
      <c r="W86" s="172">
        <f t="shared" si="269"/>
        <v>0.00419632115958862</v>
      </c>
      <c r="X86" s="18"/>
      <c r="Y86" s="172"/>
      <c r="Z86" s="19"/>
      <c r="AA86" s="19" t="str">
        <f t="shared" si="214"/>
        <v>2026//2/25</v>
      </c>
      <c r="AB86" s="19">
        <v>1107656.86</v>
      </c>
      <c r="AC86" s="19">
        <f t="shared" si="270"/>
        <v>1091056.86</v>
      </c>
      <c r="AD86" s="19">
        <f t="shared" si="271"/>
        <v>16600</v>
      </c>
      <c r="AE86" s="172">
        <f t="shared" si="272"/>
        <v>0.0152146057722418</v>
      </c>
      <c r="AF86" s="18"/>
      <c r="AG86" s="172"/>
      <c r="AH86" s="19"/>
      <c r="AI86" s="19" t="str">
        <f t="shared" si="215"/>
        <v>2026//2/25</v>
      </c>
      <c r="AJ86" s="19">
        <v>1006321.76</v>
      </c>
      <c r="AK86" s="19">
        <f t="shared" si="273"/>
        <v>1001921.76</v>
      </c>
      <c r="AL86" s="19">
        <f t="shared" si="274"/>
        <v>4400</v>
      </c>
      <c r="AM86" s="172">
        <f t="shared" si="275"/>
        <v>0.00439156047474206</v>
      </c>
      <c r="AN86" s="18"/>
      <c r="AO86" s="18"/>
      <c r="AP86" s="19"/>
      <c r="AQ86" s="19" t="str">
        <f t="shared" si="216"/>
        <v>2026//2/25</v>
      </c>
      <c r="AR86" s="21">
        <v>1841945.49</v>
      </c>
      <c r="AS86" s="19">
        <f t="shared" si="276"/>
        <v>1892545.49</v>
      </c>
      <c r="AT86" s="19">
        <f t="shared" si="277"/>
        <v>-50600</v>
      </c>
      <c r="AU86" s="172">
        <f t="shared" si="278"/>
        <v>-0.0267364775469677</v>
      </c>
      <c r="AV86" s="18"/>
      <c r="AW86" s="18"/>
      <c r="AX86" s="17"/>
      <c r="AY86" s="205">
        <v>4.9476</v>
      </c>
      <c r="AZ86" s="204" t="str">
        <f t="shared" si="217"/>
        <v>2026//2/25</v>
      </c>
      <c r="BA86" s="205">
        <v>2020792</v>
      </c>
      <c r="BB86" s="205">
        <f t="shared" si="279"/>
        <v>2021062</v>
      </c>
      <c r="BC86" s="205">
        <v>-270</v>
      </c>
      <c r="BD86" s="292">
        <v>-0.0001</v>
      </c>
      <c r="BE86" s="18"/>
      <c r="BF86" s="18"/>
      <c r="BG86" s="74"/>
      <c r="BH86" s="8" t="str">
        <f t="shared" si="218"/>
        <v>2026//2/25</v>
      </c>
      <c r="BI86" s="256">
        <v>1067826.55</v>
      </c>
      <c r="BJ86" s="195">
        <f t="shared" si="280"/>
        <v>1012326.55</v>
      </c>
      <c r="BK86" s="195">
        <f t="shared" si="281"/>
        <v>55500</v>
      </c>
      <c r="BL86" s="196">
        <f t="shared" si="282"/>
        <v>0.0548242066752077</v>
      </c>
      <c r="BM86" s="197"/>
      <c r="BN86" s="192"/>
      <c r="BP86" s="8" t="str">
        <f t="shared" si="219"/>
        <v>2026//2/25</v>
      </c>
      <c r="BQ86" s="198">
        <v>1433962.39</v>
      </c>
      <c r="BR86" s="12">
        <f t="shared" si="283"/>
        <v>1443062.39</v>
      </c>
      <c r="BS86" s="12">
        <f t="shared" si="284"/>
        <v>-9100</v>
      </c>
      <c r="BT86" s="199">
        <f t="shared" si="285"/>
        <v>-0.00630603365665985</v>
      </c>
      <c r="BU86" s="192"/>
      <c r="BV86" s="192"/>
      <c r="BX86" s="8" t="str">
        <f t="shared" si="220"/>
        <v>2026//2/25</v>
      </c>
      <c r="BY86" s="257">
        <v>3777960.7</v>
      </c>
      <c r="BZ86" s="12">
        <f t="shared" si="286"/>
        <v>3910910.7</v>
      </c>
      <c r="CA86" s="12">
        <f t="shared" si="287"/>
        <v>-132950</v>
      </c>
      <c r="CB86" s="199">
        <f t="shared" si="288"/>
        <v>-0.0339946396628284</v>
      </c>
      <c r="CC86" s="192"/>
      <c r="CD86" s="201"/>
      <c r="CF86" s="8" t="str">
        <f t="shared" si="221"/>
        <v>2026//2/25</v>
      </c>
      <c r="CG86" s="200">
        <v>1669103.9</v>
      </c>
      <c r="CH86" s="12">
        <f t="shared" si="289"/>
        <v>1668003.9</v>
      </c>
      <c r="CI86" s="12">
        <f t="shared" si="290"/>
        <v>1100</v>
      </c>
      <c r="CJ86" s="199">
        <f t="shared" si="291"/>
        <v>0.000659470880134033</v>
      </c>
      <c r="CK86" s="192"/>
      <c r="CL86" s="201"/>
      <c r="CN86" s="8" t="str">
        <f t="shared" si="222"/>
        <v>2026//2/25</v>
      </c>
      <c r="CO86" s="200">
        <v>747246.48</v>
      </c>
      <c r="CP86" s="12">
        <f t="shared" si="292"/>
        <v>758046.48</v>
      </c>
      <c r="CQ86" s="12">
        <f t="shared" si="293"/>
        <v>-10800</v>
      </c>
      <c r="CR86" s="199">
        <f t="shared" si="294"/>
        <v>-0.0142471474836213</v>
      </c>
      <c r="CS86" s="201"/>
      <c r="CT86" s="201"/>
      <c r="CV86" s="8" t="str">
        <f t="shared" si="223"/>
        <v>2026//2/25</v>
      </c>
      <c r="CW86" s="200">
        <v>593740.4</v>
      </c>
      <c r="CX86" s="12">
        <f t="shared" si="295"/>
        <v>592990.4</v>
      </c>
      <c r="CY86" s="12">
        <f t="shared" si="296"/>
        <v>750</v>
      </c>
      <c r="CZ86" s="199">
        <f t="shared" si="297"/>
        <v>0.0012647759559008</v>
      </c>
      <c r="DA86" s="192"/>
      <c r="DB86" s="192"/>
      <c r="DC86" s="277"/>
      <c r="DD86" s="8" t="str">
        <f t="shared" si="224"/>
        <v>2026//2/25</v>
      </c>
      <c r="DE86" s="257">
        <v>2294717.98</v>
      </c>
      <c r="DF86" s="12">
        <f t="shared" si="298"/>
        <v>2374517.98</v>
      </c>
      <c r="DG86" s="12">
        <f t="shared" si="299"/>
        <v>-79800</v>
      </c>
      <c r="DH86" s="199">
        <f t="shared" si="300"/>
        <v>-0.0336068206988266</v>
      </c>
      <c r="DI86" s="192"/>
      <c r="DJ86" s="192"/>
      <c r="DL86" s="8" t="str">
        <f t="shared" si="225"/>
        <v>2026//2/25</v>
      </c>
      <c r="DM86" s="200">
        <v>1354700.36</v>
      </c>
      <c r="DN86" s="12">
        <f t="shared" si="301"/>
        <v>1356300.36</v>
      </c>
      <c r="DO86" s="12">
        <f t="shared" si="302"/>
        <v>-1600</v>
      </c>
      <c r="DP86" s="199">
        <f t="shared" si="303"/>
        <v>-0.00117967969867677</v>
      </c>
      <c r="DQ86" s="192"/>
      <c r="DR86" s="192"/>
      <c r="DT86" s="8" t="str">
        <f t="shared" si="226"/>
        <v>2026//2/25</v>
      </c>
      <c r="DU86" s="200">
        <v>1801889.48</v>
      </c>
      <c r="DV86" s="12">
        <f t="shared" si="304"/>
        <v>1809689.48</v>
      </c>
      <c r="DW86" s="12">
        <f t="shared" si="305"/>
        <v>-7800</v>
      </c>
      <c r="DX86" s="199">
        <f t="shared" si="306"/>
        <v>-0.00431013170281567</v>
      </c>
      <c r="DY86" s="192"/>
      <c r="DZ86" s="192"/>
      <c r="EB86" s="8" t="str">
        <f t="shared" si="227"/>
        <v>2026//2/25</v>
      </c>
      <c r="EC86" s="200">
        <v>5007416.82</v>
      </c>
      <c r="ED86" s="12">
        <f t="shared" si="307"/>
        <v>5040716.82</v>
      </c>
      <c r="EE86" s="12">
        <f t="shared" si="308"/>
        <v>-33300</v>
      </c>
      <c r="EF86" s="199">
        <f t="shared" si="309"/>
        <v>-0.00660620328201654</v>
      </c>
      <c r="EG86" s="192"/>
      <c r="EH86" s="192"/>
      <c r="EJ86" s="8" t="str">
        <f t="shared" si="228"/>
        <v>2026//2/25</v>
      </c>
      <c r="EK86" s="257">
        <v>1649922.96</v>
      </c>
      <c r="EL86" s="12">
        <f t="shared" si="310"/>
        <v>1637122.96</v>
      </c>
      <c r="EM86" s="12">
        <f t="shared" si="311"/>
        <v>12800</v>
      </c>
      <c r="EN86" s="199">
        <f t="shared" si="312"/>
        <v>0.00781859415129087</v>
      </c>
      <c r="EO86" s="192"/>
      <c r="EP86" s="192"/>
      <c r="ER86" s="8" t="str">
        <f t="shared" si="229"/>
        <v>2026//2/25</v>
      </c>
      <c r="ES86" s="8">
        <v>555047.02</v>
      </c>
      <c r="ET86" s="12">
        <f t="shared" si="313"/>
        <v>548747.02</v>
      </c>
      <c r="EU86" s="12">
        <f t="shared" si="314"/>
        <v>6300</v>
      </c>
      <c r="EV86" s="199">
        <f t="shared" si="315"/>
        <v>0.0114807001594287</v>
      </c>
      <c r="EW86" s="192"/>
      <c r="EX86" s="192"/>
      <c r="EZ86" s="8" t="str">
        <f t="shared" si="230"/>
        <v>2026//2/25</v>
      </c>
      <c r="FA86" s="200">
        <v>713208</v>
      </c>
      <c r="FB86" s="12">
        <f t="shared" si="316"/>
        <v>705408</v>
      </c>
      <c r="FC86" s="12">
        <f t="shared" si="317"/>
        <v>7800</v>
      </c>
      <c r="FD86" s="199">
        <f t="shared" si="318"/>
        <v>0.0110574305933587</v>
      </c>
      <c r="FE86" s="192"/>
      <c r="FF86" s="192"/>
      <c r="FH86" s="8" t="str">
        <f t="shared" si="231"/>
        <v>2026//2/25</v>
      </c>
      <c r="FI86" s="198">
        <v>1066295.33</v>
      </c>
      <c r="FJ86" s="12">
        <f t="shared" si="319"/>
        <v>1049395.33</v>
      </c>
      <c r="FK86" s="12">
        <f t="shared" si="320"/>
        <v>16900</v>
      </c>
      <c r="FL86" s="199">
        <f t="shared" si="321"/>
        <v>0.0161045123004311</v>
      </c>
      <c r="FM86" s="201"/>
      <c r="FN86" s="201"/>
      <c r="FP86" s="8" t="str">
        <f t="shared" si="232"/>
        <v>2026//2/25</v>
      </c>
      <c r="FQ86" s="200">
        <v>2501218.73</v>
      </c>
      <c r="FR86" s="12">
        <f t="shared" si="322"/>
        <v>2511868.73</v>
      </c>
      <c r="FS86" s="12">
        <f t="shared" si="323"/>
        <v>-10650</v>
      </c>
      <c r="FT86" s="199">
        <f t="shared" si="324"/>
        <v>-0.00423987124518247</v>
      </c>
      <c r="FU86" s="192"/>
      <c r="FV86" s="192"/>
      <c r="FX86" s="8" t="str">
        <f t="shared" si="233"/>
        <v>2026//2/25</v>
      </c>
      <c r="FY86" s="200">
        <v>7847182.05</v>
      </c>
      <c r="FZ86" s="12">
        <f t="shared" si="325"/>
        <v>7847682.05</v>
      </c>
      <c r="GA86" s="12">
        <f t="shared" si="326"/>
        <v>-500</v>
      </c>
      <c r="GB86" s="199">
        <f t="shared" si="327"/>
        <v>-6.37130807306343e-5</v>
      </c>
      <c r="GC86" s="192"/>
      <c r="GD86" s="192"/>
      <c r="GF86" s="8" t="str">
        <f t="shared" si="234"/>
        <v>2026//2/25</v>
      </c>
      <c r="GG86" s="200">
        <v>4634269.49</v>
      </c>
      <c r="GH86" s="12">
        <f t="shared" si="328"/>
        <v>4627569.49</v>
      </c>
      <c r="GI86" s="12">
        <f t="shared" si="329"/>
        <v>6700</v>
      </c>
      <c r="GJ86" s="199">
        <f t="shared" si="330"/>
        <v>0.00144784427645624</v>
      </c>
      <c r="GK86" s="192"/>
      <c r="GL86" s="192"/>
      <c r="GN86" s="8" t="str">
        <f t="shared" si="235"/>
        <v>2026//2/25</v>
      </c>
      <c r="GO86" s="257">
        <v>1799518.12</v>
      </c>
      <c r="GP86" s="12">
        <f t="shared" si="331"/>
        <v>1811698.12</v>
      </c>
      <c r="GQ86" s="12">
        <f t="shared" si="332"/>
        <v>-12180</v>
      </c>
      <c r="GR86" s="199">
        <f t="shared" si="333"/>
        <v>-0.00672297435513153</v>
      </c>
      <c r="GS86" s="192"/>
      <c r="GT86" s="192"/>
      <c r="GV86" s="8" t="str">
        <f t="shared" si="236"/>
        <v>2026//2/25</v>
      </c>
      <c r="GW86" s="200">
        <v>1025749.4</v>
      </c>
      <c r="GX86" s="12">
        <f t="shared" si="334"/>
        <v>1029949.4</v>
      </c>
      <c r="GY86" s="12">
        <f t="shared" si="335"/>
        <v>-4200</v>
      </c>
      <c r="GZ86" s="199">
        <f t="shared" si="336"/>
        <v>-0.0040778702332367</v>
      </c>
      <c r="HA86" s="192"/>
      <c r="HB86" s="192"/>
      <c r="HD86" s="8" t="str">
        <f t="shared" si="237"/>
        <v>2026//2/25</v>
      </c>
      <c r="HE86" s="257">
        <v>1153964.67</v>
      </c>
      <c r="HF86" s="12">
        <f t="shared" si="337"/>
        <v>1170164.67</v>
      </c>
      <c r="HG86" s="12">
        <f t="shared" si="338"/>
        <v>-16200</v>
      </c>
      <c r="HH86" s="199">
        <f t="shared" si="339"/>
        <v>-0.0138442053629939</v>
      </c>
      <c r="HI86" s="201"/>
      <c r="HJ86" s="192"/>
      <c r="HL86" s="8" t="str">
        <f t="shared" si="238"/>
        <v>2026//2/25</v>
      </c>
      <c r="HM86" s="200">
        <v>154854.25</v>
      </c>
      <c r="HN86" s="12">
        <f t="shared" si="340"/>
        <v>143004.25</v>
      </c>
      <c r="HO86" s="12">
        <f t="shared" si="341"/>
        <v>11850</v>
      </c>
      <c r="HP86" s="199">
        <f t="shared" si="342"/>
        <v>0.0828646701059584</v>
      </c>
      <c r="HQ86" s="192"/>
      <c r="HR86" s="192"/>
      <c r="HT86" s="8" t="str">
        <f t="shared" si="239"/>
        <v>2026//2/25</v>
      </c>
      <c r="HU86" s="257">
        <v>329068.82</v>
      </c>
      <c r="HV86" s="12">
        <f t="shared" si="343"/>
        <v>307868.82</v>
      </c>
      <c r="HW86" s="12">
        <f t="shared" si="344"/>
        <v>21200</v>
      </c>
      <c r="HX86" s="199">
        <f t="shared" si="345"/>
        <v>0.0688604971429065</v>
      </c>
      <c r="HY86" s="192"/>
      <c r="HZ86" s="192"/>
      <c r="IB86" s="8" t="str">
        <f t="shared" si="240"/>
        <v>2026//2/25</v>
      </c>
      <c r="IC86" s="200">
        <v>488609.79</v>
      </c>
      <c r="ID86" s="12">
        <f t="shared" si="346"/>
        <v>480559.79</v>
      </c>
      <c r="IE86" s="12">
        <f t="shared" si="347"/>
        <v>8050</v>
      </c>
      <c r="IF86" s="199">
        <f t="shared" si="348"/>
        <v>0.0167512974816307</v>
      </c>
      <c r="IG86" s="201"/>
      <c r="IH86" s="192"/>
      <c r="IJ86" s="8" t="str">
        <f t="shared" si="241"/>
        <v>2026//2/25</v>
      </c>
      <c r="IK86" s="257">
        <v>391276.29</v>
      </c>
      <c r="IL86" s="12">
        <f t="shared" si="349"/>
        <v>380876.29</v>
      </c>
      <c r="IM86" s="12">
        <f t="shared" si="350"/>
        <v>10400</v>
      </c>
      <c r="IN86" s="199">
        <f t="shared" si="351"/>
        <v>0.0273054539572416</v>
      </c>
      <c r="IO86" s="192"/>
      <c r="IP86" s="192"/>
      <c r="IR86" s="8" t="str">
        <f t="shared" si="242"/>
        <v>2026//2/25</v>
      </c>
      <c r="IS86" s="200">
        <v>161189</v>
      </c>
      <c r="IT86" s="12">
        <f t="shared" si="352"/>
        <v>159789</v>
      </c>
      <c r="IU86" s="12">
        <f t="shared" si="353"/>
        <v>1400</v>
      </c>
      <c r="IV86" s="199">
        <f t="shared" si="354"/>
        <v>0.00876155429973277</v>
      </c>
      <c r="IW86" s="192"/>
      <c r="IX86" s="192"/>
      <c r="IZ86" s="8" t="str">
        <f t="shared" si="243"/>
        <v>2026//2/25</v>
      </c>
      <c r="JA86" s="200">
        <v>4842929.15</v>
      </c>
      <c r="JB86" s="12">
        <f t="shared" si="355"/>
        <v>4835729.15</v>
      </c>
      <c r="JC86" s="12">
        <f t="shared" si="356"/>
        <v>7200</v>
      </c>
      <c r="JD86" s="199">
        <f t="shared" si="357"/>
        <v>0.00148891713672591</v>
      </c>
      <c r="JE86" s="192"/>
      <c r="JF86" s="192"/>
      <c r="JH86" s="8" t="str">
        <f t="shared" si="244"/>
        <v>2026//2/25</v>
      </c>
      <c r="JI86" s="200">
        <v>1506027.99</v>
      </c>
      <c r="JJ86" s="12">
        <f t="shared" si="358"/>
        <v>1524387.99</v>
      </c>
      <c r="JK86" s="12">
        <f t="shared" si="359"/>
        <v>-18360</v>
      </c>
      <c r="JL86" s="199">
        <f t="shared" si="360"/>
        <v>-0.0120441778080395</v>
      </c>
      <c r="JM86" s="192"/>
      <c r="JN86" s="192"/>
      <c r="JP86" s="8" t="str">
        <f t="shared" si="245"/>
        <v>2026//2/25</v>
      </c>
      <c r="JQ86" s="257">
        <v>1240190.41</v>
      </c>
      <c r="JR86" s="12">
        <f t="shared" si="361"/>
        <v>1248690.41</v>
      </c>
      <c r="JS86" s="12">
        <f t="shared" si="362"/>
        <v>-8500</v>
      </c>
      <c r="JT86" s="199">
        <f t="shared" si="363"/>
        <v>-0.00680713164122082</v>
      </c>
      <c r="JU86" s="192"/>
      <c r="JV86" s="201"/>
      <c r="JX86" s="8" t="str">
        <f t="shared" si="246"/>
        <v>2026//2/25</v>
      </c>
      <c r="JY86" s="200">
        <v>1312748.8</v>
      </c>
      <c r="JZ86" s="12">
        <f t="shared" si="364"/>
        <v>1312748.8</v>
      </c>
      <c r="KA86" s="12">
        <f t="shared" si="365"/>
        <v>0</v>
      </c>
      <c r="KB86" s="199">
        <f t="shared" si="366"/>
        <v>0</v>
      </c>
      <c r="KC86" s="192"/>
      <c r="KD86" s="201"/>
      <c r="KF86" s="8" t="str">
        <f t="shared" si="247"/>
        <v>2026//2/25</v>
      </c>
      <c r="KG86" s="257">
        <v>800155.92</v>
      </c>
      <c r="KH86" s="12">
        <f t="shared" si="367"/>
        <v>800155.92</v>
      </c>
      <c r="KI86" s="12">
        <f t="shared" si="368"/>
        <v>0</v>
      </c>
      <c r="KJ86" s="199">
        <f t="shared" si="369"/>
        <v>0</v>
      </c>
      <c r="KK86" s="201"/>
      <c r="KL86" s="201"/>
      <c r="KN86" s="8" t="str">
        <f t="shared" si="248"/>
        <v>2026//2/25</v>
      </c>
      <c r="KO86" s="200">
        <v>7723675.95</v>
      </c>
      <c r="KP86" s="12">
        <f t="shared" si="370"/>
        <v>7648275.95</v>
      </c>
      <c r="KQ86" s="12">
        <f t="shared" si="371"/>
        <v>75400</v>
      </c>
      <c r="KR86" s="199">
        <f t="shared" si="372"/>
        <v>0.00985843090559514</v>
      </c>
      <c r="KS86" s="192"/>
      <c r="KT86" s="192"/>
      <c r="KV86" s="8" t="str">
        <f t="shared" si="249"/>
        <v>2026//2/25</v>
      </c>
      <c r="KW86" s="257">
        <v>1013172.97</v>
      </c>
      <c r="KX86" s="12">
        <f t="shared" si="373"/>
        <v>1013172.97</v>
      </c>
      <c r="KY86" s="12">
        <f t="shared" si="374"/>
        <v>0</v>
      </c>
      <c r="KZ86" s="199">
        <f t="shared" si="375"/>
        <v>0</v>
      </c>
      <c r="LA86" s="201"/>
      <c r="LB86" s="192"/>
      <c r="LD86" s="8" t="str">
        <f t="shared" si="250"/>
        <v>2026//2/25</v>
      </c>
      <c r="LE86" s="200">
        <v>465557.7</v>
      </c>
      <c r="LF86" s="12">
        <f t="shared" si="376"/>
        <v>476857.7</v>
      </c>
      <c r="LG86" s="12">
        <f t="shared" si="377"/>
        <v>-11300</v>
      </c>
      <c r="LH86" s="199">
        <f t="shared" si="378"/>
        <v>-0.0236967967592848</v>
      </c>
      <c r="LI86" s="192"/>
      <c r="LJ86" s="192"/>
      <c r="LL86" s="8" t="str">
        <f t="shared" si="251"/>
        <v>2026//2/25</v>
      </c>
      <c r="LM86" s="198">
        <v>3437575.02</v>
      </c>
      <c r="LN86" s="12">
        <f t="shared" si="379"/>
        <v>3447295.02</v>
      </c>
      <c r="LO86" s="12">
        <f t="shared" si="380"/>
        <v>-9720</v>
      </c>
      <c r="LP86" s="199">
        <f t="shared" si="381"/>
        <v>-0.00281960201944074</v>
      </c>
      <c r="LQ86" s="192"/>
      <c r="LR86" s="192"/>
      <c r="LT86" s="8" t="str">
        <f t="shared" si="252"/>
        <v>2026//2/25</v>
      </c>
      <c r="LU86" s="257">
        <v>2841662.9</v>
      </c>
      <c r="LV86" s="12">
        <f t="shared" si="382"/>
        <v>2879262.9</v>
      </c>
      <c r="LW86" s="12">
        <f t="shared" si="383"/>
        <v>-37600</v>
      </c>
      <c r="LX86" s="199">
        <f t="shared" si="384"/>
        <v>-0.0130588978172156</v>
      </c>
      <c r="LY86" s="192"/>
      <c r="LZ86" s="192"/>
      <c r="MB86" s="8" t="str">
        <f t="shared" si="253"/>
        <v>2026//2/25</v>
      </c>
      <c r="MC86" s="200">
        <v>793717.69</v>
      </c>
      <c r="MD86" s="12">
        <f t="shared" si="385"/>
        <v>791517.69</v>
      </c>
      <c r="ME86" s="12">
        <f t="shared" si="386"/>
        <v>2200</v>
      </c>
      <c r="MF86" s="199">
        <f t="shared" si="387"/>
        <v>0.00277947041208896</v>
      </c>
      <c r="MG86" s="192"/>
      <c r="MH86" s="192"/>
      <c r="MI86" s="192"/>
      <c r="MJ86" s="192"/>
      <c r="MK86" s="8" t="str">
        <f t="shared" si="254"/>
        <v>2026//2/25</v>
      </c>
      <c r="ML86" s="258">
        <v>260505.53</v>
      </c>
      <c r="MM86" s="12">
        <f t="shared" si="388"/>
        <v>259905.53</v>
      </c>
      <c r="MN86" s="12">
        <f t="shared" si="389"/>
        <v>600</v>
      </c>
      <c r="MO86" s="199">
        <f t="shared" si="390"/>
        <v>0.00230853110358983</v>
      </c>
      <c r="MP86" s="192"/>
      <c r="MQ86" s="201"/>
      <c r="MR86" s="201"/>
      <c r="MS86" s="204">
        <v>1.5551</v>
      </c>
      <c r="MT86" s="295" t="str">
        <f t="shared" si="255"/>
        <v>2026//2/25</v>
      </c>
      <c r="MU86" s="204">
        <v>199115</v>
      </c>
      <c r="MV86" s="204">
        <f t="shared" si="391"/>
        <v>200015</v>
      </c>
      <c r="MW86" s="204">
        <v>-900</v>
      </c>
      <c r="MX86" s="296">
        <v>-0.0045</v>
      </c>
      <c r="MY86" s="192"/>
      <c r="MZ86" s="192"/>
      <c r="NA86" s="192"/>
      <c r="NB86" s="204">
        <v>1.545</v>
      </c>
      <c r="NC86" s="204" t="str">
        <f t="shared" si="256"/>
        <v>2026//2/25</v>
      </c>
      <c r="ND86" s="204">
        <v>43891</v>
      </c>
      <c r="NE86" s="204">
        <f t="shared" si="392"/>
        <v>42691</v>
      </c>
      <c r="NF86" s="204">
        <v>1200</v>
      </c>
      <c r="NG86" s="296">
        <v>0.0281</v>
      </c>
      <c r="NH86" s="192"/>
      <c r="NI86" s="192"/>
      <c r="NJ86" s="192"/>
      <c r="NK86" s="192"/>
      <c r="NL86" s="205">
        <v>1.1697</v>
      </c>
      <c r="NM86" s="204" t="str">
        <f t="shared" si="257"/>
        <v>2026//2/25</v>
      </c>
      <c r="NN86" s="205">
        <v>2545311</v>
      </c>
      <c r="NO86" s="8">
        <f t="shared" si="393"/>
        <v>2563311</v>
      </c>
      <c r="NP86" s="205">
        <v>-18000</v>
      </c>
      <c r="NQ86" s="292">
        <v>-0.007</v>
      </c>
      <c r="NR86" s="293"/>
      <c r="NS86" s="205">
        <v>1.0606</v>
      </c>
      <c r="NT86" s="294"/>
      <c r="NU86" s="204" t="str">
        <f t="shared" si="258"/>
        <v>2026//2/25</v>
      </c>
      <c r="NV86" s="205">
        <v>241826</v>
      </c>
      <c r="NW86" s="205">
        <f t="shared" si="394"/>
        <v>241826</v>
      </c>
      <c r="NX86" s="205">
        <v>0</v>
      </c>
      <c r="NY86" s="292">
        <v>0</v>
      </c>
      <c r="NZ86" s="192"/>
      <c r="OA86" s="8"/>
      <c r="OC86" s="8" t="str">
        <f t="shared" si="259"/>
        <v>2026//2/25</v>
      </c>
      <c r="OD86" s="200">
        <v>12642.97</v>
      </c>
      <c r="OE86" s="12">
        <f t="shared" si="395"/>
        <v>12832.97</v>
      </c>
      <c r="OF86" s="12">
        <f t="shared" si="396"/>
        <v>-190</v>
      </c>
      <c r="OG86" s="199">
        <f t="shared" si="397"/>
        <v>-0.014805613977123</v>
      </c>
      <c r="OH86" s="192"/>
      <c r="OI86" s="192"/>
      <c r="OK86" s="8" t="str">
        <f t="shared" si="260"/>
        <v>2026//2/25</v>
      </c>
      <c r="OL86" s="200">
        <v>11157.65</v>
      </c>
      <c r="OM86" s="12">
        <f t="shared" si="398"/>
        <v>11157.65</v>
      </c>
      <c r="ON86" s="12">
        <f t="shared" si="399"/>
        <v>0</v>
      </c>
      <c r="OO86" s="199">
        <f t="shared" si="400"/>
        <v>0</v>
      </c>
      <c r="OP86" s="192"/>
      <c r="OQ86" s="192"/>
      <c r="OT86" s="234" t="str">
        <f t="shared" si="211"/>
        <v>2026//2/25</v>
      </c>
      <c r="OU86" s="206">
        <v>140832.4066</v>
      </c>
      <c r="OV86" s="8">
        <f t="shared" si="401"/>
        <v>140712.4066</v>
      </c>
      <c r="OW86" s="191">
        <f t="shared" si="402"/>
        <v>120</v>
      </c>
      <c r="OX86" s="192">
        <f t="shared" si="403"/>
        <v>0.000852803266602648</v>
      </c>
    </row>
    <row r="87" s="8" customFormat="1" ht="17" customHeight="1" spans="1:414">
      <c r="A87" s="15"/>
      <c r="B87" s="15"/>
      <c r="C87" s="287" t="s">
        <v>515</v>
      </c>
      <c r="D87" s="19">
        <v>4590768.77</v>
      </c>
      <c r="E87" s="19">
        <f t="shared" si="261"/>
        <v>4612368.77</v>
      </c>
      <c r="F87" s="19">
        <f t="shared" si="262"/>
        <v>-21600</v>
      </c>
      <c r="G87" s="172">
        <f t="shared" si="263"/>
        <v>-0.00468306006676912</v>
      </c>
      <c r="H87" s="18"/>
      <c r="I87" s="172"/>
      <c r="J87" s="172"/>
      <c r="K87" s="19" t="str">
        <f t="shared" si="212"/>
        <v>2026//2/24</v>
      </c>
      <c r="L87" s="19">
        <v>3218014.4</v>
      </c>
      <c r="M87" s="19">
        <f t="shared" si="264"/>
        <v>3220174.4</v>
      </c>
      <c r="N87" s="19">
        <f t="shared" si="265"/>
        <v>-2160</v>
      </c>
      <c r="O87" s="172">
        <f t="shared" si="266"/>
        <v>-0.000670771123452196</v>
      </c>
      <c r="P87" s="18"/>
      <c r="Q87" s="172"/>
      <c r="R87" s="19"/>
      <c r="S87" s="19" t="str">
        <f t="shared" si="213"/>
        <v>2026//2/24</v>
      </c>
      <c r="T87" s="19">
        <v>2380656.68</v>
      </c>
      <c r="U87" s="19">
        <f t="shared" si="267"/>
        <v>2389566.68</v>
      </c>
      <c r="V87" s="19">
        <f t="shared" si="268"/>
        <v>-8910</v>
      </c>
      <c r="W87" s="172">
        <f t="shared" si="269"/>
        <v>-0.00372870950811885</v>
      </c>
      <c r="X87" s="18"/>
      <c r="Y87" s="172"/>
      <c r="Z87" s="19"/>
      <c r="AA87" s="19" t="str">
        <f t="shared" si="214"/>
        <v>2026//2/24</v>
      </c>
      <c r="AB87" s="19">
        <v>1091056.86</v>
      </c>
      <c r="AC87" s="19">
        <f t="shared" si="270"/>
        <v>1089896.86</v>
      </c>
      <c r="AD87" s="19">
        <f t="shared" si="271"/>
        <v>1160</v>
      </c>
      <c r="AE87" s="172">
        <f t="shared" si="272"/>
        <v>0.00106432089363025</v>
      </c>
      <c r="AF87" s="18"/>
      <c r="AG87" s="172"/>
      <c r="AH87" s="19"/>
      <c r="AI87" s="19" t="str">
        <f t="shared" si="215"/>
        <v>2026//2/24</v>
      </c>
      <c r="AJ87" s="19">
        <v>1001921.76</v>
      </c>
      <c r="AK87" s="19">
        <f t="shared" si="273"/>
        <v>1015121.76</v>
      </c>
      <c r="AL87" s="19">
        <f t="shared" si="274"/>
        <v>-13200</v>
      </c>
      <c r="AM87" s="172">
        <f t="shared" si="275"/>
        <v>-0.0130033662168763</v>
      </c>
      <c r="AN87" s="18"/>
      <c r="AO87" s="18"/>
      <c r="AP87" s="19"/>
      <c r="AQ87" s="19" t="str">
        <f t="shared" si="216"/>
        <v>2026//2/24</v>
      </c>
      <c r="AR87" s="21">
        <v>1892545.49</v>
      </c>
      <c r="AS87" s="19">
        <f t="shared" si="276"/>
        <v>1915345.49</v>
      </c>
      <c r="AT87" s="19">
        <f t="shared" si="277"/>
        <v>-22800</v>
      </c>
      <c r="AU87" s="172">
        <f t="shared" si="278"/>
        <v>-0.0119038576168313</v>
      </c>
      <c r="AV87" s="18"/>
      <c r="AW87" s="18"/>
      <c r="AX87" s="17"/>
      <c r="AY87" s="205">
        <v>4.9179</v>
      </c>
      <c r="AZ87" s="204" t="str">
        <f t="shared" si="217"/>
        <v>2026//2/24</v>
      </c>
      <c r="BA87" s="205">
        <v>2021062</v>
      </c>
      <c r="BB87" s="205">
        <f t="shared" si="279"/>
        <v>2022412</v>
      </c>
      <c r="BC87" s="205">
        <v>-1350</v>
      </c>
      <c r="BD87" s="292">
        <v>-0.0007</v>
      </c>
      <c r="BE87" s="18"/>
      <c r="BF87" s="18"/>
      <c r="BG87" s="74"/>
      <c r="BH87" s="8" t="str">
        <f t="shared" si="218"/>
        <v>2026//2/24</v>
      </c>
      <c r="BI87" s="256">
        <v>1012326.55</v>
      </c>
      <c r="BJ87" s="195">
        <f t="shared" si="280"/>
        <v>988426.55</v>
      </c>
      <c r="BK87" s="195">
        <f t="shared" si="281"/>
        <v>23900</v>
      </c>
      <c r="BL87" s="196">
        <f t="shared" si="282"/>
        <v>0.0241798442180656</v>
      </c>
      <c r="BM87" s="197"/>
      <c r="BN87" s="192"/>
      <c r="BP87" s="8" t="str">
        <f t="shared" si="219"/>
        <v>2026//2/24</v>
      </c>
      <c r="BQ87" s="198">
        <v>1443062.39</v>
      </c>
      <c r="BR87" s="12">
        <f t="shared" si="283"/>
        <v>1446262.39</v>
      </c>
      <c r="BS87" s="12">
        <f t="shared" si="284"/>
        <v>-3200</v>
      </c>
      <c r="BT87" s="199">
        <f t="shared" si="285"/>
        <v>-0.00221259988652543</v>
      </c>
      <c r="BU87" s="192"/>
      <c r="BV87" s="192"/>
      <c r="BX87" s="8" t="str">
        <f t="shared" si="220"/>
        <v>2026//2/24</v>
      </c>
      <c r="BY87" s="257">
        <v>3910910.7</v>
      </c>
      <c r="BZ87" s="12">
        <f t="shared" si="286"/>
        <v>3917660.7</v>
      </c>
      <c r="CA87" s="12">
        <f t="shared" si="287"/>
        <v>-6750</v>
      </c>
      <c r="CB87" s="199">
        <f t="shared" si="288"/>
        <v>-0.00172296697363302</v>
      </c>
      <c r="CC87" s="192"/>
      <c r="CD87" s="201"/>
      <c r="CF87" s="8" t="str">
        <f t="shared" si="221"/>
        <v>2026//2/24</v>
      </c>
      <c r="CG87" s="200">
        <v>1668003.9</v>
      </c>
      <c r="CH87" s="12">
        <f t="shared" si="289"/>
        <v>1666003.9</v>
      </c>
      <c r="CI87" s="12">
        <f t="shared" si="290"/>
        <v>2000</v>
      </c>
      <c r="CJ87" s="199">
        <f t="shared" si="291"/>
        <v>0.00120047738183566</v>
      </c>
      <c r="CK87" s="192"/>
      <c r="CL87" s="201"/>
      <c r="CN87" s="8" t="str">
        <f t="shared" si="222"/>
        <v>2026//2/24</v>
      </c>
      <c r="CO87" s="200">
        <v>758046.48</v>
      </c>
      <c r="CP87" s="12">
        <f t="shared" si="292"/>
        <v>748746.48</v>
      </c>
      <c r="CQ87" s="12">
        <f t="shared" si="293"/>
        <v>9300</v>
      </c>
      <c r="CR87" s="199">
        <f t="shared" si="294"/>
        <v>0.0124207595606994</v>
      </c>
      <c r="CS87" s="201"/>
      <c r="CT87" s="201"/>
      <c r="CV87" s="8" t="str">
        <f t="shared" si="223"/>
        <v>2026//2/24</v>
      </c>
      <c r="CW87" s="200">
        <v>592990.4</v>
      </c>
      <c r="CX87" s="12">
        <f t="shared" si="295"/>
        <v>593440.4</v>
      </c>
      <c r="CY87" s="12">
        <f t="shared" si="296"/>
        <v>-450</v>
      </c>
      <c r="CZ87" s="199">
        <f t="shared" si="297"/>
        <v>-0.000758290133263593</v>
      </c>
      <c r="DA87" s="192"/>
      <c r="DB87" s="192"/>
      <c r="DC87" s="277"/>
      <c r="DD87" s="8" t="str">
        <f t="shared" si="224"/>
        <v>2026//2/24</v>
      </c>
      <c r="DE87" s="257">
        <v>2374517.98</v>
      </c>
      <c r="DF87" s="12">
        <f t="shared" si="298"/>
        <v>2380317.98</v>
      </c>
      <c r="DG87" s="12">
        <f t="shared" si="299"/>
        <v>-5800</v>
      </c>
      <c r="DH87" s="199">
        <f t="shared" si="300"/>
        <v>-0.0024366492412917</v>
      </c>
      <c r="DI87" s="192"/>
      <c r="DJ87" s="192"/>
      <c r="DL87" s="8" t="str">
        <f t="shared" si="225"/>
        <v>2026//2/24</v>
      </c>
      <c r="DM87" s="200">
        <v>1356300.36</v>
      </c>
      <c r="DN87" s="12">
        <f t="shared" si="301"/>
        <v>1349500.36</v>
      </c>
      <c r="DO87" s="12">
        <f t="shared" si="302"/>
        <v>6800</v>
      </c>
      <c r="DP87" s="199">
        <f t="shared" si="303"/>
        <v>0.00503890195331256</v>
      </c>
      <c r="DQ87" s="192"/>
      <c r="DR87" s="192"/>
      <c r="DT87" s="8" t="str">
        <f t="shared" si="226"/>
        <v>2026//2/24</v>
      </c>
      <c r="DU87" s="200">
        <v>1809689.48</v>
      </c>
      <c r="DV87" s="12">
        <f t="shared" si="304"/>
        <v>1804889.48</v>
      </c>
      <c r="DW87" s="12">
        <f t="shared" si="305"/>
        <v>4800</v>
      </c>
      <c r="DX87" s="199">
        <f t="shared" si="306"/>
        <v>0.00265944261584371</v>
      </c>
      <c r="DY87" s="192"/>
      <c r="DZ87" s="192"/>
      <c r="EB87" s="8" t="str">
        <f t="shared" si="227"/>
        <v>2026//2/24</v>
      </c>
      <c r="EC87" s="200">
        <v>5040716.82</v>
      </c>
      <c r="ED87" s="12">
        <f t="shared" si="307"/>
        <v>5046116.82</v>
      </c>
      <c r="EE87" s="12">
        <f t="shared" si="308"/>
        <v>-5400</v>
      </c>
      <c r="EF87" s="199">
        <f t="shared" si="309"/>
        <v>-0.00107012980329694</v>
      </c>
      <c r="EG87" s="192"/>
      <c r="EH87" s="192"/>
      <c r="EJ87" s="8" t="str">
        <f t="shared" si="228"/>
        <v>2026//2/24</v>
      </c>
      <c r="EK87" s="257">
        <v>1637122.96</v>
      </c>
      <c r="EL87" s="12">
        <f t="shared" si="310"/>
        <v>1629922.96</v>
      </c>
      <c r="EM87" s="12">
        <f t="shared" si="311"/>
        <v>7200</v>
      </c>
      <c r="EN87" s="199">
        <f t="shared" si="312"/>
        <v>0.00441738669660804</v>
      </c>
      <c r="EO87" s="192"/>
      <c r="EP87" s="192"/>
      <c r="ER87" s="8" t="str">
        <f t="shared" si="229"/>
        <v>2026//2/24</v>
      </c>
      <c r="ES87" s="8">
        <v>548747.02</v>
      </c>
      <c r="ET87" s="12">
        <f t="shared" si="313"/>
        <v>545447.02</v>
      </c>
      <c r="EU87" s="12">
        <f t="shared" si="314"/>
        <v>3300</v>
      </c>
      <c r="EV87" s="199">
        <f t="shared" si="315"/>
        <v>0.00605008347098495</v>
      </c>
      <c r="EW87" s="192"/>
      <c r="EX87" s="192"/>
      <c r="EZ87" s="8" t="str">
        <f t="shared" si="230"/>
        <v>2026//2/24</v>
      </c>
      <c r="FA87" s="200">
        <v>705408</v>
      </c>
      <c r="FB87" s="12">
        <f t="shared" si="316"/>
        <v>692008</v>
      </c>
      <c r="FC87" s="12">
        <f t="shared" si="317"/>
        <v>13400</v>
      </c>
      <c r="FD87" s="199">
        <f t="shared" si="318"/>
        <v>0.0193639379891562</v>
      </c>
      <c r="FE87" s="192"/>
      <c r="FF87" s="192"/>
      <c r="FH87" s="8" t="str">
        <f t="shared" si="231"/>
        <v>2026//2/24</v>
      </c>
      <c r="FI87" s="198">
        <v>1049395.33</v>
      </c>
      <c r="FJ87" s="12">
        <f t="shared" si="319"/>
        <v>1039595.33</v>
      </c>
      <c r="FK87" s="12">
        <f t="shared" si="320"/>
        <v>9800.00000000012</v>
      </c>
      <c r="FL87" s="199">
        <f t="shared" si="321"/>
        <v>0.009426744923912</v>
      </c>
      <c r="FM87" s="201"/>
      <c r="FN87" s="201"/>
      <c r="FP87" s="8" t="str">
        <f t="shared" si="232"/>
        <v>2026//2/24</v>
      </c>
      <c r="FQ87" s="200">
        <v>2511868.73</v>
      </c>
      <c r="FR87" s="12">
        <f t="shared" si="322"/>
        <v>2470618.73</v>
      </c>
      <c r="FS87" s="12">
        <f t="shared" si="323"/>
        <v>41250</v>
      </c>
      <c r="FT87" s="199">
        <f t="shared" si="324"/>
        <v>0.0166962224883643</v>
      </c>
      <c r="FU87" s="192"/>
      <c r="FV87" s="192"/>
      <c r="FX87" s="8" t="str">
        <f t="shared" si="233"/>
        <v>2026//2/24</v>
      </c>
      <c r="FY87" s="200">
        <v>7847682.05</v>
      </c>
      <c r="FZ87" s="12">
        <f t="shared" si="325"/>
        <v>7825682.05</v>
      </c>
      <c r="GA87" s="12">
        <f t="shared" si="326"/>
        <v>22000</v>
      </c>
      <c r="GB87" s="199">
        <f t="shared" si="327"/>
        <v>0.0028112565600592</v>
      </c>
      <c r="GC87" s="192"/>
      <c r="GD87" s="192"/>
      <c r="GF87" s="8" t="str">
        <f t="shared" si="234"/>
        <v>2026//2/24</v>
      </c>
      <c r="GG87" s="200">
        <v>4627569.49</v>
      </c>
      <c r="GH87" s="12">
        <f t="shared" si="328"/>
        <v>4641969.49</v>
      </c>
      <c r="GI87" s="12">
        <f t="shared" si="329"/>
        <v>-14400</v>
      </c>
      <c r="GJ87" s="199">
        <f t="shared" si="330"/>
        <v>-0.00310213154804686</v>
      </c>
      <c r="GK87" s="192"/>
      <c r="GL87" s="192"/>
      <c r="GN87" s="8" t="str">
        <f t="shared" si="235"/>
        <v>2026//2/24</v>
      </c>
      <c r="GO87" s="257">
        <v>1811698.12</v>
      </c>
      <c r="GP87" s="12">
        <f t="shared" si="331"/>
        <v>1816618.12</v>
      </c>
      <c r="GQ87" s="12">
        <f t="shared" si="332"/>
        <v>-4920</v>
      </c>
      <c r="GR87" s="199">
        <f t="shared" si="333"/>
        <v>-0.0027083292552427</v>
      </c>
      <c r="GS87" s="192"/>
      <c r="GT87" s="192"/>
      <c r="GV87" s="8" t="str">
        <f t="shared" si="236"/>
        <v>2026//2/24</v>
      </c>
      <c r="GW87" s="200">
        <v>1029949.4</v>
      </c>
      <c r="GX87" s="12">
        <f t="shared" si="334"/>
        <v>1037549.4</v>
      </c>
      <c r="GY87" s="12">
        <f t="shared" si="335"/>
        <v>-7600</v>
      </c>
      <c r="GZ87" s="199">
        <f t="shared" si="336"/>
        <v>-0.00732495243118063</v>
      </c>
      <c r="HA87" s="192"/>
      <c r="HB87" s="192"/>
      <c r="HD87" s="8" t="str">
        <f t="shared" si="237"/>
        <v>2026//2/24</v>
      </c>
      <c r="HE87" s="257">
        <v>1170164.67</v>
      </c>
      <c r="HF87" s="12">
        <f t="shared" si="337"/>
        <v>1177064.67</v>
      </c>
      <c r="HG87" s="12">
        <f t="shared" si="338"/>
        <v>-6900</v>
      </c>
      <c r="HH87" s="199">
        <f t="shared" si="339"/>
        <v>-0.00586203984866864</v>
      </c>
      <c r="HI87" s="201"/>
      <c r="HJ87" s="192"/>
      <c r="HL87" s="8" t="str">
        <f t="shared" si="238"/>
        <v>2026//2/24</v>
      </c>
      <c r="HM87" s="200">
        <v>143004.25</v>
      </c>
      <c r="HN87" s="12">
        <f t="shared" si="340"/>
        <v>142754.25</v>
      </c>
      <c r="HO87" s="12">
        <f t="shared" si="341"/>
        <v>250</v>
      </c>
      <c r="HP87" s="199">
        <f t="shared" si="342"/>
        <v>0.00175126134598445</v>
      </c>
      <c r="HQ87" s="192"/>
      <c r="HR87" s="192"/>
      <c r="HT87" s="8" t="str">
        <f t="shared" si="239"/>
        <v>2026//2/24</v>
      </c>
      <c r="HU87" s="257">
        <v>307868.82</v>
      </c>
      <c r="HV87" s="12">
        <f t="shared" si="343"/>
        <v>307868.82</v>
      </c>
      <c r="HW87" s="12">
        <f t="shared" si="344"/>
        <v>0</v>
      </c>
      <c r="HX87" s="199">
        <f t="shared" si="345"/>
        <v>0</v>
      </c>
      <c r="HY87" s="192"/>
      <c r="HZ87" s="192"/>
      <c r="IB87" s="8" t="str">
        <f t="shared" si="240"/>
        <v>2026//2/24</v>
      </c>
      <c r="IC87" s="200">
        <v>480559.79</v>
      </c>
      <c r="ID87" s="12">
        <f t="shared" si="346"/>
        <v>481184.79</v>
      </c>
      <c r="IE87" s="12">
        <f t="shared" si="347"/>
        <v>-625</v>
      </c>
      <c r="IF87" s="199">
        <f t="shared" si="348"/>
        <v>-0.00129887729826207</v>
      </c>
      <c r="IG87" s="201"/>
      <c r="IH87" s="192"/>
      <c r="IJ87" s="8" t="str">
        <f t="shared" si="241"/>
        <v>2026//2/24</v>
      </c>
      <c r="IK87" s="257">
        <v>380876.29</v>
      </c>
      <c r="IL87" s="12">
        <f t="shared" si="349"/>
        <v>387836.29</v>
      </c>
      <c r="IM87" s="12">
        <f t="shared" si="350"/>
        <v>-6960</v>
      </c>
      <c r="IN87" s="199">
        <f t="shared" si="351"/>
        <v>-0.0179457162195936</v>
      </c>
      <c r="IO87" s="192"/>
      <c r="IP87" s="192"/>
      <c r="IR87" s="8" t="str">
        <f t="shared" si="242"/>
        <v>2026//2/24</v>
      </c>
      <c r="IS87" s="200">
        <v>159789</v>
      </c>
      <c r="IT87" s="12">
        <f t="shared" si="352"/>
        <v>156489</v>
      </c>
      <c r="IU87" s="12">
        <f t="shared" si="353"/>
        <v>3300</v>
      </c>
      <c r="IV87" s="199">
        <f t="shared" si="354"/>
        <v>0.0210877441864923</v>
      </c>
      <c r="IW87" s="192"/>
      <c r="IX87" s="192"/>
      <c r="IZ87" s="8" t="str">
        <f t="shared" si="243"/>
        <v>2026//2/24</v>
      </c>
      <c r="JA87" s="200">
        <v>4835729.15</v>
      </c>
      <c r="JB87" s="12">
        <f t="shared" si="355"/>
        <v>4808229.15</v>
      </c>
      <c r="JC87" s="12">
        <f t="shared" si="356"/>
        <v>27500</v>
      </c>
      <c r="JD87" s="199">
        <f t="shared" si="357"/>
        <v>0.00571936135780883</v>
      </c>
      <c r="JE87" s="192"/>
      <c r="JF87" s="192"/>
      <c r="JH87" s="8" t="str">
        <f t="shared" si="244"/>
        <v>2026//2/24</v>
      </c>
      <c r="JI87" s="200">
        <v>1524387.99</v>
      </c>
      <c r="JJ87" s="12">
        <f t="shared" si="358"/>
        <v>1535787.99</v>
      </c>
      <c r="JK87" s="12">
        <f t="shared" si="359"/>
        <v>-11400</v>
      </c>
      <c r="JL87" s="199">
        <f t="shared" si="360"/>
        <v>-0.00742289956310962</v>
      </c>
      <c r="JM87" s="192"/>
      <c r="JN87" s="192"/>
      <c r="JP87" s="8" t="str">
        <f t="shared" si="245"/>
        <v>2026//2/24</v>
      </c>
      <c r="JQ87" s="257">
        <v>1248690.41</v>
      </c>
      <c r="JR87" s="12">
        <f t="shared" si="361"/>
        <v>1245590.41</v>
      </c>
      <c r="JS87" s="12">
        <f t="shared" si="362"/>
        <v>3100</v>
      </c>
      <c r="JT87" s="199">
        <f t="shared" si="363"/>
        <v>0.0024887795981024</v>
      </c>
      <c r="JU87" s="192"/>
      <c r="JV87" s="201"/>
      <c r="JX87" s="8" t="str">
        <f t="shared" si="246"/>
        <v>2026//2/24</v>
      </c>
      <c r="JY87" s="200">
        <v>1312748.8</v>
      </c>
      <c r="JZ87" s="12">
        <f t="shared" si="364"/>
        <v>1312748.8</v>
      </c>
      <c r="KA87" s="12">
        <f t="shared" si="365"/>
        <v>0</v>
      </c>
      <c r="KB87" s="199">
        <f t="shared" si="366"/>
        <v>0</v>
      </c>
      <c r="KC87" s="192"/>
      <c r="KD87" s="201"/>
      <c r="KF87" s="8" t="str">
        <f t="shared" si="247"/>
        <v>2026//2/24</v>
      </c>
      <c r="KG87" s="257">
        <v>800155.92</v>
      </c>
      <c r="KH87" s="12">
        <f t="shared" si="367"/>
        <v>800155.92</v>
      </c>
      <c r="KI87" s="12">
        <f t="shared" si="368"/>
        <v>0</v>
      </c>
      <c r="KJ87" s="199">
        <f t="shared" si="369"/>
        <v>0</v>
      </c>
      <c r="KK87" s="201"/>
      <c r="KL87" s="201"/>
      <c r="KN87" s="8" t="str">
        <f t="shared" si="248"/>
        <v>2026//2/24</v>
      </c>
      <c r="KO87" s="200">
        <v>7648275.95</v>
      </c>
      <c r="KP87" s="12">
        <f t="shared" si="370"/>
        <v>7408375.95</v>
      </c>
      <c r="KQ87" s="12">
        <f t="shared" si="371"/>
        <v>239900</v>
      </c>
      <c r="KR87" s="199">
        <f t="shared" si="372"/>
        <v>0.0323822659134894</v>
      </c>
      <c r="KS87" s="192"/>
      <c r="KT87" s="192"/>
      <c r="KV87" s="8" t="str">
        <f t="shared" si="249"/>
        <v>2026//2/24</v>
      </c>
      <c r="KW87" s="257">
        <v>1013172.97</v>
      </c>
      <c r="KX87" s="12">
        <f t="shared" si="373"/>
        <v>1013272.97</v>
      </c>
      <c r="KY87" s="12">
        <f t="shared" si="374"/>
        <v>-100</v>
      </c>
      <c r="KZ87" s="199">
        <f t="shared" si="375"/>
        <v>-9.86900894040428e-5</v>
      </c>
      <c r="LA87" s="201"/>
      <c r="LB87" s="192"/>
      <c r="LD87" s="8" t="str">
        <f t="shared" si="250"/>
        <v>2026//2/24</v>
      </c>
      <c r="LE87" s="200">
        <v>476857.7</v>
      </c>
      <c r="LF87" s="12">
        <f t="shared" si="376"/>
        <v>471807.7</v>
      </c>
      <c r="LG87" s="12">
        <f t="shared" si="377"/>
        <v>5050</v>
      </c>
      <c r="LH87" s="199">
        <f t="shared" si="378"/>
        <v>0.0107035133169721</v>
      </c>
      <c r="LI87" s="192"/>
      <c r="LJ87" s="192"/>
      <c r="LL87" s="8" t="str">
        <f t="shared" si="251"/>
        <v>2026//2/24</v>
      </c>
      <c r="LM87" s="198">
        <v>3447295.02</v>
      </c>
      <c r="LN87" s="12">
        <f t="shared" si="379"/>
        <v>3442255.02</v>
      </c>
      <c r="LO87" s="12">
        <f t="shared" si="380"/>
        <v>5040</v>
      </c>
      <c r="LP87" s="199">
        <f t="shared" si="381"/>
        <v>0.00146415648193317</v>
      </c>
      <c r="LQ87" s="192"/>
      <c r="LR87" s="192"/>
      <c r="LT87" s="8" t="str">
        <f t="shared" si="252"/>
        <v>2026//2/24</v>
      </c>
      <c r="LU87" s="257">
        <v>2879262.9</v>
      </c>
      <c r="LV87" s="12">
        <f t="shared" si="382"/>
        <v>2879262.9</v>
      </c>
      <c r="LW87" s="12">
        <f t="shared" si="383"/>
        <v>0</v>
      </c>
      <c r="LX87" s="199">
        <f t="shared" si="384"/>
        <v>0</v>
      </c>
      <c r="LY87" s="192"/>
      <c r="LZ87" s="192"/>
      <c r="MB87" s="8" t="str">
        <f t="shared" si="253"/>
        <v>2026//2/24</v>
      </c>
      <c r="MC87" s="200">
        <v>791517.69</v>
      </c>
      <c r="MD87" s="12">
        <f t="shared" si="385"/>
        <v>794367.69</v>
      </c>
      <c r="ME87" s="12">
        <f t="shared" si="386"/>
        <v>-2850</v>
      </c>
      <c r="MF87" s="199">
        <f t="shared" si="387"/>
        <v>-0.00358775921513122</v>
      </c>
      <c r="MG87" s="192"/>
      <c r="MH87" s="192"/>
      <c r="MI87" s="192"/>
      <c r="MJ87" s="192"/>
      <c r="MK87" s="8" t="str">
        <f t="shared" si="254"/>
        <v>2026//2/24</v>
      </c>
      <c r="ML87" s="258">
        <v>259905.53</v>
      </c>
      <c r="MM87" s="12">
        <f t="shared" si="388"/>
        <v>258705.53</v>
      </c>
      <c r="MN87" s="12">
        <f t="shared" si="389"/>
        <v>1200</v>
      </c>
      <c r="MO87" s="199">
        <f t="shared" si="390"/>
        <v>0.00463847835026951</v>
      </c>
      <c r="MP87" s="192"/>
      <c r="MQ87" s="201"/>
      <c r="MR87" s="201"/>
      <c r="MS87" s="204">
        <v>1.5287</v>
      </c>
      <c r="MT87" s="295" t="str">
        <f t="shared" si="255"/>
        <v>2026//2/24</v>
      </c>
      <c r="MU87" s="204">
        <v>200015</v>
      </c>
      <c r="MV87" s="204">
        <f t="shared" si="391"/>
        <v>185915</v>
      </c>
      <c r="MW87" s="204">
        <v>14100</v>
      </c>
      <c r="MX87" s="296">
        <v>0.0758</v>
      </c>
      <c r="MY87" s="192"/>
      <c r="MZ87" s="192"/>
      <c r="NA87" s="192"/>
      <c r="NB87" s="204">
        <v>1.509</v>
      </c>
      <c r="NC87" s="204" t="str">
        <f t="shared" si="256"/>
        <v>2026//2/24</v>
      </c>
      <c r="ND87" s="204">
        <v>42691</v>
      </c>
      <c r="NE87" s="204">
        <f t="shared" si="392"/>
        <v>42291</v>
      </c>
      <c r="NF87" s="204">
        <v>400</v>
      </c>
      <c r="NG87" s="296">
        <v>0.0095</v>
      </c>
      <c r="NH87" s="192"/>
      <c r="NI87" s="192"/>
      <c r="NJ87" s="192"/>
      <c r="NK87" s="192"/>
      <c r="NL87" s="205">
        <v>1.1717</v>
      </c>
      <c r="NM87" s="204" t="str">
        <f t="shared" si="257"/>
        <v>2026//2/24</v>
      </c>
      <c r="NN87" s="205">
        <v>2563311</v>
      </c>
      <c r="NO87" s="8">
        <f t="shared" si="393"/>
        <v>2561611</v>
      </c>
      <c r="NP87" s="205">
        <v>1700</v>
      </c>
      <c r="NQ87" s="292">
        <v>0.0007</v>
      </c>
      <c r="NR87" s="293"/>
      <c r="NS87" s="205">
        <v>1.0561</v>
      </c>
      <c r="NT87" s="294"/>
      <c r="NU87" s="204" t="str">
        <f t="shared" si="258"/>
        <v>2026//2/24</v>
      </c>
      <c r="NV87" s="205">
        <v>241826</v>
      </c>
      <c r="NW87" s="205">
        <f t="shared" si="394"/>
        <v>241876</v>
      </c>
      <c r="NX87" s="205">
        <v>-50</v>
      </c>
      <c r="NY87" s="292">
        <v>-0.0002</v>
      </c>
      <c r="NZ87" s="192"/>
      <c r="OA87" s="8"/>
      <c r="OC87" s="8" t="str">
        <f t="shared" si="259"/>
        <v>2026//2/24</v>
      </c>
      <c r="OD87" s="200">
        <v>12832.97</v>
      </c>
      <c r="OE87" s="12">
        <f t="shared" si="395"/>
        <v>12821.97</v>
      </c>
      <c r="OF87" s="12">
        <f t="shared" si="396"/>
        <v>11</v>
      </c>
      <c r="OG87" s="199">
        <f t="shared" si="397"/>
        <v>0.000857902490802895</v>
      </c>
      <c r="OH87" s="192"/>
      <c r="OI87" s="192"/>
      <c r="OK87" s="8" t="str">
        <f t="shared" si="260"/>
        <v>2026//2/24</v>
      </c>
      <c r="OL87" s="200">
        <v>11157.65</v>
      </c>
      <c r="OM87" s="12">
        <f t="shared" si="398"/>
        <v>11137.65</v>
      </c>
      <c r="ON87" s="12">
        <f t="shared" si="399"/>
        <v>20</v>
      </c>
      <c r="OO87" s="199">
        <f t="shared" si="400"/>
        <v>0.00179571094440928</v>
      </c>
      <c r="OP87" s="192"/>
      <c r="OQ87" s="192"/>
      <c r="OT87" s="234" t="str">
        <f t="shared" si="211"/>
        <v>2026//2/24</v>
      </c>
      <c r="OU87" s="206">
        <v>140712.4066</v>
      </c>
      <c r="OV87" s="8">
        <f t="shared" si="401"/>
        <v>140592.4066</v>
      </c>
      <c r="OW87" s="191">
        <f t="shared" si="402"/>
        <v>120</v>
      </c>
      <c r="OX87" s="192">
        <f t="shared" si="403"/>
        <v>0.000853531160764695</v>
      </c>
    </row>
    <row r="88" s="9" customFormat="1" ht="17" customHeight="1" spans="1:414">
      <c r="A88" s="212"/>
      <c r="B88" s="212"/>
      <c r="C88" s="284" t="s">
        <v>516</v>
      </c>
      <c r="D88" s="214">
        <v>4612368.77</v>
      </c>
      <c r="E88" s="214">
        <f t="shared" si="261"/>
        <v>4694088.77</v>
      </c>
      <c r="F88" s="214">
        <f t="shared" si="262"/>
        <v>-81720</v>
      </c>
      <c r="G88" s="215">
        <f t="shared" si="263"/>
        <v>-0.0174091296530807</v>
      </c>
      <c r="H88" s="216">
        <f>(D88-D93)/D93</f>
        <v>-0.0281788737850608</v>
      </c>
      <c r="I88" s="215"/>
      <c r="J88" s="215"/>
      <c r="K88" s="214" t="str">
        <f t="shared" si="212"/>
        <v>2026//2/13</v>
      </c>
      <c r="L88" s="214">
        <v>3220174.4</v>
      </c>
      <c r="M88" s="214">
        <f t="shared" si="264"/>
        <v>3237364.4</v>
      </c>
      <c r="N88" s="214">
        <f t="shared" si="265"/>
        <v>-17190</v>
      </c>
      <c r="O88" s="215">
        <f t="shared" si="266"/>
        <v>-0.00530987490935528</v>
      </c>
      <c r="P88" s="216">
        <f>(L88-L93)/L93</f>
        <v>-0.011274544240673</v>
      </c>
      <c r="Q88" s="215"/>
      <c r="R88" s="214"/>
      <c r="S88" s="214" t="str">
        <f t="shared" si="213"/>
        <v>2026//2/13</v>
      </c>
      <c r="T88" s="214">
        <v>2389566.68</v>
      </c>
      <c r="U88" s="214">
        <f t="shared" si="267"/>
        <v>2438706.68</v>
      </c>
      <c r="V88" s="214">
        <f t="shared" si="268"/>
        <v>-49140</v>
      </c>
      <c r="W88" s="215">
        <f t="shared" si="269"/>
        <v>-0.0201500247664061</v>
      </c>
      <c r="X88" s="216">
        <f>(T88-T93)/T93</f>
        <v>-0.0450315314235925</v>
      </c>
      <c r="Y88" s="215"/>
      <c r="Z88" s="214"/>
      <c r="AA88" s="214" t="str">
        <f t="shared" si="214"/>
        <v>2026//2/13</v>
      </c>
      <c r="AB88" s="214">
        <v>1089896.86</v>
      </c>
      <c r="AC88" s="214">
        <f t="shared" si="270"/>
        <v>1157176.86</v>
      </c>
      <c r="AD88" s="214">
        <f t="shared" si="271"/>
        <v>-67280</v>
      </c>
      <c r="AE88" s="215">
        <f t="shared" si="272"/>
        <v>-0.0581415013777583</v>
      </c>
      <c r="AF88" s="216">
        <f>(AB88-AB93)/AB93</f>
        <v>-0.0339993501125267</v>
      </c>
      <c r="AG88" s="215"/>
      <c r="AH88" s="214"/>
      <c r="AI88" s="214" t="str">
        <f t="shared" si="215"/>
        <v>2026//2/13</v>
      </c>
      <c r="AJ88" s="214">
        <v>1015121.76</v>
      </c>
      <c r="AK88" s="214">
        <f t="shared" si="273"/>
        <v>1083721.76</v>
      </c>
      <c r="AL88" s="214">
        <f t="shared" si="274"/>
        <v>-68600</v>
      </c>
      <c r="AM88" s="215">
        <f t="shared" si="275"/>
        <v>-0.0633003807176484</v>
      </c>
      <c r="AN88" s="216">
        <f>(AJ88-AJ93)/AJ93</f>
        <v>0.00994904338753944</v>
      </c>
      <c r="AO88" s="216"/>
      <c r="AP88" s="214"/>
      <c r="AQ88" s="214" t="str">
        <f t="shared" si="216"/>
        <v>2026//2/13</v>
      </c>
      <c r="AR88" s="285">
        <v>1915345.49</v>
      </c>
      <c r="AS88" s="214">
        <f t="shared" si="276"/>
        <v>1915845.49</v>
      </c>
      <c r="AT88" s="214">
        <f t="shared" si="277"/>
        <v>-500</v>
      </c>
      <c r="AU88" s="215">
        <f t="shared" si="278"/>
        <v>-0.000260981380079873</v>
      </c>
      <c r="AV88" s="216">
        <f>(AR88-AR93)/AR93</f>
        <v>-0.0158767227252509</v>
      </c>
      <c r="AW88" s="216"/>
      <c r="AX88" s="217"/>
      <c r="AY88" s="232">
        <v>4.869</v>
      </c>
      <c r="AZ88" s="231" t="str">
        <f t="shared" si="217"/>
        <v>2026//2/13</v>
      </c>
      <c r="BA88" s="232">
        <v>2022412</v>
      </c>
      <c r="BB88" s="232">
        <f t="shared" si="279"/>
        <v>2045002</v>
      </c>
      <c r="BC88" s="232">
        <v>-22590</v>
      </c>
      <c r="BD88" s="314">
        <v>-0.011</v>
      </c>
      <c r="BE88" s="216">
        <f>(BA88-BA93)/BA93</f>
        <v>-0.0183047411755226</v>
      </c>
      <c r="BF88" s="216"/>
      <c r="BG88" s="219"/>
      <c r="BH88" s="221" t="str">
        <f t="shared" si="218"/>
        <v>2026//2/13</v>
      </c>
      <c r="BI88" s="273">
        <v>988426.55</v>
      </c>
      <c r="BJ88" s="221">
        <f t="shared" si="280"/>
        <v>946626.55</v>
      </c>
      <c r="BK88" s="221">
        <f t="shared" si="281"/>
        <v>41800</v>
      </c>
      <c r="BL88" s="222">
        <f t="shared" si="282"/>
        <v>0.0441568007996395</v>
      </c>
      <c r="BM88" s="223">
        <f>(BI88-BI93)/BI93</f>
        <v>0.000607394081481207</v>
      </c>
      <c r="BN88" s="224"/>
      <c r="BO88" s="315"/>
      <c r="BP88" s="221" t="str">
        <f t="shared" si="219"/>
        <v>2026//2/13</v>
      </c>
      <c r="BQ88" s="225">
        <v>1446262.39</v>
      </c>
      <c r="BR88" s="13">
        <f t="shared" si="283"/>
        <v>1461662.39</v>
      </c>
      <c r="BS88" s="13">
        <f t="shared" si="284"/>
        <v>-15400</v>
      </c>
      <c r="BT88" s="226">
        <f t="shared" si="285"/>
        <v>-0.010535948728899</v>
      </c>
      <c r="BU88" s="224">
        <f>(BQ88-BQ93)/BQ93</f>
        <v>-0.0405343800570744</v>
      </c>
      <c r="BV88" s="224"/>
      <c r="BW88" s="315"/>
      <c r="BX88" s="221" t="str">
        <f t="shared" si="220"/>
        <v>2026//2/13</v>
      </c>
      <c r="BY88" s="274">
        <v>3917660.7</v>
      </c>
      <c r="BZ88" s="13">
        <f t="shared" si="286"/>
        <v>3909010.7</v>
      </c>
      <c r="CA88" s="13">
        <f t="shared" si="287"/>
        <v>8650</v>
      </c>
      <c r="CB88" s="226">
        <f t="shared" si="288"/>
        <v>0.00221283610198355</v>
      </c>
      <c r="CC88" s="224">
        <f>(BY88-BY93)/BY93</f>
        <v>0.0290377687205155</v>
      </c>
      <c r="CD88" s="228"/>
      <c r="CE88" s="315"/>
      <c r="CF88" s="221" t="str">
        <f t="shared" si="221"/>
        <v>2026//2/13</v>
      </c>
      <c r="CG88" s="227">
        <v>1666003.9</v>
      </c>
      <c r="CH88" s="13">
        <f t="shared" si="289"/>
        <v>1649353.9</v>
      </c>
      <c r="CI88" s="13">
        <f t="shared" si="290"/>
        <v>16650</v>
      </c>
      <c r="CJ88" s="226">
        <f t="shared" si="291"/>
        <v>0.0100948619941421</v>
      </c>
      <c r="CK88" s="224">
        <f>(CG88-CG93)/CG93</f>
        <v>0.0174977443789031</v>
      </c>
      <c r="CL88" s="228"/>
      <c r="CM88" s="315"/>
      <c r="CN88" s="221" t="str">
        <f t="shared" si="222"/>
        <v>2026//2/13</v>
      </c>
      <c r="CO88" s="227">
        <v>748746.48</v>
      </c>
      <c r="CP88" s="13">
        <f t="shared" si="292"/>
        <v>753746.48</v>
      </c>
      <c r="CQ88" s="13">
        <f t="shared" si="293"/>
        <v>-5000</v>
      </c>
      <c r="CR88" s="226">
        <f t="shared" si="294"/>
        <v>-0.00663353014928839</v>
      </c>
      <c r="CS88" s="228">
        <f>(CO88-CO93)/CO93</f>
        <v>-0.0563365029989168</v>
      </c>
      <c r="CT88" s="228"/>
      <c r="CU88" s="315"/>
      <c r="CV88" s="221" t="str">
        <f t="shared" si="223"/>
        <v>2026//2/13</v>
      </c>
      <c r="CW88" s="227">
        <v>593440.4</v>
      </c>
      <c r="CX88" s="13">
        <f t="shared" si="295"/>
        <v>596840.4</v>
      </c>
      <c r="CY88" s="13">
        <f t="shared" si="296"/>
        <v>-3400</v>
      </c>
      <c r="CZ88" s="226">
        <f t="shared" si="297"/>
        <v>-0.00569666530616895</v>
      </c>
      <c r="DA88" s="224">
        <f>(CW88-CW93)/CW93</f>
        <v>-0.0240115623896044</v>
      </c>
      <c r="DB88" s="224"/>
      <c r="DC88" s="276"/>
      <c r="DD88" s="221" t="str">
        <f t="shared" si="224"/>
        <v>2026//2/13</v>
      </c>
      <c r="DE88" s="274">
        <v>2380317.98</v>
      </c>
      <c r="DF88" s="13">
        <f t="shared" si="298"/>
        <v>2403717.98</v>
      </c>
      <c r="DG88" s="13">
        <f t="shared" si="299"/>
        <v>-23400</v>
      </c>
      <c r="DH88" s="226">
        <f t="shared" si="300"/>
        <v>-0.00973491906899993</v>
      </c>
      <c r="DI88" s="224">
        <f>(DE88-DE93)/DE93</f>
        <v>0.0212809959959205</v>
      </c>
      <c r="DJ88" s="224"/>
      <c r="DK88" s="315"/>
      <c r="DL88" s="221" t="str">
        <f t="shared" si="225"/>
        <v>2026//2/13</v>
      </c>
      <c r="DM88" s="227">
        <v>1349500.36</v>
      </c>
      <c r="DN88" s="13">
        <f t="shared" si="301"/>
        <v>1366100.36</v>
      </c>
      <c r="DO88" s="13">
        <f t="shared" si="302"/>
        <v>-16600</v>
      </c>
      <c r="DP88" s="226">
        <f t="shared" si="303"/>
        <v>-0.0121513766382435</v>
      </c>
      <c r="DQ88" s="224">
        <f>(DM88-DM93)/DM93</f>
        <v>-0.0361402664020456</v>
      </c>
      <c r="DR88" s="224"/>
      <c r="DS88" s="315"/>
      <c r="DT88" s="221" t="str">
        <f t="shared" si="226"/>
        <v>2026//2/13</v>
      </c>
      <c r="DU88" s="227">
        <v>1804889.48</v>
      </c>
      <c r="DV88" s="13">
        <f t="shared" si="304"/>
        <v>1817489.48</v>
      </c>
      <c r="DW88" s="13">
        <f t="shared" si="305"/>
        <v>-12600</v>
      </c>
      <c r="DX88" s="226">
        <f t="shared" si="306"/>
        <v>-0.00693263985219876</v>
      </c>
      <c r="DY88" s="224">
        <f>(DU88-DU93)/DU93</f>
        <v>-0.0317061875263373</v>
      </c>
      <c r="DZ88" s="224"/>
      <c r="EA88" s="315"/>
      <c r="EB88" s="221" t="str">
        <f t="shared" si="227"/>
        <v>2026//2/13</v>
      </c>
      <c r="EC88" s="227">
        <v>5046116.82</v>
      </c>
      <c r="ED88" s="13">
        <f t="shared" si="307"/>
        <v>5090666.82</v>
      </c>
      <c r="EE88" s="13">
        <f t="shared" si="308"/>
        <v>-44550</v>
      </c>
      <c r="EF88" s="226">
        <f t="shared" si="309"/>
        <v>-0.00875130932257711</v>
      </c>
      <c r="EG88" s="224">
        <f>(EC88-EC93)/EC93</f>
        <v>-0.0366819802432286</v>
      </c>
      <c r="EH88" s="224"/>
      <c r="EI88" s="315"/>
      <c r="EJ88" s="221" t="str">
        <f t="shared" si="228"/>
        <v>2026//2/13</v>
      </c>
      <c r="EK88" s="274">
        <v>1629922.96</v>
      </c>
      <c r="EL88" s="13">
        <f t="shared" si="310"/>
        <v>1621122.96</v>
      </c>
      <c r="EM88" s="13">
        <f t="shared" si="311"/>
        <v>8800</v>
      </c>
      <c r="EN88" s="226">
        <f t="shared" si="312"/>
        <v>0.0054283359233898</v>
      </c>
      <c r="EO88" s="224">
        <f>(EK88-EK93)/EK93</f>
        <v>0.0039420446508499</v>
      </c>
      <c r="EP88" s="224"/>
      <c r="EQ88" s="315"/>
      <c r="ER88" s="221" t="str">
        <f t="shared" si="229"/>
        <v>2026//2/13</v>
      </c>
      <c r="ES88" s="9">
        <v>545447.02</v>
      </c>
      <c r="ET88" s="13">
        <f t="shared" si="313"/>
        <v>542147.02</v>
      </c>
      <c r="EU88" s="13">
        <f t="shared" si="314"/>
        <v>3300</v>
      </c>
      <c r="EV88" s="226">
        <f t="shared" si="315"/>
        <v>0.006086909783254</v>
      </c>
      <c r="EW88" s="224">
        <f>(ES88-ES93)/ES93</f>
        <v>0.0116851244026166</v>
      </c>
      <c r="EX88" s="224"/>
      <c r="EY88" s="315"/>
      <c r="EZ88" s="221" t="str">
        <f t="shared" si="230"/>
        <v>2026//2/13</v>
      </c>
      <c r="FA88" s="227">
        <v>692008</v>
      </c>
      <c r="FB88" s="13">
        <f t="shared" si="316"/>
        <v>677208</v>
      </c>
      <c r="FC88" s="13">
        <f t="shared" si="317"/>
        <v>14800</v>
      </c>
      <c r="FD88" s="226">
        <f t="shared" si="318"/>
        <v>0.0218544376321603</v>
      </c>
      <c r="FE88" s="224">
        <f>(FA88-FA93)/FA93</f>
        <v>0.0451587958459949</v>
      </c>
      <c r="FF88" s="224"/>
      <c r="FH88" s="221" t="str">
        <f t="shared" si="231"/>
        <v>2026//2/13</v>
      </c>
      <c r="FI88" s="225">
        <v>1039595.33</v>
      </c>
      <c r="FJ88" s="13">
        <f t="shared" si="319"/>
        <v>1041295.33</v>
      </c>
      <c r="FK88" s="13">
        <f t="shared" si="320"/>
        <v>-1700</v>
      </c>
      <c r="FL88" s="226">
        <f t="shared" si="321"/>
        <v>-0.00163258198805136</v>
      </c>
      <c r="FM88" s="228">
        <f>(FI88-FI93)/FI93</f>
        <v>0.0274759125444866</v>
      </c>
      <c r="FN88" s="228"/>
      <c r="FO88" s="315"/>
      <c r="FP88" s="221" t="str">
        <f t="shared" si="232"/>
        <v>2026//2/13</v>
      </c>
      <c r="FQ88" s="227">
        <v>2470618.73</v>
      </c>
      <c r="FR88" s="13">
        <f t="shared" si="322"/>
        <v>2433868.73</v>
      </c>
      <c r="FS88" s="13">
        <f t="shared" si="323"/>
        <v>36750</v>
      </c>
      <c r="FT88" s="226">
        <f t="shared" si="324"/>
        <v>0.0150994174611874</v>
      </c>
      <c r="FU88" s="224">
        <f>(FQ88-FQ93)/FQ93</f>
        <v>0.0569181125211236</v>
      </c>
      <c r="FV88" s="224"/>
      <c r="FW88" s="315"/>
      <c r="FX88" s="221" t="str">
        <f t="shared" si="233"/>
        <v>2026//2/13</v>
      </c>
      <c r="FY88" s="227">
        <v>7825682.05</v>
      </c>
      <c r="FZ88" s="13">
        <f t="shared" si="325"/>
        <v>7829482.05</v>
      </c>
      <c r="GA88" s="13">
        <f t="shared" si="326"/>
        <v>-3800</v>
      </c>
      <c r="GB88" s="226">
        <f t="shared" si="327"/>
        <v>-0.00048534500439911</v>
      </c>
      <c r="GC88" s="224">
        <f>(FY88-FY93)/FY93</f>
        <v>0.00679284719108789</v>
      </c>
      <c r="GD88" s="224"/>
      <c r="GE88" s="315"/>
      <c r="GF88" s="221" t="str">
        <f t="shared" si="234"/>
        <v>2026//2/13</v>
      </c>
      <c r="GG88" s="227">
        <v>4641969.49</v>
      </c>
      <c r="GH88" s="13">
        <f t="shared" si="328"/>
        <v>4656269.49</v>
      </c>
      <c r="GI88" s="13">
        <f t="shared" si="329"/>
        <v>-14300</v>
      </c>
      <c r="GJ88" s="226">
        <f t="shared" si="330"/>
        <v>-0.00307112808455595</v>
      </c>
      <c r="GK88" s="224">
        <f>(GG88-GG93)/GG93</f>
        <v>-0.0218721116182994</v>
      </c>
      <c r="GL88" s="224"/>
      <c r="GM88" s="315"/>
      <c r="GN88" s="221" t="str">
        <f t="shared" si="235"/>
        <v>2026//2/13</v>
      </c>
      <c r="GO88" s="274">
        <v>1816618.12</v>
      </c>
      <c r="GP88" s="13">
        <f t="shared" si="331"/>
        <v>1830898.12</v>
      </c>
      <c r="GQ88" s="13">
        <f t="shared" si="332"/>
        <v>-14280</v>
      </c>
      <c r="GR88" s="226">
        <f t="shared" si="333"/>
        <v>-0.00779945090554793</v>
      </c>
      <c r="GS88" s="224">
        <f>(GO88-GO93)/GO93</f>
        <v>-0.0185419488794147</v>
      </c>
      <c r="GT88" s="224"/>
      <c r="GU88" s="315"/>
      <c r="GV88" s="221" t="str">
        <f t="shared" si="236"/>
        <v>2026//2/13</v>
      </c>
      <c r="GW88" s="227">
        <v>1037549.4</v>
      </c>
      <c r="GX88" s="13">
        <f t="shared" si="334"/>
        <v>1026749.4</v>
      </c>
      <c r="GY88" s="13">
        <f t="shared" si="335"/>
        <v>10800</v>
      </c>
      <c r="GZ88" s="226">
        <f t="shared" si="336"/>
        <v>0.010518632881597</v>
      </c>
      <c r="HA88" s="224">
        <f>(GW88-GW93)/GW93</f>
        <v>0.039264810496205</v>
      </c>
      <c r="HB88" s="224"/>
      <c r="HC88" s="315"/>
      <c r="HD88" s="221" t="str">
        <f t="shared" si="237"/>
        <v>2026//2/13</v>
      </c>
      <c r="HE88" s="274">
        <v>1177064.67</v>
      </c>
      <c r="HF88" s="13">
        <f t="shared" si="337"/>
        <v>1184464.67</v>
      </c>
      <c r="HG88" s="13">
        <f t="shared" si="338"/>
        <v>-7400</v>
      </c>
      <c r="HH88" s="226">
        <f t="shared" si="339"/>
        <v>-0.00624754810120255</v>
      </c>
      <c r="HI88" s="228">
        <f>(HE88-HE93)/HE93</f>
        <v>-0.0580955849540021</v>
      </c>
      <c r="HJ88" s="224"/>
      <c r="HK88" s="315"/>
      <c r="HL88" s="221" t="str">
        <f t="shared" si="238"/>
        <v>2026//2/13</v>
      </c>
      <c r="HM88" s="227">
        <v>142754.25</v>
      </c>
      <c r="HN88" s="13">
        <f t="shared" si="340"/>
        <v>143254.25</v>
      </c>
      <c r="HO88" s="13">
        <f t="shared" si="341"/>
        <v>-500</v>
      </c>
      <c r="HP88" s="226">
        <f t="shared" si="342"/>
        <v>-0.00349029784456657</v>
      </c>
      <c r="HQ88" s="224">
        <f>(HM88-HM93)/HM93</f>
        <v>-0.0178873338756865</v>
      </c>
      <c r="HR88" s="224"/>
      <c r="HS88" s="315"/>
      <c r="HT88" s="221" t="str">
        <f t="shared" si="239"/>
        <v>2026//2/13</v>
      </c>
      <c r="HU88" s="274">
        <v>307868.82</v>
      </c>
      <c r="HV88" s="13">
        <f t="shared" si="343"/>
        <v>310368.82</v>
      </c>
      <c r="HW88" s="13">
        <f t="shared" si="344"/>
        <v>-2500</v>
      </c>
      <c r="HX88" s="226">
        <f t="shared" si="345"/>
        <v>-0.0080549328376478</v>
      </c>
      <c r="HY88" s="224">
        <f>(HU88-HU93)/HU93</f>
        <v>0.0430262247889191</v>
      </c>
      <c r="HZ88" s="224"/>
      <c r="IA88" s="315"/>
      <c r="IB88" s="221" t="str">
        <f t="shared" si="240"/>
        <v>2026//2/13</v>
      </c>
      <c r="IC88" s="227">
        <v>481184.79</v>
      </c>
      <c r="ID88" s="13">
        <f t="shared" si="346"/>
        <v>482634.79</v>
      </c>
      <c r="IE88" s="13">
        <f t="shared" si="347"/>
        <v>-1450</v>
      </c>
      <c r="IF88" s="226">
        <f t="shared" si="348"/>
        <v>-0.00300434206162386</v>
      </c>
      <c r="IG88" s="228">
        <f>(IC88-IC93)/IC93</f>
        <v>0.00864671491177238</v>
      </c>
      <c r="IH88" s="224"/>
      <c r="II88" s="315"/>
      <c r="IJ88" s="221" t="str">
        <f t="shared" si="241"/>
        <v>2026//2/13</v>
      </c>
      <c r="IK88" s="274">
        <v>387836.29</v>
      </c>
      <c r="IL88" s="13">
        <f t="shared" si="349"/>
        <v>389356.29</v>
      </c>
      <c r="IM88" s="13">
        <f t="shared" si="350"/>
        <v>-1520</v>
      </c>
      <c r="IN88" s="226">
        <f t="shared" si="351"/>
        <v>-0.00390387940053569</v>
      </c>
      <c r="IO88" s="224">
        <f>(IK88-IK93)/IK93</f>
        <v>-0.0245475127547091</v>
      </c>
      <c r="IP88" s="224"/>
      <c r="IQ88" s="315"/>
      <c r="IR88" s="221" t="str">
        <f t="shared" si="242"/>
        <v>2026//2/13</v>
      </c>
      <c r="IS88" s="227">
        <v>156489</v>
      </c>
      <c r="IT88" s="13">
        <f t="shared" si="352"/>
        <v>154689</v>
      </c>
      <c r="IU88" s="13">
        <f t="shared" si="353"/>
        <v>1800</v>
      </c>
      <c r="IV88" s="226">
        <f t="shared" si="354"/>
        <v>0.0116362507999922</v>
      </c>
      <c r="IW88" s="224">
        <f>(IS88-IS93)/IS93</f>
        <v>-0.0303614248802583</v>
      </c>
      <c r="IX88" s="224"/>
      <c r="IY88" s="315"/>
      <c r="IZ88" s="221" t="str">
        <f t="shared" si="243"/>
        <v>2026//2/13</v>
      </c>
      <c r="JA88" s="227">
        <v>4808229.15</v>
      </c>
      <c r="JB88" s="13">
        <f t="shared" si="355"/>
        <v>4798229.15</v>
      </c>
      <c r="JC88" s="13">
        <f t="shared" si="356"/>
        <v>10000</v>
      </c>
      <c r="JD88" s="226">
        <f t="shared" si="357"/>
        <v>0.00208410221508491</v>
      </c>
      <c r="JE88" s="224">
        <f>(JA88-JA93)/JA93</f>
        <v>0.00365288862134901</v>
      </c>
      <c r="JF88" s="224"/>
      <c r="JG88" s="315"/>
      <c r="JH88" s="221" t="str">
        <f t="shared" si="244"/>
        <v>2026//2/13</v>
      </c>
      <c r="JI88" s="227">
        <v>1535787.99</v>
      </c>
      <c r="JJ88" s="13">
        <f t="shared" si="358"/>
        <v>1537047.99</v>
      </c>
      <c r="JK88" s="13">
        <f t="shared" si="359"/>
        <v>-1260</v>
      </c>
      <c r="JL88" s="226">
        <f t="shared" si="360"/>
        <v>-0.000819753194563561</v>
      </c>
      <c r="JM88" s="224">
        <f>(JI88-JI93)/JI93</f>
        <v>-0.0451739816591769</v>
      </c>
      <c r="JN88" s="224"/>
      <c r="JP88" s="221" t="str">
        <f t="shared" si="245"/>
        <v>2026//2/13</v>
      </c>
      <c r="JQ88" s="274">
        <v>1245590.41</v>
      </c>
      <c r="JR88" s="13">
        <f t="shared" si="361"/>
        <v>1260290.41</v>
      </c>
      <c r="JS88" s="13">
        <f t="shared" si="362"/>
        <v>-14700</v>
      </c>
      <c r="JT88" s="226">
        <f t="shared" si="363"/>
        <v>-0.0116639783048099</v>
      </c>
      <c r="JU88" s="224">
        <f>(JQ88-JQ93)/JQ93</f>
        <v>-0.0138549068708391</v>
      </c>
      <c r="JV88" s="228"/>
      <c r="JX88" s="221" t="str">
        <f t="shared" si="246"/>
        <v>2026//2/13</v>
      </c>
      <c r="JY88" s="227">
        <v>1312748.8</v>
      </c>
      <c r="JZ88" s="13">
        <f t="shared" si="364"/>
        <v>1312898.8</v>
      </c>
      <c r="KA88" s="13">
        <f t="shared" si="365"/>
        <v>-150</v>
      </c>
      <c r="KB88" s="226">
        <f t="shared" si="366"/>
        <v>-0.000114250999391575</v>
      </c>
      <c r="KC88" s="224">
        <f>(JY88-JY93)/JY93</f>
        <v>-0.00838464332180533</v>
      </c>
      <c r="KD88" s="228"/>
      <c r="KF88" s="221" t="str">
        <f t="shared" si="247"/>
        <v>2026//2/13</v>
      </c>
      <c r="KG88" s="274">
        <v>800155.92</v>
      </c>
      <c r="KH88" s="13">
        <f t="shared" si="367"/>
        <v>800155.92</v>
      </c>
      <c r="KI88" s="13">
        <f t="shared" si="368"/>
        <v>0</v>
      </c>
      <c r="KJ88" s="226">
        <f t="shared" si="369"/>
        <v>0</v>
      </c>
      <c r="KK88" s="228">
        <f>(KG88-KG93)/KG93</f>
        <v>-0.00174660303176352</v>
      </c>
      <c r="KL88" s="228"/>
      <c r="KM88" s="315"/>
      <c r="KN88" s="221" t="str">
        <f t="shared" si="248"/>
        <v>2026//2/13</v>
      </c>
      <c r="KO88" s="227">
        <v>7408375.95</v>
      </c>
      <c r="KP88" s="13">
        <f t="shared" si="370"/>
        <v>7408275.95</v>
      </c>
      <c r="KQ88" s="13">
        <f t="shared" si="371"/>
        <v>100</v>
      </c>
      <c r="KR88" s="226">
        <f t="shared" si="372"/>
        <v>1.34984172667056e-5</v>
      </c>
      <c r="KS88" s="224">
        <f>(KO88-KO93)/KO93</f>
        <v>0.00969024478355622</v>
      </c>
      <c r="KT88" s="224"/>
      <c r="KU88" s="315"/>
      <c r="KV88" s="221" t="str">
        <f t="shared" si="249"/>
        <v>2026//2/13</v>
      </c>
      <c r="KW88" s="274">
        <v>1013272.97</v>
      </c>
      <c r="KX88" s="13">
        <f t="shared" si="373"/>
        <v>1013272.97</v>
      </c>
      <c r="KY88" s="13">
        <f t="shared" si="374"/>
        <v>0</v>
      </c>
      <c r="KZ88" s="226">
        <f t="shared" si="375"/>
        <v>0</v>
      </c>
      <c r="LA88" s="228">
        <f>(KW88-KW93)/KW93</f>
        <v>-0.0108358970073176</v>
      </c>
      <c r="LB88" s="224"/>
      <c r="LC88" s="315"/>
      <c r="LD88" s="221" t="str">
        <f t="shared" si="250"/>
        <v>2026//2/13</v>
      </c>
      <c r="LE88" s="227">
        <v>471807.7</v>
      </c>
      <c r="LF88" s="13">
        <f t="shared" si="376"/>
        <v>471507.7</v>
      </c>
      <c r="LG88" s="13">
        <f t="shared" si="377"/>
        <v>300</v>
      </c>
      <c r="LH88" s="226">
        <f t="shared" si="378"/>
        <v>0.000636256841616797</v>
      </c>
      <c r="LI88" s="224">
        <f>(LE88-LE93)/LE93</f>
        <v>0.0361254459955327</v>
      </c>
      <c r="LJ88" s="224"/>
      <c r="LK88" s="315"/>
      <c r="LL88" s="221" t="str">
        <f t="shared" si="251"/>
        <v>2026//2/13</v>
      </c>
      <c r="LM88" s="225">
        <v>3442255.02</v>
      </c>
      <c r="LN88" s="13">
        <f t="shared" si="379"/>
        <v>3458455.02</v>
      </c>
      <c r="LO88" s="13">
        <f t="shared" si="380"/>
        <v>-16200</v>
      </c>
      <c r="LP88" s="226">
        <f t="shared" si="381"/>
        <v>-0.00468417252973265</v>
      </c>
      <c r="LQ88" s="224">
        <f>(LM88-LM93)/LM93</f>
        <v>-0.0101451171007905</v>
      </c>
      <c r="LR88" s="224"/>
      <c r="LS88" s="315"/>
      <c r="LT88" s="221" t="str">
        <f t="shared" si="252"/>
        <v>2026//2/13</v>
      </c>
      <c r="LU88" s="274">
        <v>2879262.9</v>
      </c>
      <c r="LV88" s="13">
        <f t="shared" si="382"/>
        <v>2880462.9</v>
      </c>
      <c r="LW88" s="13">
        <f t="shared" si="383"/>
        <v>-1200</v>
      </c>
      <c r="LX88" s="226">
        <f t="shared" si="384"/>
        <v>-0.000416599706942936</v>
      </c>
      <c r="LY88" s="224">
        <f>(LU88-LU93)/LU93</f>
        <v>0</v>
      </c>
      <c r="LZ88" s="224"/>
      <c r="MA88" s="315"/>
      <c r="MB88" s="221" t="str">
        <f t="shared" si="253"/>
        <v>2026//2/13</v>
      </c>
      <c r="MC88" s="227">
        <v>794367.69</v>
      </c>
      <c r="MD88" s="13">
        <f t="shared" si="385"/>
        <v>805517.69</v>
      </c>
      <c r="ME88" s="13">
        <f t="shared" si="386"/>
        <v>-11150</v>
      </c>
      <c r="MF88" s="226">
        <f t="shared" si="387"/>
        <v>-0.0138420299621229</v>
      </c>
      <c r="MG88" s="224">
        <f>(MC88-MC93)/MC93</f>
        <v>-0.0409866895393723</v>
      </c>
      <c r="MH88" s="224"/>
      <c r="MI88" s="224"/>
      <c r="MJ88" s="224"/>
      <c r="MK88" s="221" t="str">
        <f t="shared" si="254"/>
        <v>2026//2/13</v>
      </c>
      <c r="ML88" s="275">
        <v>258705.53</v>
      </c>
      <c r="MM88" s="13">
        <f t="shared" si="388"/>
        <v>258345.53</v>
      </c>
      <c r="MN88" s="13">
        <f t="shared" si="389"/>
        <v>360</v>
      </c>
      <c r="MO88" s="226">
        <f t="shared" si="390"/>
        <v>0.00139348259673779</v>
      </c>
      <c r="MP88" s="224">
        <f>(ML88-ML93)/ML93</f>
        <v>0.0218021938299554</v>
      </c>
      <c r="MQ88" s="222"/>
      <c r="MR88" s="222"/>
      <c r="MS88" s="231">
        <v>1.438</v>
      </c>
      <c r="MT88" s="316" t="str">
        <f t="shared" si="255"/>
        <v>2026//2/13</v>
      </c>
      <c r="MU88" s="231">
        <v>185915</v>
      </c>
      <c r="MV88" s="231">
        <f t="shared" si="391"/>
        <v>180315</v>
      </c>
      <c r="MW88" s="231">
        <v>5600</v>
      </c>
      <c r="MX88" s="317">
        <v>0.0311</v>
      </c>
      <c r="MY88" s="224">
        <f>(MU88-MU93)/MU93</f>
        <v>0.132143835824986</v>
      </c>
      <c r="MZ88" s="224"/>
      <c r="NA88" s="224"/>
      <c r="NB88" s="231">
        <v>1.457</v>
      </c>
      <c r="NC88" s="231" t="str">
        <f t="shared" si="256"/>
        <v>2026//2/13</v>
      </c>
      <c r="ND88" s="231">
        <v>42291</v>
      </c>
      <c r="NE88" s="231">
        <f t="shared" si="392"/>
        <v>41091</v>
      </c>
      <c r="NF88" s="231">
        <v>1200</v>
      </c>
      <c r="NG88" s="317">
        <v>0.0292</v>
      </c>
      <c r="NH88" s="224">
        <f>(ND88-ND93)/ND93</f>
        <v>0.0242183526676515</v>
      </c>
      <c r="NI88" s="224"/>
      <c r="NJ88" s="224"/>
      <c r="NK88" s="224"/>
      <c r="NL88" s="232">
        <v>1.1651</v>
      </c>
      <c r="NM88" s="231" t="str">
        <f t="shared" si="257"/>
        <v>2026//2/13</v>
      </c>
      <c r="NN88" s="232">
        <v>2561611</v>
      </c>
      <c r="NO88" s="9">
        <f t="shared" si="393"/>
        <v>2549811</v>
      </c>
      <c r="NP88" s="232">
        <v>11800</v>
      </c>
      <c r="NQ88" s="314">
        <v>0.0046</v>
      </c>
      <c r="NR88" s="289">
        <f>(NN88-NN93)/NN93</f>
        <v>0.0121700119052746</v>
      </c>
      <c r="NS88" s="232">
        <v>1.0513</v>
      </c>
      <c r="NT88" s="290"/>
      <c r="NU88" s="231" t="str">
        <f t="shared" si="258"/>
        <v>2026//2/13</v>
      </c>
      <c r="NV88" s="232">
        <v>241876</v>
      </c>
      <c r="NW88" s="232">
        <f t="shared" si="394"/>
        <v>242576</v>
      </c>
      <c r="NX88" s="232">
        <v>-700</v>
      </c>
      <c r="NY88" s="314">
        <v>-0.0029</v>
      </c>
      <c r="NZ88" s="222">
        <f>(NV88-NV93)/NV93</f>
        <v>-0.0204514712909941</v>
      </c>
      <c r="OA88" s="315"/>
      <c r="OB88" s="315"/>
      <c r="OC88" s="221" t="str">
        <f t="shared" si="259"/>
        <v>2026//2/13</v>
      </c>
      <c r="OD88" s="227">
        <v>12821.97</v>
      </c>
      <c r="OE88" s="13">
        <f t="shared" si="395"/>
        <v>12949.97</v>
      </c>
      <c r="OF88" s="13">
        <f t="shared" si="396"/>
        <v>-128</v>
      </c>
      <c r="OG88" s="226">
        <f t="shared" si="397"/>
        <v>-0.00988419278191378</v>
      </c>
      <c r="OH88" s="224">
        <f>(OD88-OD93)/OD93</f>
        <v>0.0260884109036753</v>
      </c>
      <c r="OI88" s="224"/>
      <c r="OJ88" s="315"/>
      <c r="OK88" s="221" t="str">
        <f t="shared" si="260"/>
        <v>2026//2/13</v>
      </c>
      <c r="OL88" s="227">
        <v>11137.65</v>
      </c>
      <c r="OM88" s="13">
        <f t="shared" si="398"/>
        <v>11137.65</v>
      </c>
      <c r="ON88" s="13">
        <f t="shared" si="399"/>
        <v>0</v>
      </c>
      <c r="OO88" s="226">
        <f t="shared" si="400"/>
        <v>0</v>
      </c>
      <c r="OP88" s="224">
        <f>(OL88-OL93)/OL93</f>
        <v>0.023996359173091</v>
      </c>
      <c r="OQ88" s="224"/>
      <c r="OT88" s="234" t="str">
        <f t="shared" si="211"/>
        <v>2026//2/13</v>
      </c>
      <c r="OU88" s="206">
        <v>140592.4066</v>
      </c>
      <c r="OV88" s="8">
        <f t="shared" si="401"/>
        <v>140472.4066</v>
      </c>
      <c r="OW88" s="191">
        <f t="shared" si="402"/>
        <v>120</v>
      </c>
      <c r="OX88" s="192">
        <f t="shared" si="403"/>
        <v>0.000854260298548911</v>
      </c>
    </row>
    <row r="89" s="8" customFormat="1" ht="17" customHeight="1" spans="1:414">
      <c r="A89" s="15"/>
      <c r="B89" s="15"/>
      <c r="C89" s="287" t="s">
        <v>517</v>
      </c>
      <c r="D89" s="19">
        <v>4694088.77</v>
      </c>
      <c r="E89" s="19">
        <f t="shared" si="261"/>
        <v>4702548.77</v>
      </c>
      <c r="F89" s="19">
        <f t="shared" si="262"/>
        <v>-8460</v>
      </c>
      <c r="G89" s="172">
        <f t="shared" si="263"/>
        <v>-0.00179902440437635</v>
      </c>
      <c r="H89" s="18"/>
      <c r="I89" s="172"/>
      <c r="J89" s="172"/>
      <c r="K89" s="19" t="str">
        <f t="shared" si="212"/>
        <v>2026//2/12</v>
      </c>
      <c r="L89" s="19">
        <v>3237364.4</v>
      </c>
      <c r="M89" s="19">
        <f t="shared" si="264"/>
        <v>3241054.4</v>
      </c>
      <c r="N89" s="19">
        <f t="shared" si="265"/>
        <v>-3690</v>
      </c>
      <c r="O89" s="172">
        <f t="shared" si="266"/>
        <v>-0.0011385183784635</v>
      </c>
      <c r="P89" s="18"/>
      <c r="Q89" s="172"/>
      <c r="R89" s="19"/>
      <c r="S89" s="19" t="str">
        <f t="shared" si="213"/>
        <v>2026//2/12</v>
      </c>
      <c r="T89" s="19">
        <v>2438706.68</v>
      </c>
      <c r="U89" s="19">
        <f t="shared" si="267"/>
        <v>2436366.68</v>
      </c>
      <c r="V89" s="19">
        <f t="shared" si="268"/>
        <v>2340</v>
      </c>
      <c r="W89" s="172">
        <f t="shared" si="269"/>
        <v>0.000960446561352579</v>
      </c>
      <c r="X89" s="18"/>
      <c r="Y89" s="172"/>
      <c r="Z89" s="19"/>
      <c r="AA89" s="19" t="str">
        <f t="shared" si="214"/>
        <v>2026//2/12</v>
      </c>
      <c r="AB89" s="19">
        <v>1157176.86</v>
      </c>
      <c r="AC89" s="19">
        <f t="shared" si="270"/>
        <v>1143936.86</v>
      </c>
      <c r="AD89" s="19">
        <f t="shared" si="271"/>
        <v>13240</v>
      </c>
      <c r="AE89" s="172">
        <f t="shared" si="272"/>
        <v>0.0115740653728039</v>
      </c>
      <c r="AF89" s="18"/>
      <c r="AG89" s="172"/>
      <c r="AH89" s="19"/>
      <c r="AI89" s="19" t="str">
        <f t="shared" si="215"/>
        <v>2026//2/12</v>
      </c>
      <c r="AJ89" s="19">
        <v>1083721.76</v>
      </c>
      <c r="AK89" s="19">
        <f t="shared" si="273"/>
        <v>1059121.76</v>
      </c>
      <c r="AL89" s="19">
        <f t="shared" si="274"/>
        <v>24600</v>
      </c>
      <c r="AM89" s="172">
        <f t="shared" si="275"/>
        <v>0.0232267912237022</v>
      </c>
      <c r="AN89" s="18"/>
      <c r="AO89" s="18"/>
      <c r="AP89" s="19"/>
      <c r="AQ89" s="19" t="str">
        <f t="shared" si="216"/>
        <v>2026//2/12</v>
      </c>
      <c r="AR89" s="21">
        <v>1915845.49</v>
      </c>
      <c r="AS89" s="19">
        <f t="shared" si="276"/>
        <v>1946545.49</v>
      </c>
      <c r="AT89" s="19">
        <f t="shared" si="277"/>
        <v>-30700</v>
      </c>
      <c r="AU89" s="172">
        <f t="shared" si="278"/>
        <v>-0.015771529695923</v>
      </c>
      <c r="AV89" s="18"/>
      <c r="AW89" s="18"/>
      <c r="AX89" s="17"/>
      <c r="AY89" s="205">
        <v>4.9309</v>
      </c>
      <c r="AZ89" s="204" t="str">
        <f t="shared" si="217"/>
        <v>2026//2/12</v>
      </c>
      <c r="BA89" s="205">
        <v>2045002</v>
      </c>
      <c r="BB89" s="205">
        <f t="shared" si="279"/>
        <v>2048962</v>
      </c>
      <c r="BC89" s="205">
        <v>-3960</v>
      </c>
      <c r="BD89" s="292">
        <v>-0.0019</v>
      </c>
      <c r="BE89" s="18"/>
      <c r="BF89" s="18"/>
      <c r="BG89" s="74"/>
      <c r="BH89" s="195" t="str">
        <f t="shared" si="218"/>
        <v>2026//2/12</v>
      </c>
      <c r="BI89" s="256">
        <v>946626.55</v>
      </c>
      <c r="BJ89" s="195">
        <f t="shared" si="280"/>
        <v>945226.55</v>
      </c>
      <c r="BK89" s="195">
        <f t="shared" si="281"/>
        <v>1400</v>
      </c>
      <c r="BL89" s="196">
        <f t="shared" si="282"/>
        <v>0.00148112640297715</v>
      </c>
      <c r="BM89" s="197"/>
      <c r="BN89" s="192"/>
      <c r="BO89" s="318"/>
      <c r="BP89" s="195" t="str">
        <f t="shared" si="219"/>
        <v>2026//2/12</v>
      </c>
      <c r="BQ89" s="198">
        <v>1461662.39</v>
      </c>
      <c r="BR89" s="12">
        <f t="shared" si="283"/>
        <v>1487562.39</v>
      </c>
      <c r="BS89" s="12">
        <f t="shared" si="284"/>
        <v>-25900</v>
      </c>
      <c r="BT89" s="199">
        <f t="shared" si="285"/>
        <v>-0.0174110344373522</v>
      </c>
      <c r="BU89" s="192"/>
      <c r="BV89" s="192"/>
      <c r="BW89" s="318"/>
      <c r="BX89" s="195" t="str">
        <f t="shared" si="220"/>
        <v>2026//2/12</v>
      </c>
      <c r="BY89" s="257">
        <v>3909010.7</v>
      </c>
      <c r="BZ89" s="12">
        <f t="shared" si="286"/>
        <v>3916660.7</v>
      </c>
      <c r="CA89" s="12">
        <f t="shared" si="287"/>
        <v>-7650</v>
      </c>
      <c r="CB89" s="199">
        <f t="shared" si="288"/>
        <v>-0.00195319446486646</v>
      </c>
      <c r="CC89" s="192"/>
      <c r="CD89" s="201"/>
      <c r="CE89" s="318"/>
      <c r="CF89" s="195" t="str">
        <f t="shared" si="221"/>
        <v>2026//2/12</v>
      </c>
      <c r="CG89" s="200">
        <v>1649353.9</v>
      </c>
      <c r="CH89" s="12">
        <f t="shared" si="289"/>
        <v>1646053.9</v>
      </c>
      <c r="CI89" s="12">
        <f t="shared" si="290"/>
        <v>3300</v>
      </c>
      <c r="CJ89" s="199">
        <f t="shared" si="291"/>
        <v>0.00200479461820782</v>
      </c>
      <c r="CK89" s="192"/>
      <c r="CL89" s="201"/>
      <c r="CM89" s="318"/>
      <c r="CN89" s="195" t="str">
        <f t="shared" si="222"/>
        <v>2026//2/12</v>
      </c>
      <c r="CO89" s="200">
        <v>753746.48</v>
      </c>
      <c r="CP89" s="12">
        <f t="shared" si="292"/>
        <v>770246.48</v>
      </c>
      <c r="CQ89" s="12">
        <f t="shared" si="293"/>
        <v>-16500</v>
      </c>
      <c r="CR89" s="199">
        <f t="shared" si="294"/>
        <v>-0.0214217142543774</v>
      </c>
      <c r="CS89" s="201"/>
      <c r="CT89" s="201"/>
      <c r="CU89" s="318"/>
      <c r="CV89" s="195" t="str">
        <f t="shared" si="223"/>
        <v>2026//2/12</v>
      </c>
      <c r="CW89" s="200">
        <v>596840.4</v>
      </c>
      <c r="CX89" s="12">
        <f t="shared" si="295"/>
        <v>597290.4</v>
      </c>
      <c r="CY89" s="12">
        <f t="shared" si="296"/>
        <v>-450</v>
      </c>
      <c r="CZ89" s="199">
        <f t="shared" si="297"/>
        <v>-0.000753402365080704</v>
      </c>
      <c r="DA89" s="192"/>
      <c r="DB89" s="192"/>
      <c r="DC89" s="277"/>
      <c r="DD89" s="195" t="str">
        <f t="shared" si="224"/>
        <v>2026//2/12</v>
      </c>
      <c r="DE89" s="257">
        <v>2403717.98</v>
      </c>
      <c r="DF89" s="12">
        <f t="shared" si="298"/>
        <v>2377717.98</v>
      </c>
      <c r="DG89" s="12">
        <f t="shared" si="299"/>
        <v>26000</v>
      </c>
      <c r="DH89" s="199">
        <f t="shared" si="300"/>
        <v>0.0109348544355122</v>
      </c>
      <c r="DI89" s="192"/>
      <c r="DJ89" s="192"/>
      <c r="DK89" s="318"/>
      <c r="DL89" s="195" t="str">
        <f t="shared" si="225"/>
        <v>2026//2/12</v>
      </c>
      <c r="DM89" s="200">
        <v>1366100.36</v>
      </c>
      <c r="DN89" s="12">
        <f t="shared" si="301"/>
        <v>1382100.36</v>
      </c>
      <c r="DO89" s="12">
        <f t="shared" si="302"/>
        <v>-16000</v>
      </c>
      <c r="DP89" s="199">
        <f t="shared" si="303"/>
        <v>-0.0115765833387092</v>
      </c>
      <c r="DQ89" s="192"/>
      <c r="DR89" s="192"/>
      <c r="DS89" s="318"/>
      <c r="DT89" s="195" t="str">
        <f t="shared" si="226"/>
        <v>2026//2/12</v>
      </c>
      <c r="DU89" s="200">
        <v>1817489.48</v>
      </c>
      <c r="DV89" s="12">
        <f t="shared" si="304"/>
        <v>1824389.48</v>
      </c>
      <c r="DW89" s="12">
        <f t="shared" si="305"/>
        <v>-6900</v>
      </c>
      <c r="DX89" s="199">
        <f t="shared" si="306"/>
        <v>-0.00378208714511991</v>
      </c>
      <c r="DY89" s="192"/>
      <c r="DZ89" s="192"/>
      <c r="EA89" s="318"/>
      <c r="EB89" s="195" t="str">
        <f t="shared" si="227"/>
        <v>2026//2/12</v>
      </c>
      <c r="EC89" s="200">
        <v>5090666.82</v>
      </c>
      <c r="ED89" s="12">
        <f t="shared" si="307"/>
        <v>5145116.82</v>
      </c>
      <c r="EE89" s="12">
        <f t="shared" si="308"/>
        <v>-54450</v>
      </c>
      <c r="EF89" s="199">
        <f t="shared" si="309"/>
        <v>-0.0105828500896895</v>
      </c>
      <c r="EG89" s="192"/>
      <c r="EH89" s="192"/>
      <c r="EI89" s="318"/>
      <c r="EJ89" s="195" t="str">
        <f t="shared" si="228"/>
        <v>2026//2/12</v>
      </c>
      <c r="EK89" s="257">
        <v>1621122.96</v>
      </c>
      <c r="EL89" s="12">
        <f t="shared" si="310"/>
        <v>1619522.96</v>
      </c>
      <c r="EM89" s="12">
        <f t="shared" si="311"/>
        <v>1600</v>
      </c>
      <c r="EN89" s="199">
        <f t="shared" si="312"/>
        <v>0.000987945240368806</v>
      </c>
      <c r="EO89" s="192"/>
      <c r="EP89" s="192"/>
      <c r="EQ89" s="318"/>
      <c r="ER89" s="195" t="str">
        <f t="shared" si="229"/>
        <v>2026//2/12</v>
      </c>
      <c r="ES89" s="8">
        <v>542147.02</v>
      </c>
      <c r="ET89" s="12">
        <f t="shared" si="313"/>
        <v>540947.02</v>
      </c>
      <c r="EU89" s="12">
        <f t="shared" si="314"/>
        <v>1200</v>
      </c>
      <c r="EV89" s="199">
        <f t="shared" si="315"/>
        <v>0.00221833184329216</v>
      </c>
      <c r="EW89" s="192"/>
      <c r="EX89" s="192"/>
      <c r="EY89" s="318"/>
      <c r="EZ89" s="195" t="str">
        <f t="shared" si="230"/>
        <v>2026//2/12</v>
      </c>
      <c r="FA89" s="200">
        <v>677208</v>
      </c>
      <c r="FB89" s="12">
        <f t="shared" si="316"/>
        <v>678408</v>
      </c>
      <c r="FC89" s="12">
        <f t="shared" si="317"/>
        <v>-1200</v>
      </c>
      <c r="FD89" s="199">
        <f t="shared" si="318"/>
        <v>-0.00176884706548272</v>
      </c>
      <c r="FE89" s="192"/>
      <c r="FF89" s="192"/>
      <c r="FH89" s="195" t="str">
        <f t="shared" si="231"/>
        <v>2026//2/12</v>
      </c>
      <c r="FI89" s="198">
        <v>1041295.33</v>
      </c>
      <c r="FJ89" s="12">
        <f t="shared" si="319"/>
        <v>1051595.33</v>
      </c>
      <c r="FK89" s="12">
        <f t="shared" si="320"/>
        <v>-10300.0000000001</v>
      </c>
      <c r="FL89" s="199">
        <f t="shared" si="321"/>
        <v>-0.00979464220328947</v>
      </c>
      <c r="FM89" s="201"/>
      <c r="FN89" s="201"/>
      <c r="FO89" s="318"/>
      <c r="FP89" s="195" t="str">
        <f t="shared" si="232"/>
        <v>2026//2/12</v>
      </c>
      <c r="FQ89" s="200">
        <v>2433868.73</v>
      </c>
      <c r="FR89" s="12">
        <f t="shared" si="322"/>
        <v>2417968.73</v>
      </c>
      <c r="FS89" s="12">
        <f t="shared" si="323"/>
        <v>15900</v>
      </c>
      <c r="FT89" s="199">
        <f t="shared" si="324"/>
        <v>0.00657576742111136</v>
      </c>
      <c r="FU89" s="192"/>
      <c r="FV89" s="192"/>
      <c r="FW89" s="318"/>
      <c r="FX89" s="195" t="str">
        <f t="shared" si="233"/>
        <v>2026//2/12</v>
      </c>
      <c r="FY89" s="200">
        <v>7829482.05</v>
      </c>
      <c r="FZ89" s="12">
        <f t="shared" si="325"/>
        <v>7828682.05</v>
      </c>
      <c r="GA89" s="12">
        <f t="shared" si="326"/>
        <v>800</v>
      </c>
      <c r="GB89" s="199">
        <f t="shared" si="327"/>
        <v>0.000102188337052212</v>
      </c>
      <c r="GC89" s="192"/>
      <c r="GD89" s="192"/>
      <c r="GE89" s="318"/>
      <c r="GF89" s="195" t="str">
        <f t="shared" si="234"/>
        <v>2026//2/12</v>
      </c>
      <c r="GG89" s="200">
        <v>4656269.49</v>
      </c>
      <c r="GH89" s="12">
        <f t="shared" si="328"/>
        <v>4679369.49</v>
      </c>
      <c r="GI89" s="12">
        <f t="shared" si="329"/>
        <v>-23100</v>
      </c>
      <c r="GJ89" s="199">
        <f t="shared" si="330"/>
        <v>-0.00493656251111728</v>
      </c>
      <c r="GK89" s="192"/>
      <c r="GL89" s="192"/>
      <c r="GM89" s="318"/>
      <c r="GN89" s="195" t="str">
        <f t="shared" si="235"/>
        <v>2026//2/12</v>
      </c>
      <c r="GO89" s="257">
        <v>1830898.12</v>
      </c>
      <c r="GP89" s="12">
        <f t="shared" si="331"/>
        <v>1835098.12</v>
      </c>
      <c r="GQ89" s="12">
        <f t="shared" si="332"/>
        <v>-4200</v>
      </c>
      <c r="GR89" s="199">
        <f t="shared" si="333"/>
        <v>-0.00228870595758662</v>
      </c>
      <c r="GS89" s="192"/>
      <c r="GT89" s="192"/>
      <c r="GU89" s="318"/>
      <c r="GV89" s="195" t="str">
        <f t="shared" si="236"/>
        <v>2026//2/12</v>
      </c>
      <c r="GW89" s="200">
        <v>1026749.4</v>
      </c>
      <c r="GX89" s="12">
        <f t="shared" si="334"/>
        <v>1027149.4</v>
      </c>
      <c r="GY89" s="12">
        <f t="shared" si="335"/>
        <v>-400</v>
      </c>
      <c r="GZ89" s="199">
        <f t="shared" si="336"/>
        <v>-0.000389427282924957</v>
      </c>
      <c r="HA89" s="192"/>
      <c r="HB89" s="192"/>
      <c r="HC89" s="318"/>
      <c r="HD89" s="195" t="str">
        <f t="shared" si="237"/>
        <v>2026//2/12</v>
      </c>
      <c r="HE89" s="257">
        <v>1184464.67</v>
      </c>
      <c r="HF89" s="12">
        <f t="shared" si="337"/>
        <v>1206264.67</v>
      </c>
      <c r="HG89" s="12">
        <f t="shared" si="338"/>
        <v>-21800</v>
      </c>
      <c r="HH89" s="199">
        <f t="shared" si="339"/>
        <v>-0.0180723190707393</v>
      </c>
      <c r="HI89" s="201"/>
      <c r="HJ89" s="192"/>
      <c r="HK89" s="318"/>
      <c r="HL89" s="195" t="str">
        <f t="shared" si="238"/>
        <v>2026//2/12</v>
      </c>
      <c r="HM89" s="200">
        <v>143254.25</v>
      </c>
      <c r="HN89" s="12">
        <f t="shared" si="340"/>
        <v>143854.25</v>
      </c>
      <c r="HO89" s="12">
        <f t="shared" si="341"/>
        <v>-600</v>
      </c>
      <c r="HP89" s="199">
        <f t="shared" si="342"/>
        <v>-0.0041708882427874</v>
      </c>
      <c r="HQ89" s="192"/>
      <c r="HR89" s="192"/>
      <c r="HS89" s="318"/>
      <c r="HT89" s="195" t="str">
        <f t="shared" si="239"/>
        <v>2026//2/12</v>
      </c>
      <c r="HU89" s="257">
        <v>310368.82</v>
      </c>
      <c r="HV89" s="12">
        <f t="shared" si="343"/>
        <v>313168.82</v>
      </c>
      <c r="HW89" s="12">
        <f t="shared" si="344"/>
        <v>-2800</v>
      </c>
      <c r="HX89" s="199">
        <f t="shared" si="345"/>
        <v>-0.00894086454711551</v>
      </c>
      <c r="HY89" s="192"/>
      <c r="HZ89" s="192"/>
      <c r="IA89" s="318"/>
      <c r="IB89" s="195" t="str">
        <f t="shared" si="240"/>
        <v>2026//2/12</v>
      </c>
      <c r="IC89" s="200">
        <v>482634.79</v>
      </c>
      <c r="ID89" s="12">
        <f t="shared" si="346"/>
        <v>482859.79</v>
      </c>
      <c r="IE89" s="12">
        <f t="shared" si="347"/>
        <v>-225</v>
      </c>
      <c r="IF89" s="199">
        <f t="shared" si="348"/>
        <v>-0.000465973776776898</v>
      </c>
      <c r="IG89" s="201"/>
      <c r="IH89" s="192"/>
      <c r="II89" s="318"/>
      <c r="IJ89" s="195" t="str">
        <f t="shared" si="241"/>
        <v>2026//2/12</v>
      </c>
      <c r="IK89" s="257">
        <v>389356.29</v>
      </c>
      <c r="IL89" s="12">
        <f t="shared" si="349"/>
        <v>391996.29</v>
      </c>
      <c r="IM89" s="12">
        <f t="shared" si="350"/>
        <v>-2640</v>
      </c>
      <c r="IN89" s="199">
        <f t="shared" si="351"/>
        <v>-0.00673475761722133</v>
      </c>
      <c r="IO89" s="192"/>
      <c r="IP89" s="192"/>
      <c r="IQ89" s="318"/>
      <c r="IR89" s="195" t="str">
        <f t="shared" si="242"/>
        <v>2026//2/12</v>
      </c>
      <c r="IS89" s="200">
        <v>154689</v>
      </c>
      <c r="IT89" s="12">
        <f t="shared" si="352"/>
        <v>152389</v>
      </c>
      <c r="IU89" s="12">
        <f t="shared" si="353"/>
        <v>2300</v>
      </c>
      <c r="IV89" s="199">
        <f t="shared" si="354"/>
        <v>0.0150929529034248</v>
      </c>
      <c r="IW89" s="192"/>
      <c r="IX89" s="192"/>
      <c r="IY89" s="318"/>
      <c r="IZ89" s="195" t="str">
        <f t="shared" si="243"/>
        <v>2026//2/12</v>
      </c>
      <c r="JA89" s="200">
        <v>4798229.15</v>
      </c>
      <c r="JB89" s="12">
        <f t="shared" si="355"/>
        <v>4773129.15</v>
      </c>
      <c r="JC89" s="12">
        <f t="shared" si="356"/>
        <v>25100</v>
      </c>
      <c r="JD89" s="199">
        <f t="shared" si="357"/>
        <v>0.00525860482949639</v>
      </c>
      <c r="JE89" s="192"/>
      <c r="JF89" s="192"/>
      <c r="JG89" s="318"/>
      <c r="JH89" s="195" t="str">
        <f t="shared" si="244"/>
        <v>2026//2/12</v>
      </c>
      <c r="JI89" s="200">
        <v>1537047.99</v>
      </c>
      <c r="JJ89" s="12">
        <f t="shared" si="358"/>
        <v>1549347.99</v>
      </c>
      <c r="JK89" s="12">
        <f t="shared" si="359"/>
        <v>-12300</v>
      </c>
      <c r="JL89" s="199">
        <f t="shared" si="360"/>
        <v>-0.0079388233498144</v>
      </c>
      <c r="JM89" s="192"/>
      <c r="JN89" s="192"/>
      <c r="JP89" s="195" t="str">
        <f t="shared" si="245"/>
        <v>2026//2/12</v>
      </c>
      <c r="JQ89" s="257">
        <v>1260290.41</v>
      </c>
      <c r="JR89" s="12">
        <f t="shared" si="361"/>
        <v>1261890.41</v>
      </c>
      <c r="JS89" s="12">
        <f t="shared" si="362"/>
        <v>-1600</v>
      </c>
      <c r="JT89" s="199">
        <f t="shared" si="363"/>
        <v>-0.00126793894883471</v>
      </c>
      <c r="JU89" s="192"/>
      <c r="JV89" s="201"/>
      <c r="JX89" s="195" t="str">
        <f t="shared" si="246"/>
        <v>2026//2/12</v>
      </c>
      <c r="JY89" s="200">
        <v>1312898.8</v>
      </c>
      <c r="JZ89" s="12">
        <f t="shared" si="364"/>
        <v>1312898.8</v>
      </c>
      <c r="KA89" s="12">
        <f t="shared" si="365"/>
        <v>0</v>
      </c>
      <c r="KB89" s="199">
        <f t="shared" si="366"/>
        <v>0</v>
      </c>
      <c r="KC89" s="192"/>
      <c r="KD89" s="201"/>
      <c r="KF89" s="195" t="str">
        <f t="shared" si="247"/>
        <v>2026//2/12</v>
      </c>
      <c r="KG89" s="257">
        <v>800155.92</v>
      </c>
      <c r="KH89" s="12">
        <f t="shared" si="367"/>
        <v>800155.92</v>
      </c>
      <c r="KI89" s="12">
        <f t="shared" si="368"/>
        <v>0</v>
      </c>
      <c r="KJ89" s="199">
        <f t="shared" si="369"/>
        <v>0</v>
      </c>
      <c r="KK89" s="201"/>
      <c r="KL89" s="201"/>
      <c r="KM89" s="318"/>
      <c r="KN89" s="195" t="str">
        <f t="shared" si="248"/>
        <v>2026//2/12</v>
      </c>
      <c r="KO89" s="200">
        <v>7408275.95</v>
      </c>
      <c r="KP89" s="12">
        <f t="shared" si="370"/>
        <v>7326675.95</v>
      </c>
      <c r="KQ89" s="12">
        <f t="shared" si="371"/>
        <v>81600</v>
      </c>
      <c r="KR89" s="199">
        <f t="shared" si="372"/>
        <v>0.011137383522469</v>
      </c>
      <c r="KS89" s="192"/>
      <c r="KT89" s="192"/>
      <c r="KU89" s="318"/>
      <c r="KV89" s="195" t="str">
        <f t="shared" si="249"/>
        <v>2026//2/12</v>
      </c>
      <c r="KW89" s="257">
        <v>1013272.97</v>
      </c>
      <c r="KX89" s="12">
        <f t="shared" si="373"/>
        <v>1013272.97</v>
      </c>
      <c r="KY89" s="12">
        <f t="shared" si="374"/>
        <v>0</v>
      </c>
      <c r="KZ89" s="199">
        <f t="shared" si="375"/>
        <v>0</v>
      </c>
      <c r="LA89" s="201"/>
      <c r="LB89" s="192"/>
      <c r="LC89" s="318"/>
      <c r="LD89" s="195" t="str">
        <f t="shared" si="250"/>
        <v>2026//2/12</v>
      </c>
      <c r="LE89" s="200">
        <v>471507.7</v>
      </c>
      <c r="LF89" s="12">
        <f t="shared" si="376"/>
        <v>463057.7</v>
      </c>
      <c r="LG89" s="12">
        <f t="shared" si="377"/>
        <v>8450</v>
      </c>
      <c r="LH89" s="199">
        <f t="shared" si="378"/>
        <v>0.0182482658208685</v>
      </c>
      <c r="LI89" s="192"/>
      <c r="LJ89" s="192"/>
      <c r="LK89" s="318"/>
      <c r="LL89" s="195" t="str">
        <f t="shared" si="251"/>
        <v>2026//2/12</v>
      </c>
      <c r="LM89" s="198">
        <v>3458455.02</v>
      </c>
      <c r="LN89" s="12">
        <f t="shared" si="379"/>
        <v>3460255.02</v>
      </c>
      <c r="LO89" s="12">
        <f t="shared" si="380"/>
        <v>-1800</v>
      </c>
      <c r="LP89" s="199">
        <f t="shared" si="381"/>
        <v>-0.00052019287295189</v>
      </c>
      <c r="LQ89" s="192"/>
      <c r="LR89" s="192"/>
      <c r="LS89" s="318"/>
      <c r="LT89" s="195" t="str">
        <f t="shared" si="252"/>
        <v>2026//2/12</v>
      </c>
      <c r="LU89" s="257">
        <v>2880462.9</v>
      </c>
      <c r="LV89" s="12">
        <f t="shared" si="382"/>
        <v>2874262.9</v>
      </c>
      <c r="LW89" s="12">
        <f t="shared" si="383"/>
        <v>6200</v>
      </c>
      <c r="LX89" s="199">
        <f t="shared" si="384"/>
        <v>0.00215707477558855</v>
      </c>
      <c r="LY89" s="192"/>
      <c r="LZ89" s="192"/>
      <c r="MA89" s="318"/>
      <c r="MB89" s="195" t="str">
        <f t="shared" si="253"/>
        <v>2026//2/12</v>
      </c>
      <c r="MC89" s="200">
        <v>805517.69</v>
      </c>
      <c r="MD89" s="12">
        <f t="shared" si="385"/>
        <v>810067.69</v>
      </c>
      <c r="ME89" s="12">
        <f t="shared" si="386"/>
        <v>-4550</v>
      </c>
      <c r="MF89" s="199">
        <f t="shared" si="387"/>
        <v>-0.00561681456521245</v>
      </c>
      <c r="MG89" s="192"/>
      <c r="MH89" s="192"/>
      <c r="MI89" s="192"/>
      <c r="MJ89" s="192"/>
      <c r="MK89" s="195" t="str">
        <f t="shared" si="254"/>
        <v>2026//2/12</v>
      </c>
      <c r="ML89" s="319">
        <v>258345.53</v>
      </c>
      <c r="MM89" s="12">
        <f t="shared" si="388"/>
        <v>258345.53</v>
      </c>
      <c r="MN89" s="12">
        <f t="shared" si="389"/>
        <v>0</v>
      </c>
      <c r="MO89" s="199">
        <f t="shared" si="390"/>
        <v>0</v>
      </c>
      <c r="MP89" s="192"/>
      <c r="MQ89" s="196"/>
      <c r="MR89" s="196"/>
      <c r="MS89" s="204">
        <v>1.4979</v>
      </c>
      <c r="MT89" s="295" t="str">
        <f t="shared" si="255"/>
        <v>2026//2/12</v>
      </c>
      <c r="MU89" s="204">
        <v>180315</v>
      </c>
      <c r="MV89" s="204">
        <f t="shared" si="391"/>
        <v>176415</v>
      </c>
      <c r="MW89" s="204">
        <v>3900</v>
      </c>
      <c r="MX89" s="296">
        <v>0.0221</v>
      </c>
      <c r="MY89" s="192"/>
      <c r="MZ89" s="192"/>
      <c r="NA89" s="192"/>
      <c r="NB89" s="204">
        <v>1.497</v>
      </c>
      <c r="NC89" s="204" t="str">
        <f t="shared" si="256"/>
        <v>2026//2/12</v>
      </c>
      <c r="ND89" s="204">
        <v>41091</v>
      </c>
      <c r="NE89" s="204">
        <f t="shared" si="392"/>
        <v>40691</v>
      </c>
      <c r="NF89" s="204">
        <v>400</v>
      </c>
      <c r="NG89" s="296">
        <v>0.0098</v>
      </c>
      <c r="NH89" s="192"/>
      <c r="NI89" s="192"/>
      <c r="NJ89" s="192"/>
      <c r="NK89" s="192"/>
      <c r="NL89" s="205">
        <v>1.1773</v>
      </c>
      <c r="NM89" s="204" t="str">
        <f t="shared" si="257"/>
        <v>2026//2/12</v>
      </c>
      <c r="NN89" s="205">
        <v>2549811</v>
      </c>
      <c r="NO89" s="8">
        <f t="shared" si="393"/>
        <v>2542511</v>
      </c>
      <c r="NP89" s="205">
        <v>7300</v>
      </c>
      <c r="NQ89" s="292">
        <v>0.0029</v>
      </c>
      <c r="NR89" s="293"/>
      <c r="NS89" s="205">
        <v>1.0565</v>
      </c>
      <c r="NT89" s="294"/>
      <c r="NU89" s="204" t="str">
        <f t="shared" si="258"/>
        <v>2026//2/12</v>
      </c>
      <c r="NV89" s="205">
        <v>242576</v>
      </c>
      <c r="NW89" s="205">
        <f t="shared" si="394"/>
        <v>244076</v>
      </c>
      <c r="NX89" s="205">
        <v>-1500</v>
      </c>
      <c r="NY89" s="292">
        <v>-0.0061</v>
      </c>
      <c r="NZ89" s="196"/>
      <c r="OA89" s="318"/>
      <c r="OB89" s="318"/>
      <c r="OC89" s="195" t="str">
        <f t="shared" si="259"/>
        <v>2026//2/12</v>
      </c>
      <c r="OD89" s="200">
        <v>12949.97</v>
      </c>
      <c r="OE89" s="12">
        <f t="shared" si="395"/>
        <v>12663.97</v>
      </c>
      <c r="OF89" s="12">
        <f t="shared" si="396"/>
        <v>286</v>
      </c>
      <c r="OG89" s="199">
        <f t="shared" si="397"/>
        <v>0.0225837553310692</v>
      </c>
      <c r="OH89" s="192"/>
      <c r="OI89" s="192"/>
      <c r="OJ89" s="318"/>
      <c r="OK89" s="195" t="str">
        <f t="shared" si="260"/>
        <v>2026//2/12</v>
      </c>
      <c r="OL89" s="200">
        <v>11137.65</v>
      </c>
      <c r="OM89" s="12">
        <f t="shared" si="398"/>
        <v>11017.65</v>
      </c>
      <c r="ON89" s="12">
        <f t="shared" si="399"/>
        <v>120</v>
      </c>
      <c r="OO89" s="199">
        <f t="shared" si="400"/>
        <v>0.010891614818042</v>
      </c>
      <c r="OP89" s="192"/>
      <c r="OQ89" s="192"/>
      <c r="OT89" s="234" t="str">
        <f t="shared" si="211"/>
        <v>2026//2/12</v>
      </c>
      <c r="OU89" s="206">
        <v>140472.4066</v>
      </c>
      <c r="OV89" s="8">
        <f t="shared" si="401"/>
        <v>140352.4066</v>
      </c>
      <c r="OW89" s="191">
        <f t="shared" si="402"/>
        <v>120</v>
      </c>
      <c r="OX89" s="192">
        <f t="shared" si="403"/>
        <v>0.000854990683145151</v>
      </c>
    </row>
    <row r="90" s="8" customFormat="1" ht="17" customHeight="1" spans="1:414">
      <c r="A90" s="15"/>
      <c r="B90" s="15"/>
      <c r="C90" s="287" t="s">
        <v>518</v>
      </c>
      <c r="D90" s="19">
        <v>4702548.77</v>
      </c>
      <c r="E90" s="19">
        <f t="shared" si="261"/>
        <v>4712898.77</v>
      </c>
      <c r="F90" s="19">
        <f t="shared" si="262"/>
        <v>-10350</v>
      </c>
      <c r="G90" s="172">
        <f t="shared" si="263"/>
        <v>-0.002196100638928</v>
      </c>
      <c r="H90" s="18"/>
      <c r="I90" s="172"/>
      <c r="J90" s="172"/>
      <c r="K90" s="19" t="str">
        <f t="shared" si="212"/>
        <v>2026//2/11</v>
      </c>
      <c r="L90" s="19">
        <v>3241054.4</v>
      </c>
      <c r="M90" s="19">
        <f t="shared" si="264"/>
        <v>3246904.4</v>
      </c>
      <c r="N90" s="19">
        <f t="shared" si="265"/>
        <v>-5850</v>
      </c>
      <c r="O90" s="172">
        <f t="shared" si="266"/>
        <v>-0.00180171612074566</v>
      </c>
      <c r="P90" s="18"/>
      <c r="Q90" s="172"/>
      <c r="R90" s="19"/>
      <c r="S90" s="19" t="str">
        <f t="shared" si="213"/>
        <v>2026//2/11</v>
      </c>
      <c r="T90" s="19">
        <v>2436366.68</v>
      </c>
      <c r="U90" s="19">
        <f t="shared" si="267"/>
        <v>2451396.68</v>
      </c>
      <c r="V90" s="19">
        <f t="shared" si="268"/>
        <v>-15030</v>
      </c>
      <c r="W90" s="172">
        <f t="shared" si="269"/>
        <v>-0.0061311986438686</v>
      </c>
      <c r="X90" s="18"/>
      <c r="Y90" s="172"/>
      <c r="Z90" s="19"/>
      <c r="AA90" s="19" t="str">
        <f t="shared" si="214"/>
        <v>2026//2/11</v>
      </c>
      <c r="AB90" s="19">
        <v>1143936.86</v>
      </c>
      <c r="AC90" s="19">
        <f t="shared" si="270"/>
        <v>1139496.86</v>
      </c>
      <c r="AD90" s="19">
        <f t="shared" si="271"/>
        <v>4440</v>
      </c>
      <c r="AE90" s="172">
        <f t="shared" si="272"/>
        <v>0.00389645654662006</v>
      </c>
      <c r="AF90" s="18"/>
      <c r="AG90" s="172"/>
      <c r="AH90" s="19"/>
      <c r="AI90" s="19" t="str">
        <f t="shared" si="215"/>
        <v>2026//2/11</v>
      </c>
      <c r="AJ90" s="19">
        <v>1059121.76</v>
      </c>
      <c r="AK90" s="19">
        <f t="shared" si="273"/>
        <v>1043721.76</v>
      </c>
      <c r="AL90" s="19">
        <f t="shared" si="274"/>
        <v>15400</v>
      </c>
      <c r="AM90" s="172">
        <f t="shared" si="275"/>
        <v>0.0147548902305151</v>
      </c>
      <c r="AN90" s="18"/>
      <c r="AO90" s="18"/>
      <c r="AP90" s="19"/>
      <c r="AQ90" s="19" t="str">
        <f t="shared" si="216"/>
        <v>2026//2/11</v>
      </c>
      <c r="AR90" s="21">
        <v>1946545.49</v>
      </c>
      <c r="AS90" s="19">
        <f t="shared" si="276"/>
        <v>1914145.49</v>
      </c>
      <c r="AT90" s="19">
        <f t="shared" si="277"/>
        <v>32400</v>
      </c>
      <c r="AU90" s="172">
        <f t="shared" si="278"/>
        <v>0.0169266130339967</v>
      </c>
      <c r="AV90" s="18"/>
      <c r="AW90" s="18"/>
      <c r="AX90" s="17"/>
      <c r="AY90" s="205">
        <v>4.9243</v>
      </c>
      <c r="AZ90" s="204" t="str">
        <f t="shared" si="217"/>
        <v>2026//2/11</v>
      </c>
      <c r="BA90" s="205">
        <v>2048962</v>
      </c>
      <c r="BB90" s="205">
        <f t="shared" si="279"/>
        <v>2051032</v>
      </c>
      <c r="BC90" s="205">
        <v>-2070</v>
      </c>
      <c r="BD90" s="292">
        <v>-0.001</v>
      </c>
      <c r="BE90" s="18"/>
      <c r="BF90" s="18"/>
      <c r="BG90" s="74"/>
      <c r="BH90" s="195" t="str">
        <f t="shared" si="218"/>
        <v>2026//2/11</v>
      </c>
      <c r="BI90" s="256">
        <v>945226.55</v>
      </c>
      <c r="BJ90" s="195">
        <f t="shared" si="280"/>
        <v>963026.55</v>
      </c>
      <c r="BK90" s="195">
        <f t="shared" si="281"/>
        <v>-17800</v>
      </c>
      <c r="BL90" s="196">
        <f t="shared" si="282"/>
        <v>-0.0184833948762887</v>
      </c>
      <c r="BM90" s="197"/>
      <c r="BN90" s="192"/>
      <c r="BO90" s="318"/>
      <c r="BP90" s="195" t="str">
        <f t="shared" si="219"/>
        <v>2026//2/11</v>
      </c>
      <c r="BQ90" s="319">
        <v>1487562.39</v>
      </c>
      <c r="BR90" s="12">
        <f t="shared" si="283"/>
        <v>1482962.39</v>
      </c>
      <c r="BS90" s="12">
        <f t="shared" si="284"/>
        <v>4600</v>
      </c>
      <c r="BT90" s="199">
        <f t="shared" si="285"/>
        <v>0.0031018993003592</v>
      </c>
      <c r="BU90" s="192"/>
      <c r="BV90" s="192"/>
      <c r="BW90" s="318"/>
      <c r="BX90" s="195" t="str">
        <f t="shared" si="220"/>
        <v>2026//2/11</v>
      </c>
      <c r="BY90" s="257">
        <v>3916660.7</v>
      </c>
      <c r="BZ90" s="12">
        <f t="shared" si="286"/>
        <v>3903110.7</v>
      </c>
      <c r="CA90" s="12">
        <f t="shared" si="287"/>
        <v>13550</v>
      </c>
      <c r="CB90" s="199">
        <f t="shared" si="288"/>
        <v>0.00347158998078123</v>
      </c>
      <c r="CC90" s="192"/>
      <c r="CD90" s="201"/>
      <c r="CE90" s="318"/>
      <c r="CF90" s="195" t="str">
        <f t="shared" si="221"/>
        <v>2026//2/11</v>
      </c>
      <c r="CG90" s="200">
        <v>1646053.9</v>
      </c>
      <c r="CH90" s="12">
        <f t="shared" si="289"/>
        <v>1657103.9</v>
      </c>
      <c r="CI90" s="12">
        <f t="shared" si="290"/>
        <v>-11050</v>
      </c>
      <c r="CJ90" s="199">
        <f t="shared" si="291"/>
        <v>-0.0066682602098758</v>
      </c>
      <c r="CK90" s="192"/>
      <c r="CL90" s="201"/>
      <c r="CM90" s="318"/>
      <c r="CN90" s="195" t="str">
        <f t="shared" si="222"/>
        <v>2026//2/11</v>
      </c>
      <c r="CO90" s="200">
        <v>770246.48</v>
      </c>
      <c r="CP90" s="12">
        <f t="shared" si="292"/>
        <v>779446.48</v>
      </c>
      <c r="CQ90" s="12">
        <f t="shared" si="293"/>
        <v>-9200</v>
      </c>
      <c r="CR90" s="199">
        <f t="shared" si="294"/>
        <v>-0.0118032478637918</v>
      </c>
      <c r="CS90" s="201"/>
      <c r="CT90" s="201"/>
      <c r="CU90" s="318"/>
      <c r="CV90" s="195" t="str">
        <f t="shared" si="223"/>
        <v>2026//2/11</v>
      </c>
      <c r="CW90" s="200">
        <v>597290.4</v>
      </c>
      <c r="CX90" s="12">
        <f t="shared" si="295"/>
        <v>601090.4</v>
      </c>
      <c r="CY90" s="12">
        <f t="shared" si="296"/>
        <v>-3800</v>
      </c>
      <c r="CZ90" s="199">
        <f t="shared" si="297"/>
        <v>-0.00632184443471398</v>
      </c>
      <c r="DA90" s="192"/>
      <c r="DB90" s="192"/>
      <c r="DC90" s="277"/>
      <c r="DD90" s="195" t="str">
        <f t="shared" si="224"/>
        <v>2026//2/11</v>
      </c>
      <c r="DE90" s="257">
        <v>2377717.98</v>
      </c>
      <c r="DF90" s="12">
        <f t="shared" si="298"/>
        <v>2371917.98</v>
      </c>
      <c r="DG90" s="12">
        <f t="shared" si="299"/>
        <v>5800</v>
      </c>
      <c r="DH90" s="199">
        <f t="shared" si="300"/>
        <v>0.00244527848302748</v>
      </c>
      <c r="DI90" s="192"/>
      <c r="DJ90" s="192"/>
      <c r="DK90" s="318"/>
      <c r="DL90" s="195" t="str">
        <f t="shared" si="225"/>
        <v>2026//2/11</v>
      </c>
      <c r="DM90" s="200">
        <v>1382100.36</v>
      </c>
      <c r="DN90" s="12">
        <f t="shared" si="301"/>
        <v>1371900.36</v>
      </c>
      <c r="DO90" s="12">
        <f t="shared" si="302"/>
        <v>10200</v>
      </c>
      <c r="DP90" s="199">
        <f t="shared" si="303"/>
        <v>0.00743494228691652</v>
      </c>
      <c r="DQ90" s="192"/>
      <c r="DR90" s="192"/>
      <c r="DS90" s="318"/>
      <c r="DT90" s="195" t="str">
        <f t="shared" si="226"/>
        <v>2026//2/11</v>
      </c>
      <c r="DU90" s="200">
        <v>1824389.48</v>
      </c>
      <c r="DV90" s="12">
        <f t="shared" si="304"/>
        <v>1824689.48</v>
      </c>
      <c r="DW90" s="12">
        <f t="shared" si="305"/>
        <v>-300</v>
      </c>
      <c r="DX90" s="199">
        <f t="shared" si="306"/>
        <v>-0.000164411535928842</v>
      </c>
      <c r="DY90" s="192"/>
      <c r="DZ90" s="192"/>
      <c r="EA90" s="318"/>
      <c r="EB90" s="195" t="str">
        <f t="shared" si="227"/>
        <v>2026//2/11</v>
      </c>
      <c r="EC90" s="200">
        <v>5145116.82</v>
      </c>
      <c r="ED90" s="12">
        <f t="shared" si="307"/>
        <v>5134766.82</v>
      </c>
      <c r="EE90" s="12">
        <f t="shared" si="308"/>
        <v>10350</v>
      </c>
      <c r="EF90" s="199">
        <f t="shared" si="309"/>
        <v>0.00201567088882918</v>
      </c>
      <c r="EG90" s="192"/>
      <c r="EH90" s="192"/>
      <c r="EI90" s="318"/>
      <c r="EJ90" s="195" t="str">
        <f t="shared" si="228"/>
        <v>2026//2/11</v>
      </c>
      <c r="EK90" s="257">
        <v>1619522.96</v>
      </c>
      <c r="EL90" s="12">
        <f t="shared" si="310"/>
        <v>1607522.96</v>
      </c>
      <c r="EM90" s="12">
        <f t="shared" si="311"/>
        <v>12000</v>
      </c>
      <c r="EN90" s="199">
        <f t="shared" si="312"/>
        <v>0.00746490115450668</v>
      </c>
      <c r="EO90" s="192"/>
      <c r="EP90" s="192"/>
      <c r="EQ90" s="318"/>
      <c r="ER90" s="195" t="str">
        <f t="shared" si="229"/>
        <v>2026//2/11</v>
      </c>
      <c r="ES90" s="8">
        <v>540947.02</v>
      </c>
      <c r="ET90" s="12">
        <f t="shared" si="313"/>
        <v>535547.02</v>
      </c>
      <c r="EU90" s="12">
        <f t="shared" si="314"/>
        <v>5400</v>
      </c>
      <c r="EV90" s="199">
        <f t="shared" si="315"/>
        <v>0.0100831482546575</v>
      </c>
      <c r="EW90" s="192"/>
      <c r="EX90" s="192"/>
      <c r="EY90" s="318"/>
      <c r="EZ90" s="195" t="str">
        <f t="shared" si="230"/>
        <v>2026//2/11</v>
      </c>
      <c r="FA90" s="200">
        <v>678408</v>
      </c>
      <c r="FB90" s="12">
        <f t="shared" si="316"/>
        <v>673908</v>
      </c>
      <c r="FC90" s="12">
        <f t="shared" si="317"/>
        <v>4500</v>
      </c>
      <c r="FD90" s="199">
        <f t="shared" si="318"/>
        <v>0.00667746932815755</v>
      </c>
      <c r="FE90" s="192"/>
      <c r="FF90" s="192"/>
      <c r="FH90" s="195" t="str">
        <f t="shared" si="231"/>
        <v>2026//2/11</v>
      </c>
      <c r="FI90" s="198">
        <v>1051595.33</v>
      </c>
      <c r="FJ90" s="12">
        <f t="shared" si="319"/>
        <v>1030195.33</v>
      </c>
      <c r="FK90" s="12">
        <f t="shared" si="320"/>
        <v>21400.0000000001</v>
      </c>
      <c r="FL90" s="199">
        <f t="shared" si="321"/>
        <v>0.0207727596668489</v>
      </c>
      <c r="FM90" s="201"/>
      <c r="FN90" s="201"/>
      <c r="FO90" s="318"/>
      <c r="FP90" s="195" t="str">
        <f t="shared" si="232"/>
        <v>2026//2/11</v>
      </c>
      <c r="FQ90" s="200">
        <v>2417968.73</v>
      </c>
      <c r="FR90" s="12">
        <f t="shared" si="322"/>
        <v>2391868.73</v>
      </c>
      <c r="FS90" s="12">
        <f t="shared" si="323"/>
        <v>26100</v>
      </c>
      <c r="FT90" s="199">
        <f t="shared" si="324"/>
        <v>0.0109119700728727</v>
      </c>
      <c r="FU90" s="192"/>
      <c r="FV90" s="192"/>
      <c r="FW90" s="318"/>
      <c r="FX90" s="195" t="str">
        <f t="shared" si="233"/>
        <v>2026//2/11</v>
      </c>
      <c r="FY90" s="200">
        <v>7828682.05</v>
      </c>
      <c r="FZ90" s="12">
        <f t="shared" si="325"/>
        <v>7822782.05</v>
      </c>
      <c r="GA90" s="12">
        <f t="shared" si="326"/>
        <v>5900</v>
      </c>
      <c r="GB90" s="199">
        <f t="shared" si="327"/>
        <v>0.000754207385849386</v>
      </c>
      <c r="GC90" s="192"/>
      <c r="GD90" s="192"/>
      <c r="GE90" s="318"/>
      <c r="GF90" s="195" t="str">
        <f t="shared" si="234"/>
        <v>2026//2/11</v>
      </c>
      <c r="GG90" s="200">
        <v>4679369.49</v>
      </c>
      <c r="GH90" s="12">
        <f t="shared" si="328"/>
        <v>4703269.49</v>
      </c>
      <c r="GI90" s="12">
        <f t="shared" si="329"/>
        <v>-23900</v>
      </c>
      <c r="GJ90" s="199">
        <f t="shared" si="330"/>
        <v>-0.00508157145807097</v>
      </c>
      <c r="GK90" s="192"/>
      <c r="GL90" s="192"/>
      <c r="GM90" s="318"/>
      <c r="GN90" s="195" t="str">
        <f t="shared" si="235"/>
        <v>2026//2/11</v>
      </c>
      <c r="GO90" s="257">
        <v>1835098.12</v>
      </c>
      <c r="GP90" s="12">
        <f t="shared" si="331"/>
        <v>1844518.12</v>
      </c>
      <c r="GQ90" s="12">
        <f t="shared" si="332"/>
        <v>-9420</v>
      </c>
      <c r="GR90" s="199">
        <f t="shared" si="333"/>
        <v>-0.00510702491770588</v>
      </c>
      <c r="GS90" s="192"/>
      <c r="GT90" s="192"/>
      <c r="GU90" s="318"/>
      <c r="GV90" s="195" t="str">
        <f t="shared" si="236"/>
        <v>2026//2/11</v>
      </c>
      <c r="GW90" s="200">
        <v>1027149.4</v>
      </c>
      <c r="GX90" s="12">
        <f t="shared" si="334"/>
        <v>1021149.4</v>
      </c>
      <c r="GY90" s="12">
        <f t="shared" si="335"/>
        <v>6000</v>
      </c>
      <c r="GZ90" s="199">
        <f t="shared" si="336"/>
        <v>0.00587573179791321</v>
      </c>
      <c r="HA90" s="192"/>
      <c r="HB90" s="192"/>
      <c r="HC90" s="318"/>
      <c r="HD90" s="195" t="str">
        <f t="shared" si="237"/>
        <v>2026//2/11</v>
      </c>
      <c r="HE90" s="257">
        <v>1206264.67</v>
      </c>
      <c r="HF90" s="12">
        <f t="shared" si="337"/>
        <v>1233264.67</v>
      </c>
      <c r="HG90" s="12">
        <f t="shared" si="338"/>
        <v>-27000</v>
      </c>
      <c r="HH90" s="199">
        <f t="shared" si="339"/>
        <v>-0.0218931107464548</v>
      </c>
      <c r="HI90" s="201"/>
      <c r="HJ90" s="192"/>
      <c r="HK90" s="318"/>
      <c r="HL90" s="195" t="str">
        <f t="shared" si="238"/>
        <v>2026//2/11</v>
      </c>
      <c r="HM90" s="200">
        <v>143854.25</v>
      </c>
      <c r="HN90" s="12">
        <f t="shared" si="340"/>
        <v>144204.25</v>
      </c>
      <c r="HO90" s="12">
        <f t="shared" si="341"/>
        <v>-350</v>
      </c>
      <c r="HP90" s="199">
        <f t="shared" si="342"/>
        <v>-0.00242711293183107</v>
      </c>
      <c r="HQ90" s="192"/>
      <c r="HR90" s="192"/>
      <c r="HS90" s="318"/>
      <c r="HT90" s="195" t="str">
        <f t="shared" si="239"/>
        <v>2026//2/11</v>
      </c>
      <c r="HU90" s="257">
        <v>313168.82</v>
      </c>
      <c r="HV90" s="12">
        <f t="shared" si="343"/>
        <v>304868.82</v>
      </c>
      <c r="HW90" s="12">
        <f t="shared" si="344"/>
        <v>8300</v>
      </c>
      <c r="HX90" s="199">
        <f t="shared" si="345"/>
        <v>0.0272248241063156</v>
      </c>
      <c r="HY90" s="192"/>
      <c r="HZ90" s="192"/>
      <c r="IA90" s="318"/>
      <c r="IB90" s="195" t="str">
        <f t="shared" si="240"/>
        <v>2026//2/11</v>
      </c>
      <c r="IC90" s="200">
        <v>482859.79</v>
      </c>
      <c r="ID90" s="12">
        <f t="shared" si="346"/>
        <v>480684.79</v>
      </c>
      <c r="IE90" s="12">
        <f t="shared" si="347"/>
        <v>2175</v>
      </c>
      <c r="IF90" s="199">
        <f t="shared" si="348"/>
        <v>0.00452479472046536</v>
      </c>
      <c r="IG90" s="201"/>
      <c r="IH90" s="192"/>
      <c r="II90" s="318"/>
      <c r="IJ90" s="195" t="str">
        <f t="shared" si="241"/>
        <v>2026//2/11</v>
      </c>
      <c r="IK90" s="257">
        <v>391996.29</v>
      </c>
      <c r="IL90" s="12">
        <f t="shared" si="349"/>
        <v>395916.29</v>
      </c>
      <c r="IM90" s="12">
        <f t="shared" si="350"/>
        <v>-3920</v>
      </c>
      <c r="IN90" s="199">
        <f t="shared" si="351"/>
        <v>-0.00990108287789825</v>
      </c>
      <c r="IO90" s="192"/>
      <c r="IP90" s="192"/>
      <c r="IQ90" s="318"/>
      <c r="IR90" s="195" t="str">
        <f t="shared" si="242"/>
        <v>2026//2/11</v>
      </c>
      <c r="IS90" s="200">
        <v>152389</v>
      </c>
      <c r="IT90" s="12">
        <f t="shared" si="352"/>
        <v>151389</v>
      </c>
      <c r="IU90" s="12">
        <f t="shared" si="353"/>
        <v>1000</v>
      </c>
      <c r="IV90" s="199">
        <f t="shared" si="354"/>
        <v>0.00660549973908276</v>
      </c>
      <c r="IW90" s="192"/>
      <c r="IX90" s="192"/>
      <c r="IY90" s="318"/>
      <c r="IZ90" s="195" t="str">
        <f t="shared" si="243"/>
        <v>2026//2/11</v>
      </c>
      <c r="JA90" s="200">
        <v>4773129.15</v>
      </c>
      <c r="JB90" s="12">
        <f t="shared" si="355"/>
        <v>4773329.15</v>
      </c>
      <c r="JC90" s="12">
        <f t="shared" si="356"/>
        <v>-200</v>
      </c>
      <c r="JD90" s="199">
        <f t="shared" si="357"/>
        <v>-4.18994780613442e-5</v>
      </c>
      <c r="JE90" s="192"/>
      <c r="JF90" s="192"/>
      <c r="JG90" s="318"/>
      <c r="JH90" s="195" t="str">
        <f t="shared" si="244"/>
        <v>2026//2/11</v>
      </c>
      <c r="JI90" s="200">
        <v>1549347.99</v>
      </c>
      <c r="JJ90" s="12">
        <f t="shared" si="358"/>
        <v>1574367.99</v>
      </c>
      <c r="JK90" s="12">
        <f t="shared" si="359"/>
        <v>-25020</v>
      </c>
      <c r="JL90" s="199">
        <f t="shared" si="360"/>
        <v>-0.0158920914036114</v>
      </c>
      <c r="JM90" s="192"/>
      <c r="JN90" s="192"/>
      <c r="JP90" s="195" t="str">
        <f t="shared" si="245"/>
        <v>2026//2/11</v>
      </c>
      <c r="JQ90" s="257">
        <v>1261890.41</v>
      </c>
      <c r="JR90" s="12">
        <f t="shared" si="361"/>
        <v>1259790.41</v>
      </c>
      <c r="JS90" s="12">
        <f t="shared" si="362"/>
        <v>2100</v>
      </c>
      <c r="JT90" s="199">
        <f t="shared" si="363"/>
        <v>0.00166694394823977</v>
      </c>
      <c r="JU90" s="192"/>
      <c r="JV90" s="201"/>
      <c r="JX90" s="195" t="str">
        <f t="shared" si="246"/>
        <v>2026//2/11</v>
      </c>
      <c r="JY90" s="200">
        <v>1312898.8</v>
      </c>
      <c r="JZ90" s="12">
        <f t="shared" si="364"/>
        <v>1313248.8</v>
      </c>
      <c r="KA90" s="12">
        <f t="shared" si="365"/>
        <v>-350</v>
      </c>
      <c r="KB90" s="199">
        <f t="shared" si="366"/>
        <v>-0.000266514616270733</v>
      </c>
      <c r="KC90" s="192"/>
      <c r="KD90" s="201"/>
      <c r="KF90" s="195" t="str">
        <f t="shared" si="247"/>
        <v>2026//2/11</v>
      </c>
      <c r="KG90" s="257">
        <v>800155.92</v>
      </c>
      <c r="KH90" s="12">
        <f t="shared" si="367"/>
        <v>800155.92</v>
      </c>
      <c r="KI90" s="12">
        <f t="shared" si="368"/>
        <v>0</v>
      </c>
      <c r="KJ90" s="199">
        <f t="shared" si="369"/>
        <v>0</v>
      </c>
      <c r="KK90" s="201"/>
      <c r="KL90" s="201"/>
      <c r="KM90" s="318"/>
      <c r="KN90" s="195" t="str">
        <f t="shared" si="248"/>
        <v>2026//2/11</v>
      </c>
      <c r="KO90" s="200">
        <v>7326675.95</v>
      </c>
      <c r="KP90" s="12">
        <f t="shared" si="370"/>
        <v>7326675.95</v>
      </c>
      <c r="KQ90" s="12">
        <f t="shared" si="371"/>
        <v>0</v>
      </c>
      <c r="KR90" s="199">
        <f t="shared" si="372"/>
        <v>0</v>
      </c>
      <c r="KS90" s="192"/>
      <c r="KT90" s="192"/>
      <c r="KU90" s="318"/>
      <c r="KV90" s="195" t="str">
        <f t="shared" si="249"/>
        <v>2026//2/11</v>
      </c>
      <c r="KW90" s="257">
        <v>1013272.97</v>
      </c>
      <c r="KX90" s="12">
        <f t="shared" si="373"/>
        <v>1013372.97</v>
      </c>
      <c r="KY90" s="12">
        <f t="shared" si="374"/>
        <v>-100</v>
      </c>
      <c r="KZ90" s="199">
        <f t="shared" si="375"/>
        <v>-9.86803506314166e-5</v>
      </c>
      <c r="LA90" s="201"/>
      <c r="LB90" s="192"/>
      <c r="LC90" s="318"/>
      <c r="LD90" s="195" t="str">
        <f t="shared" si="250"/>
        <v>2026//2/11</v>
      </c>
      <c r="LE90" s="200">
        <v>463057.7</v>
      </c>
      <c r="LF90" s="12">
        <f t="shared" si="376"/>
        <v>452307.7</v>
      </c>
      <c r="LG90" s="12">
        <f t="shared" si="377"/>
        <v>10750</v>
      </c>
      <c r="LH90" s="199">
        <f t="shared" si="378"/>
        <v>0.0237670063985203</v>
      </c>
      <c r="LI90" s="192"/>
      <c r="LJ90" s="192"/>
      <c r="LK90" s="318"/>
      <c r="LL90" s="195" t="str">
        <f t="shared" si="251"/>
        <v>2026//2/11</v>
      </c>
      <c r="LM90" s="198">
        <v>3460255.02</v>
      </c>
      <c r="LN90" s="12">
        <f t="shared" si="379"/>
        <v>3476455.02</v>
      </c>
      <c r="LO90" s="12">
        <f t="shared" si="380"/>
        <v>-16200</v>
      </c>
      <c r="LP90" s="199">
        <f t="shared" si="381"/>
        <v>-0.00465991934508044</v>
      </c>
      <c r="LQ90" s="192"/>
      <c r="LR90" s="192"/>
      <c r="LS90" s="318"/>
      <c r="LT90" s="195" t="str">
        <f t="shared" si="252"/>
        <v>2026//2/11</v>
      </c>
      <c r="LU90" s="257">
        <v>2874262.9</v>
      </c>
      <c r="LV90" s="12">
        <f t="shared" si="382"/>
        <v>2880462.9</v>
      </c>
      <c r="LW90" s="12">
        <f t="shared" si="383"/>
        <v>-6200</v>
      </c>
      <c r="LX90" s="199">
        <f t="shared" si="384"/>
        <v>-0.00215243181920517</v>
      </c>
      <c r="LY90" s="192"/>
      <c r="LZ90" s="192"/>
      <c r="MA90" s="318"/>
      <c r="MB90" s="195" t="str">
        <f t="shared" si="253"/>
        <v>2026//2/11</v>
      </c>
      <c r="MC90" s="200">
        <v>810067.69</v>
      </c>
      <c r="MD90" s="12">
        <f t="shared" si="385"/>
        <v>822367.69</v>
      </c>
      <c r="ME90" s="12">
        <f t="shared" si="386"/>
        <v>-12300</v>
      </c>
      <c r="MF90" s="199">
        <f t="shared" si="387"/>
        <v>-0.0149568132960087</v>
      </c>
      <c r="MG90" s="192"/>
      <c r="MH90" s="192"/>
      <c r="MI90" s="192"/>
      <c r="MJ90" s="192"/>
      <c r="MK90" s="195" t="str">
        <f t="shared" si="254"/>
        <v>2026//2/11</v>
      </c>
      <c r="ML90" s="258">
        <v>258345.53</v>
      </c>
      <c r="MM90" s="12">
        <f t="shared" si="388"/>
        <v>256905.53</v>
      </c>
      <c r="MN90" s="12">
        <f t="shared" si="389"/>
        <v>1440</v>
      </c>
      <c r="MO90" s="199">
        <f t="shared" si="390"/>
        <v>0.0056051732323551</v>
      </c>
      <c r="MP90" s="192"/>
      <c r="MQ90" s="196"/>
      <c r="MR90" s="196"/>
      <c r="MS90" s="204">
        <v>1.4705</v>
      </c>
      <c r="MT90" s="295" t="str">
        <f t="shared" si="255"/>
        <v>2026//2/11</v>
      </c>
      <c r="MU90" s="204">
        <v>176415</v>
      </c>
      <c r="MV90" s="204">
        <f t="shared" si="391"/>
        <v>166915</v>
      </c>
      <c r="MW90" s="204">
        <v>9500</v>
      </c>
      <c r="MX90" s="296">
        <v>0.0569</v>
      </c>
      <c r="MY90" s="192"/>
      <c r="MZ90" s="192"/>
      <c r="NA90" s="192"/>
      <c r="NB90" s="204">
        <v>1.481</v>
      </c>
      <c r="NC90" s="204" t="str">
        <f t="shared" si="256"/>
        <v>2026//2/11</v>
      </c>
      <c r="ND90" s="204">
        <v>40691</v>
      </c>
      <c r="NE90" s="204">
        <f t="shared" si="392"/>
        <v>40691</v>
      </c>
      <c r="NF90" s="204">
        <v>0</v>
      </c>
      <c r="NG90" s="296">
        <v>0</v>
      </c>
      <c r="NH90" s="192"/>
      <c r="NI90" s="192"/>
      <c r="NJ90" s="192"/>
      <c r="NK90" s="192"/>
      <c r="NL90" s="205">
        <v>1.1882</v>
      </c>
      <c r="NM90" s="204" t="str">
        <f t="shared" si="257"/>
        <v>2026//2/11</v>
      </c>
      <c r="NN90" s="205">
        <v>2542511</v>
      </c>
      <c r="NO90" s="8">
        <f t="shared" si="393"/>
        <v>2541811</v>
      </c>
      <c r="NP90" s="205">
        <v>700</v>
      </c>
      <c r="NQ90" s="292">
        <v>0.0003</v>
      </c>
      <c r="NR90" s="293"/>
      <c r="NS90" s="205">
        <v>1.0672</v>
      </c>
      <c r="NT90" s="294"/>
      <c r="NU90" s="204" t="str">
        <f t="shared" si="258"/>
        <v>2026//2/11</v>
      </c>
      <c r="NV90" s="205">
        <v>244076</v>
      </c>
      <c r="NW90" s="205">
        <f t="shared" si="394"/>
        <v>245526</v>
      </c>
      <c r="NX90" s="205">
        <v>-1450</v>
      </c>
      <c r="NY90" s="292">
        <v>-0.0059</v>
      </c>
      <c r="NZ90" s="196"/>
      <c r="OA90" s="318"/>
      <c r="OB90" s="318"/>
      <c r="OC90" s="195" t="str">
        <f t="shared" si="259"/>
        <v>2026//2/11</v>
      </c>
      <c r="OD90" s="200">
        <v>12663.97</v>
      </c>
      <c r="OE90" s="12">
        <f t="shared" si="395"/>
        <v>12565.97</v>
      </c>
      <c r="OF90" s="12">
        <f t="shared" si="396"/>
        <v>98</v>
      </c>
      <c r="OG90" s="199">
        <f t="shared" si="397"/>
        <v>0.00779884083759551</v>
      </c>
      <c r="OH90" s="192"/>
      <c r="OI90" s="192"/>
      <c r="OJ90" s="318"/>
      <c r="OK90" s="195" t="str">
        <f t="shared" si="260"/>
        <v>2026//2/11</v>
      </c>
      <c r="OL90" s="200">
        <v>11017.65</v>
      </c>
      <c r="OM90" s="12">
        <f t="shared" si="398"/>
        <v>10972.65</v>
      </c>
      <c r="ON90" s="12">
        <f t="shared" si="399"/>
        <v>45</v>
      </c>
      <c r="OO90" s="199">
        <f t="shared" si="400"/>
        <v>0.00410110593156621</v>
      </c>
      <c r="OP90" s="192"/>
      <c r="OQ90" s="192"/>
      <c r="OT90" s="234" t="str">
        <f t="shared" si="211"/>
        <v>2026//2/11</v>
      </c>
      <c r="OU90" s="206">
        <v>140352.4066</v>
      </c>
      <c r="OV90" s="8">
        <f t="shared" si="401"/>
        <v>140232.4066</v>
      </c>
      <c r="OW90" s="191">
        <f t="shared" si="402"/>
        <v>120</v>
      </c>
      <c r="OX90" s="192">
        <f t="shared" si="403"/>
        <v>0.00085572231775419</v>
      </c>
    </row>
    <row r="91" s="8" customFormat="1" ht="17" customHeight="1" spans="1:414">
      <c r="A91" s="15"/>
      <c r="B91" s="15"/>
      <c r="C91" s="287" t="s">
        <v>519</v>
      </c>
      <c r="D91" s="19">
        <v>4712898.77</v>
      </c>
      <c r="E91" s="19">
        <f t="shared" si="261"/>
        <v>4745838.77</v>
      </c>
      <c r="F91" s="19">
        <f t="shared" si="262"/>
        <v>-32940</v>
      </c>
      <c r="G91" s="172">
        <f t="shared" si="263"/>
        <v>-0.00694081733417168</v>
      </c>
      <c r="H91" s="18"/>
      <c r="I91" s="172"/>
      <c r="J91" s="172"/>
      <c r="K91" s="19" t="str">
        <f t="shared" si="212"/>
        <v>2026//2/10</v>
      </c>
      <c r="L91" s="19">
        <v>3246904.4</v>
      </c>
      <c r="M91" s="19">
        <f t="shared" si="264"/>
        <v>3256984.4</v>
      </c>
      <c r="N91" s="19">
        <f t="shared" si="265"/>
        <v>-10080</v>
      </c>
      <c r="O91" s="172">
        <f t="shared" si="266"/>
        <v>-0.00309488740566274</v>
      </c>
      <c r="P91" s="18"/>
      <c r="Q91" s="172"/>
      <c r="R91" s="19"/>
      <c r="S91" s="19" t="str">
        <f t="shared" si="213"/>
        <v>2026//2/10</v>
      </c>
      <c r="T91" s="19">
        <v>2451396.68</v>
      </c>
      <c r="U91" s="19">
        <f t="shared" si="267"/>
        <v>2475966.68</v>
      </c>
      <c r="V91" s="19">
        <f t="shared" si="268"/>
        <v>-24570</v>
      </c>
      <c r="W91" s="172">
        <f t="shared" si="269"/>
        <v>-0.00992339686897564</v>
      </c>
      <c r="X91" s="18"/>
      <c r="Y91" s="172"/>
      <c r="Z91" s="19"/>
      <c r="AA91" s="19" t="str">
        <f t="shared" si="214"/>
        <v>2026//2/10</v>
      </c>
      <c r="AB91" s="19">
        <v>1139496.86</v>
      </c>
      <c r="AC91" s="19">
        <f t="shared" si="270"/>
        <v>1156536.86</v>
      </c>
      <c r="AD91" s="19">
        <f t="shared" si="271"/>
        <v>-17040</v>
      </c>
      <c r="AE91" s="172">
        <f t="shared" si="272"/>
        <v>-0.0147336419524061</v>
      </c>
      <c r="AF91" s="18"/>
      <c r="AG91" s="172"/>
      <c r="AH91" s="19"/>
      <c r="AI91" s="19" t="str">
        <f t="shared" si="215"/>
        <v>2026//2/10</v>
      </c>
      <c r="AJ91" s="19">
        <v>1043721.76</v>
      </c>
      <c r="AK91" s="19">
        <f t="shared" si="273"/>
        <v>1054521.76</v>
      </c>
      <c r="AL91" s="19">
        <f t="shared" si="274"/>
        <v>-10800</v>
      </c>
      <c r="AM91" s="172">
        <f t="shared" si="275"/>
        <v>-0.0102416094287139</v>
      </c>
      <c r="AN91" s="18"/>
      <c r="AO91" s="18"/>
      <c r="AP91" s="19"/>
      <c r="AQ91" s="19" t="str">
        <f t="shared" si="216"/>
        <v>2026//2/10</v>
      </c>
      <c r="AR91" s="21">
        <v>1914145.49</v>
      </c>
      <c r="AS91" s="19">
        <f t="shared" si="276"/>
        <v>1911045.49</v>
      </c>
      <c r="AT91" s="19">
        <f t="shared" si="277"/>
        <v>3100</v>
      </c>
      <c r="AU91" s="172">
        <f t="shared" si="278"/>
        <v>0.0016221487223729</v>
      </c>
      <c r="AV91" s="18"/>
      <c r="AW91" s="18"/>
      <c r="AX91" s="17"/>
      <c r="AY91" s="205">
        <v>4.9352</v>
      </c>
      <c r="AZ91" s="204" t="str">
        <f t="shared" si="217"/>
        <v>2026//2/10</v>
      </c>
      <c r="BA91" s="205">
        <v>2051032</v>
      </c>
      <c r="BB91" s="205">
        <f t="shared" si="279"/>
        <v>2059222</v>
      </c>
      <c r="BC91" s="205">
        <v>-8190</v>
      </c>
      <c r="BD91" s="292">
        <v>-0.004</v>
      </c>
      <c r="BE91" s="18"/>
      <c r="BF91" s="18"/>
      <c r="BG91" s="74"/>
      <c r="BH91" s="195" t="str">
        <f t="shared" si="218"/>
        <v>2026//2/10</v>
      </c>
      <c r="BI91" s="256">
        <v>963026.55</v>
      </c>
      <c r="BJ91" s="195">
        <f t="shared" si="280"/>
        <v>977326.55</v>
      </c>
      <c r="BK91" s="195">
        <f t="shared" si="281"/>
        <v>-14300</v>
      </c>
      <c r="BL91" s="196">
        <f t="shared" si="282"/>
        <v>-0.0146317523042836</v>
      </c>
      <c r="BM91" s="197"/>
      <c r="BN91" s="192"/>
      <c r="BO91" s="318"/>
      <c r="BP91" s="195" t="str">
        <f t="shared" si="219"/>
        <v>2026//2/10</v>
      </c>
      <c r="BQ91" s="198">
        <v>1482962.39</v>
      </c>
      <c r="BR91" s="12">
        <f t="shared" si="283"/>
        <v>1480862.39</v>
      </c>
      <c r="BS91" s="12">
        <f t="shared" si="284"/>
        <v>2100</v>
      </c>
      <c r="BT91" s="199">
        <f t="shared" si="285"/>
        <v>0.00141809260210869</v>
      </c>
      <c r="BU91" s="192"/>
      <c r="BV91" s="192"/>
      <c r="BW91" s="318"/>
      <c r="BX91" s="195" t="str">
        <f t="shared" si="220"/>
        <v>2026//2/10</v>
      </c>
      <c r="BY91" s="257">
        <v>3903110.7</v>
      </c>
      <c r="BZ91" s="12">
        <f t="shared" si="286"/>
        <v>3867060.7</v>
      </c>
      <c r="CA91" s="12">
        <f t="shared" si="287"/>
        <v>36050</v>
      </c>
      <c r="CB91" s="199">
        <f t="shared" si="288"/>
        <v>0.009322325868844</v>
      </c>
      <c r="CC91" s="192"/>
      <c r="CD91" s="201"/>
      <c r="CE91" s="318"/>
      <c r="CF91" s="195" t="str">
        <f t="shared" si="221"/>
        <v>2026//2/10</v>
      </c>
      <c r="CG91" s="200">
        <v>1657103.9</v>
      </c>
      <c r="CH91" s="12">
        <f t="shared" si="289"/>
        <v>1647953.9</v>
      </c>
      <c r="CI91" s="12">
        <f t="shared" si="290"/>
        <v>9150</v>
      </c>
      <c r="CJ91" s="199">
        <f t="shared" si="291"/>
        <v>0.00555233978329127</v>
      </c>
      <c r="CK91" s="192"/>
      <c r="CL91" s="201"/>
      <c r="CM91" s="318"/>
      <c r="CN91" s="195" t="str">
        <f t="shared" si="222"/>
        <v>2026//2/10</v>
      </c>
      <c r="CO91" s="200">
        <v>779446.48</v>
      </c>
      <c r="CP91" s="12">
        <f t="shared" si="292"/>
        <v>785046.48</v>
      </c>
      <c r="CQ91" s="12">
        <f t="shared" si="293"/>
        <v>-5600</v>
      </c>
      <c r="CR91" s="199">
        <f t="shared" si="294"/>
        <v>-0.00713333559561977</v>
      </c>
      <c r="CS91" s="201"/>
      <c r="CT91" s="201"/>
      <c r="CU91" s="318"/>
      <c r="CV91" s="195" t="str">
        <f t="shared" si="223"/>
        <v>2026//2/10</v>
      </c>
      <c r="CW91" s="200">
        <v>601090.4</v>
      </c>
      <c r="CX91" s="12">
        <f t="shared" si="295"/>
        <v>603690.4</v>
      </c>
      <c r="CY91" s="12">
        <f t="shared" si="296"/>
        <v>-2600</v>
      </c>
      <c r="CZ91" s="199">
        <f t="shared" si="297"/>
        <v>-0.00430684337534604</v>
      </c>
      <c r="DA91" s="192"/>
      <c r="DB91" s="192"/>
      <c r="DC91" s="277"/>
      <c r="DD91" s="195" t="str">
        <f t="shared" si="224"/>
        <v>2026//2/10</v>
      </c>
      <c r="DE91" s="257">
        <v>2371917.98</v>
      </c>
      <c r="DF91" s="12">
        <f t="shared" si="298"/>
        <v>2356117.98</v>
      </c>
      <c r="DG91" s="12">
        <f t="shared" si="299"/>
        <v>15800</v>
      </c>
      <c r="DH91" s="199">
        <f t="shared" si="300"/>
        <v>0.00670594602397627</v>
      </c>
      <c r="DI91" s="192"/>
      <c r="DJ91" s="192"/>
      <c r="DK91" s="318"/>
      <c r="DL91" s="195" t="str">
        <f t="shared" si="225"/>
        <v>2026//2/10</v>
      </c>
      <c r="DM91" s="200">
        <v>1371900.36</v>
      </c>
      <c r="DN91" s="12">
        <f t="shared" si="301"/>
        <v>1377500.36</v>
      </c>
      <c r="DO91" s="12">
        <f t="shared" si="302"/>
        <v>-5600</v>
      </c>
      <c r="DP91" s="199">
        <f t="shared" si="303"/>
        <v>-0.00406533469072923</v>
      </c>
      <c r="DQ91" s="192"/>
      <c r="DR91" s="192"/>
      <c r="DS91" s="318"/>
      <c r="DT91" s="195" t="str">
        <f t="shared" si="226"/>
        <v>2026//2/10</v>
      </c>
      <c r="DU91" s="200">
        <v>1824689.48</v>
      </c>
      <c r="DV91" s="12">
        <f t="shared" si="304"/>
        <v>1841489.48</v>
      </c>
      <c r="DW91" s="12">
        <f t="shared" si="305"/>
        <v>-16800</v>
      </c>
      <c r="DX91" s="199">
        <f t="shared" si="306"/>
        <v>-0.00912304967389767</v>
      </c>
      <c r="DY91" s="192"/>
      <c r="DZ91" s="192"/>
      <c r="EA91" s="318"/>
      <c r="EB91" s="195" t="str">
        <f t="shared" si="227"/>
        <v>2026//2/10</v>
      </c>
      <c r="EC91" s="200">
        <v>5134766.82</v>
      </c>
      <c r="ED91" s="12">
        <f t="shared" si="307"/>
        <v>5186516.82</v>
      </c>
      <c r="EE91" s="12">
        <f t="shared" si="308"/>
        <v>-51750</v>
      </c>
      <c r="EF91" s="199">
        <f t="shared" si="309"/>
        <v>-0.00997779469266235</v>
      </c>
      <c r="EG91" s="192"/>
      <c r="EH91" s="192"/>
      <c r="EI91" s="318"/>
      <c r="EJ91" s="195" t="str">
        <f t="shared" si="228"/>
        <v>2026//2/10</v>
      </c>
      <c r="EK91" s="257">
        <v>1607522.96</v>
      </c>
      <c r="EL91" s="12">
        <f t="shared" si="310"/>
        <v>1611122.96</v>
      </c>
      <c r="EM91" s="12">
        <f t="shared" si="311"/>
        <v>-3600</v>
      </c>
      <c r="EN91" s="199">
        <f t="shared" si="312"/>
        <v>-0.00223446632527663</v>
      </c>
      <c r="EO91" s="192"/>
      <c r="EP91" s="192"/>
      <c r="EQ91" s="318"/>
      <c r="ER91" s="195" t="str">
        <f t="shared" si="229"/>
        <v>2026//2/10</v>
      </c>
      <c r="ES91" s="8">
        <v>535547.02</v>
      </c>
      <c r="ET91" s="12">
        <f t="shared" si="313"/>
        <v>535397.02</v>
      </c>
      <c r="EU91" s="12">
        <f t="shared" si="314"/>
        <v>150</v>
      </c>
      <c r="EV91" s="199">
        <f t="shared" si="315"/>
        <v>0.000280165922477492</v>
      </c>
      <c r="EW91" s="192"/>
      <c r="EX91" s="192"/>
      <c r="EY91" s="318"/>
      <c r="EZ91" s="195" t="str">
        <f t="shared" si="230"/>
        <v>2026//2/10</v>
      </c>
      <c r="FA91" s="200">
        <v>673908</v>
      </c>
      <c r="FB91" s="12">
        <f t="shared" si="316"/>
        <v>662508</v>
      </c>
      <c r="FC91" s="12">
        <f t="shared" si="317"/>
        <v>11400</v>
      </c>
      <c r="FD91" s="199">
        <f t="shared" si="318"/>
        <v>0.0172073393830716</v>
      </c>
      <c r="FE91" s="192"/>
      <c r="FF91" s="192"/>
      <c r="FH91" s="195" t="str">
        <f t="shared" si="231"/>
        <v>2026//2/10</v>
      </c>
      <c r="FI91" s="198">
        <v>1030195.33</v>
      </c>
      <c r="FJ91" s="12">
        <f t="shared" si="319"/>
        <v>1012595.33</v>
      </c>
      <c r="FK91" s="12">
        <f t="shared" si="320"/>
        <v>17600</v>
      </c>
      <c r="FL91" s="199">
        <f t="shared" si="321"/>
        <v>0.0173810795670962</v>
      </c>
      <c r="FM91" s="201"/>
      <c r="FN91" s="201"/>
      <c r="FO91" s="318"/>
      <c r="FP91" s="195" t="str">
        <f t="shared" si="232"/>
        <v>2026//2/10</v>
      </c>
      <c r="FQ91" s="200">
        <v>2391868.73</v>
      </c>
      <c r="FR91" s="12">
        <f t="shared" si="322"/>
        <v>2342968.73</v>
      </c>
      <c r="FS91" s="12">
        <f t="shared" si="323"/>
        <v>48900</v>
      </c>
      <c r="FT91" s="199">
        <f t="shared" si="324"/>
        <v>0.0208709571638201</v>
      </c>
      <c r="FU91" s="192"/>
      <c r="FV91" s="192"/>
      <c r="FW91" s="318"/>
      <c r="FX91" s="195" t="str">
        <f t="shared" si="233"/>
        <v>2026//2/10</v>
      </c>
      <c r="FY91" s="200">
        <v>7822782.05</v>
      </c>
      <c r="FZ91" s="12">
        <f t="shared" si="325"/>
        <v>7815882.05</v>
      </c>
      <c r="GA91" s="12">
        <f t="shared" si="326"/>
        <v>6900</v>
      </c>
      <c r="GB91" s="199">
        <f t="shared" si="327"/>
        <v>0.000882817826044343</v>
      </c>
      <c r="GC91" s="192"/>
      <c r="GD91" s="192"/>
      <c r="GE91" s="318"/>
      <c r="GF91" s="195" t="str">
        <f t="shared" si="234"/>
        <v>2026//2/10</v>
      </c>
      <c r="GG91" s="200">
        <v>4703269.49</v>
      </c>
      <c r="GH91" s="12">
        <f t="shared" si="328"/>
        <v>4754969.49</v>
      </c>
      <c r="GI91" s="12">
        <f t="shared" si="329"/>
        <v>-51700</v>
      </c>
      <c r="GJ91" s="199">
        <f t="shared" si="330"/>
        <v>-0.0108728352744909</v>
      </c>
      <c r="GK91" s="192"/>
      <c r="GL91" s="192"/>
      <c r="GM91" s="318"/>
      <c r="GN91" s="195" t="str">
        <f t="shared" si="235"/>
        <v>2026//2/10</v>
      </c>
      <c r="GO91" s="257">
        <v>1844518.12</v>
      </c>
      <c r="GP91" s="12">
        <f t="shared" si="331"/>
        <v>1856158.12</v>
      </c>
      <c r="GQ91" s="12">
        <f t="shared" si="332"/>
        <v>-11640</v>
      </c>
      <c r="GR91" s="199">
        <f t="shared" si="333"/>
        <v>-0.00627101747129172</v>
      </c>
      <c r="GS91" s="192"/>
      <c r="GT91" s="192"/>
      <c r="GU91" s="318"/>
      <c r="GV91" s="195" t="str">
        <f t="shared" si="236"/>
        <v>2026//2/10</v>
      </c>
      <c r="GW91" s="200">
        <v>1021149.4</v>
      </c>
      <c r="GX91" s="12">
        <f t="shared" si="334"/>
        <v>1012349.4</v>
      </c>
      <c r="GY91" s="12">
        <f t="shared" si="335"/>
        <v>8800</v>
      </c>
      <c r="GZ91" s="199">
        <f t="shared" si="336"/>
        <v>0.00869265097603653</v>
      </c>
      <c r="HA91" s="192"/>
      <c r="HB91" s="192"/>
      <c r="HC91" s="318"/>
      <c r="HD91" s="195" t="str">
        <f t="shared" si="237"/>
        <v>2026//2/10</v>
      </c>
      <c r="HE91" s="257">
        <v>1233264.67</v>
      </c>
      <c r="HF91" s="12">
        <f t="shared" si="337"/>
        <v>1254664.67</v>
      </c>
      <c r="HG91" s="12">
        <f t="shared" si="338"/>
        <v>-21400</v>
      </c>
      <c r="HH91" s="199">
        <f t="shared" si="339"/>
        <v>-0.0170563502039154</v>
      </c>
      <c r="HI91" s="201"/>
      <c r="HJ91" s="192"/>
      <c r="HK91" s="318"/>
      <c r="HL91" s="195" t="str">
        <f t="shared" si="238"/>
        <v>2026//2/10</v>
      </c>
      <c r="HM91" s="200">
        <v>144204.25</v>
      </c>
      <c r="HN91" s="12">
        <f t="shared" si="340"/>
        <v>145254.25</v>
      </c>
      <c r="HO91" s="12">
        <f t="shared" si="341"/>
        <v>-1050</v>
      </c>
      <c r="HP91" s="199">
        <f t="shared" si="342"/>
        <v>-0.00722870415151364</v>
      </c>
      <c r="HQ91" s="192"/>
      <c r="HR91" s="192"/>
      <c r="HS91" s="318"/>
      <c r="HT91" s="195" t="str">
        <f t="shared" si="239"/>
        <v>2026//2/10</v>
      </c>
      <c r="HU91" s="257">
        <v>304868.82</v>
      </c>
      <c r="HV91" s="12">
        <f t="shared" si="343"/>
        <v>310268.82</v>
      </c>
      <c r="HW91" s="12">
        <f t="shared" si="344"/>
        <v>-5400</v>
      </c>
      <c r="HX91" s="199">
        <f t="shared" si="345"/>
        <v>-0.0174042625359519</v>
      </c>
      <c r="HY91" s="192"/>
      <c r="HZ91" s="192"/>
      <c r="IA91" s="318"/>
      <c r="IB91" s="195" t="str">
        <f t="shared" si="240"/>
        <v>2026//2/10</v>
      </c>
      <c r="IC91" s="200">
        <v>480684.79</v>
      </c>
      <c r="ID91" s="12">
        <f t="shared" si="346"/>
        <v>479159.79</v>
      </c>
      <c r="IE91" s="12">
        <f t="shared" si="347"/>
        <v>1525</v>
      </c>
      <c r="IF91" s="199">
        <f t="shared" si="348"/>
        <v>0.00318265437089368</v>
      </c>
      <c r="IG91" s="201"/>
      <c r="IH91" s="192"/>
      <c r="II91" s="318"/>
      <c r="IJ91" s="195" t="str">
        <f t="shared" si="241"/>
        <v>2026//2/10</v>
      </c>
      <c r="IK91" s="257">
        <v>395916.29</v>
      </c>
      <c r="IL91" s="12">
        <f t="shared" si="349"/>
        <v>397196.29</v>
      </c>
      <c r="IM91" s="12">
        <f t="shared" si="350"/>
        <v>-1280</v>
      </c>
      <c r="IN91" s="199">
        <f t="shared" si="351"/>
        <v>-0.00322258800554255</v>
      </c>
      <c r="IO91" s="192"/>
      <c r="IP91" s="192"/>
      <c r="IQ91" s="318"/>
      <c r="IR91" s="195" t="str">
        <f t="shared" si="242"/>
        <v>2026//2/10</v>
      </c>
      <c r="IS91" s="200">
        <v>151389</v>
      </c>
      <c r="IT91" s="12">
        <f t="shared" si="352"/>
        <v>160989</v>
      </c>
      <c r="IU91" s="12">
        <f t="shared" si="353"/>
        <v>-9600</v>
      </c>
      <c r="IV91" s="199">
        <f t="shared" si="354"/>
        <v>-0.0596314033878091</v>
      </c>
      <c r="IW91" s="192"/>
      <c r="IX91" s="192"/>
      <c r="IY91" s="318"/>
      <c r="IZ91" s="195" t="str">
        <f t="shared" si="243"/>
        <v>2026//2/10</v>
      </c>
      <c r="JA91" s="200">
        <v>4773329.15</v>
      </c>
      <c r="JB91" s="12">
        <f t="shared" si="355"/>
        <v>4778329.15</v>
      </c>
      <c r="JC91" s="12">
        <f t="shared" si="356"/>
        <v>-5000</v>
      </c>
      <c r="JD91" s="199">
        <f t="shared" si="357"/>
        <v>-0.00104639087075029</v>
      </c>
      <c r="JE91" s="192"/>
      <c r="JF91" s="192"/>
      <c r="JG91" s="318"/>
      <c r="JH91" s="195" t="str">
        <f t="shared" si="244"/>
        <v>2026//2/10</v>
      </c>
      <c r="JI91" s="200">
        <v>1574367.99</v>
      </c>
      <c r="JJ91" s="12">
        <f t="shared" si="358"/>
        <v>1589607.99</v>
      </c>
      <c r="JK91" s="12">
        <f t="shared" si="359"/>
        <v>-15240</v>
      </c>
      <c r="JL91" s="199">
        <f t="shared" si="360"/>
        <v>-0.00958726937450786</v>
      </c>
      <c r="JM91" s="192"/>
      <c r="JN91" s="192"/>
      <c r="JP91" s="195" t="str">
        <f t="shared" si="245"/>
        <v>2026//2/10</v>
      </c>
      <c r="JQ91" s="257">
        <v>1259790.41</v>
      </c>
      <c r="JR91" s="12">
        <f t="shared" si="361"/>
        <v>1255790.4</v>
      </c>
      <c r="JS91" s="12">
        <f t="shared" si="362"/>
        <v>4000.01000000001</v>
      </c>
      <c r="JT91" s="199">
        <f t="shared" si="363"/>
        <v>0.00318525288933568</v>
      </c>
      <c r="JU91" s="192"/>
      <c r="JV91" s="201"/>
      <c r="JX91" s="195" t="str">
        <f t="shared" si="246"/>
        <v>2026//2/10</v>
      </c>
      <c r="JY91" s="200">
        <v>1313248.8</v>
      </c>
      <c r="JZ91" s="12">
        <f t="shared" si="364"/>
        <v>1318998.8</v>
      </c>
      <c r="KA91" s="12">
        <f t="shared" si="365"/>
        <v>-5750</v>
      </c>
      <c r="KB91" s="199">
        <f t="shared" si="366"/>
        <v>-0.00435936711997009</v>
      </c>
      <c r="KC91" s="192"/>
      <c r="KD91" s="201"/>
      <c r="KF91" s="195" t="str">
        <f t="shared" si="247"/>
        <v>2026//2/10</v>
      </c>
      <c r="KG91" s="257">
        <v>800155.92</v>
      </c>
      <c r="KH91" s="12">
        <f t="shared" si="367"/>
        <v>800155.92</v>
      </c>
      <c r="KI91" s="12">
        <f t="shared" si="368"/>
        <v>0</v>
      </c>
      <c r="KJ91" s="199">
        <f t="shared" si="369"/>
        <v>0</v>
      </c>
      <c r="KK91" s="201"/>
      <c r="KL91" s="201"/>
      <c r="KM91" s="318"/>
      <c r="KN91" s="195" t="str">
        <f t="shared" si="248"/>
        <v>2026//2/10</v>
      </c>
      <c r="KO91" s="200">
        <v>7326675.95</v>
      </c>
      <c r="KP91" s="12">
        <f t="shared" si="370"/>
        <v>7326675.95</v>
      </c>
      <c r="KQ91" s="12">
        <f t="shared" si="371"/>
        <v>0</v>
      </c>
      <c r="KR91" s="199">
        <f t="shared" si="372"/>
        <v>0</v>
      </c>
      <c r="KS91" s="192"/>
      <c r="KT91" s="192"/>
      <c r="KU91" s="318"/>
      <c r="KV91" s="195" t="str">
        <f t="shared" si="249"/>
        <v>2026//2/10</v>
      </c>
      <c r="KW91" s="257">
        <v>1013372.97</v>
      </c>
      <c r="KX91" s="12">
        <f t="shared" si="373"/>
        <v>1021972.97</v>
      </c>
      <c r="KY91" s="12">
        <f t="shared" si="374"/>
        <v>-8600</v>
      </c>
      <c r="KZ91" s="199">
        <f t="shared" si="375"/>
        <v>-0.00841509536206227</v>
      </c>
      <c r="LA91" s="201"/>
      <c r="LB91" s="192"/>
      <c r="LC91" s="318"/>
      <c r="LD91" s="195" t="str">
        <f t="shared" si="250"/>
        <v>2026//2/10</v>
      </c>
      <c r="LE91" s="320">
        <v>452307.7</v>
      </c>
      <c r="LF91" s="12">
        <f t="shared" si="376"/>
        <v>453707.7</v>
      </c>
      <c r="LG91" s="12">
        <f t="shared" si="377"/>
        <v>-1400</v>
      </c>
      <c r="LH91" s="199">
        <f t="shared" si="378"/>
        <v>-0.00308568710647847</v>
      </c>
      <c r="LI91" s="192"/>
      <c r="LJ91" s="192"/>
      <c r="LK91" s="318"/>
      <c r="LL91" s="195" t="str">
        <f t="shared" si="251"/>
        <v>2026//2/10</v>
      </c>
      <c r="LM91" s="198">
        <v>3476455.02</v>
      </c>
      <c r="LN91" s="12">
        <f t="shared" si="379"/>
        <v>3458995.02</v>
      </c>
      <c r="LO91" s="12">
        <f t="shared" si="380"/>
        <v>17460</v>
      </c>
      <c r="LP91" s="199">
        <f t="shared" si="381"/>
        <v>0.00504770891517502</v>
      </c>
      <c r="LQ91" s="192"/>
      <c r="LR91" s="192"/>
      <c r="LS91" s="318"/>
      <c r="LT91" s="195" t="str">
        <f t="shared" si="252"/>
        <v>2026//2/10</v>
      </c>
      <c r="LU91" s="257">
        <v>2880462.9</v>
      </c>
      <c r="LV91" s="12">
        <f t="shared" si="382"/>
        <v>2873062.9</v>
      </c>
      <c r="LW91" s="12">
        <f t="shared" si="383"/>
        <v>7400</v>
      </c>
      <c r="LX91" s="199">
        <f t="shared" si="384"/>
        <v>0.00257564844821184</v>
      </c>
      <c r="LY91" s="192"/>
      <c r="LZ91" s="192"/>
      <c r="MA91" s="318"/>
      <c r="MB91" s="195" t="str">
        <f t="shared" si="253"/>
        <v>2026//2/10</v>
      </c>
      <c r="MC91" s="200">
        <v>822367.69</v>
      </c>
      <c r="MD91" s="12">
        <f t="shared" si="385"/>
        <v>829067.69</v>
      </c>
      <c r="ME91" s="12">
        <f t="shared" si="386"/>
        <v>-6700</v>
      </c>
      <c r="MF91" s="199">
        <f t="shared" si="387"/>
        <v>-0.00808136667344979</v>
      </c>
      <c r="MG91" s="192"/>
      <c r="MH91" s="192"/>
      <c r="MI91" s="192"/>
      <c r="MJ91" s="192"/>
      <c r="MK91" s="195" t="str">
        <f t="shared" si="254"/>
        <v>2026//2/10</v>
      </c>
      <c r="ML91" s="258">
        <v>256905.53</v>
      </c>
      <c r="MM91" s="12">
        <f t="shared" si="388"/>
        <v>251265.53</v>
      </c>
      <c r="MN91" s="12">
        <f t="shared" si="389"/>
        <v>5640</v>
      </c>
      <c r="MO91" s="199">
        <f t="shared" si="390"/>
        <v>0.0224463737624496</v>
      </c>
      <c r="MP91" s="192"/>
      <c r="MQ91" s="196"/>
      <c r="MR91" s="196"/>
      <c r="MS91" s="204">
        <v>1.4533</v>
      </c>
      <c r="MT91" s="295" t="str">
        <f t="shared" si="255"/>
        <v>2026//2/10</v>
      </c>
      <c r="MU91" s="204">
        <v>166915</v>
      </c>
      <c r="MV91" s="204">
        <f t="shared" si="391"/>
        <v>168415</v>
      </c>
      <c r="MW91" s="204">
        <v>-1500</v>
      </c>
      <c r="MX91" s="296">
        <v>-0.0089</v>
      </c>
      <c r="MY91" s="192"/>
      <c r="MZ91" s="192"/>
      <c r="NA91" s="192"/>
      <c r="NB91" s="204">
        <v>1.447</v>
      </c>
      <c r="NC91" s="204" t="str">
        <f t="shared" si="256"/>
        <v>2026//2/10</v>
      </c>
      <c r="ND91" s="204">
        <v>40691</v>
      </c>
      <c r="NE91" s="204">
        <f t="shared" si="392"/>
        <v>40891</v>
      </c>
      <c r="NF91" s="204">
        <v>-200</v>
      </c>
      <c r="NG91" s="296">
        <v>-0.0049</v>
      </c>
      <c r="NH91" s="192"/>
      <c r="NI91" s="192"/>
      <c r="NJ91" s="192"/>
      <c r="NK91" s="192"/>
      <c r="NL91" s="205">
        <v>1.1853</v>
      </c>
      <c r="NM91" s="204" t="str">
        <f t="shared" si="257"/>
        <v>2026//2/10</v>
      </c>
      <c r="NN91" s="205">
        <v>2541811</v>
      </c>
      <c r="NO91" s="8">
        <f t="shared" si="393"/>
        <v>2537011</v>
      </c>
      <c r="NP91" s="205">
        <v>4800</v>
      </c>
      <c r="NQ91" s="292">
        <v>0.0019</v>
      </c>
      <c r="NR91" s="293"/>
      <c r="NS91" s="205">
        <v>1.0684</v>
      </c>
      <c r="NT91" s="294"/>
      <c r="NU91" s="204" t="str">
        <f t="shared" si="258"/>
        <v>2026//2/10</v>
      </c>
      <c r="NV91" s="205">
        <v>245526</v>
      </c>
      <c r="NW91" s="205">
        <f t="shared" si="394"/>
        <v>246276</v>
      </c>
      <c r="NX91" s="205">
        <v>-750</v>
      </c>
      <c r="NY91" s="292">
        <v>-0.003</v>
      </c>
      <c r="NZ91" s="196"/>
      <c r="OA91" s="318"/>
      <c r="OB91" s="318"/>
      <c r="OC91" s="195" t="str">
        <f t="shared" si="259"/>
        <v>2026//2/10</v>
      </c>
      <c r="OD91" s="200">
        <v>12565.97</v>
      </c>
      <c r="OE91" s="12">
        <f t="shared" si="395"/>
        <v>12532.97</v>
      </c>
      <c r="OF91" s="12">
        <f t="shared" si="396"/>
        <v>33</v>
      </c>
      <c r="OG91" s="199">
        <f t="shared" si="397"/>
        <v>0.0026330550539896</v>
      </c>
      <c r="OH91" s="192"/>
      <c r="OI91" s="192"/>
      <c r="OJ91" s="318"/>
      <c r="OK91" s="195" t="str">
        <f t="shared" si="260"/>
        <v>2026//2/10</v>
      </c>
      <c r="OL91" s="200">
        <v>10972.65</v>
      </c>
      <c r="OM91" s="12">
        <f t="shared" si="398"/>
        <v>10876.65</v>
      </c>
      <c r="ON91" s="12">
        <f t="shared" si="399"/>
        <v>96</v>
      </c>
      <c r="OO91" s="199">
        <f t="shared" si="400"/>
        <v>0.00882624705217139</v>
      </c>
      <c r="OP91" s="192"/>
      <c r="OQ91" s="192"/>
      <c r="OT91" s="234" t="str">
        <f t="shared" si="211"/>
        <v>2026//2/10</v>
      </c>
      <c r="OU91" s="206">
        <v>140232.4066</v>
      </c>
      <c r="OV91" s="8">
        <f t="shared" si="401"/>
        <v>140112.4066</v>
      </c>
      <c r="OW91" s="191">
        <f t="shared" si="402"/>
        <v>120</v>
      </c>
      <c r="OX91" s="192">
        <f t="shared" si="403"/>
        <v>0.000856455205587768</v>
      </c>
    </row>
    <row r="92" s="12" customFormat="1" ht="17" customHeight="1" spans="1:414">
      <c r="A92" s="15"/>
      <c r="B92" s="15"/>
      <c r="C92" s="287" t="s">
        <v>520</v>
      </c>
      <c r="D92" s="262">
        <v>4745838.77</v>
      </c>
      <c r="E92" s="19">
        <f t="shared" si="261"/>
        <v>4746108.77</v>
      </c>
      <c r="F92" s="19">
        <f t="shared" si="262"/>
        <v>-270</v>
      </c>
      <c r="G92" s="172">
        <f t="shared" si="263"/>
        <v>-5.68887088527472e-5</v>
      </c>
      <c r="H92" s="18"/>
      <c r="I92" s="172"/>
      <c r="J92" s="172"/>
      <c r="K92" s="19" t="str">
        <f t="shared" si="212"/>
        <v>2026//2/9</v>
      </c>
      <c r="L92" s="262">
        <v>3256984.4</v>
      </c>
      <c r="M92" s="19">
        <f t="shared" si="264"/>
        <v>3256894.4</v>
      </c>
      <c r="N92" s="19">
        <f t="shared" si="265"/>
        <v>90</v>
      </c>
      <c r="O92" s="172">
        <f t="shared" si="266"/>
        <v>2.76336868643945e-5</v>
      </c>
      <c r="P92" s="18"/>
      <c r="Q92" s="172"/>
      <c r="R92" s="19"/>
      <c r="S92" s="19" t="str">
        <f t="shared" si="213"/>
        <v>2026//2/9</v>
      </c>
      <c r="T92" s="19">
        <v>2475966.68</v>
      </c>
      <c r="U92" s="19">
        <f t="shared" si="267"/>
        <v>2502246.68</v>
      </c>
      <c r="V92" s="19">
        <f t="shared" si="268"/>
        <v>-26280</v>
      </c>
      <c r="W92" s="172">
        <f t="shared" si="269"/>
        <v>-0.0105025616419241</v>
      </c>
      <c r="X92" s="18"/>
      <c r="Y92" s="172"/>
      <c r="Z92" s="19"/>
      <c r="AA92" s="19" t="str">
        <f t="shared" si="214"/>
        <v>2026//2/9</v>
      </c>
      <c r="AB92" s="19">
        <v>1156536.86</v>
      </c>
      <c r="AC92" s="19">
        <f t="shared" si="270"/>
        <v>1128256.86</v>
      </c>
      <c r="AD92" s="19">
        <f t="shared" si="271"/>
        <v>28280</v>
      </c>
      <c r="AE92" s="172">
        <f t="shared" si="272"/>
        <v>0.0250652143165343</v>
      </c>
      <c r="AF92" s="18"/>
      <c r="AG92" s="172"/>
      <c r="AH92" s="19"/>
      <c r="AI92" s="19" t="str">
        <f t="shared" si="215"/>
        <v>2026//2/9</v>
      </c>
      <c r="AJ92" s="19">
        <v>1054521.76</v>
      </c>
      <c r="AK92" s="19">
        <f t="shared" si="273"/>
        <v>1005121.76</v>
      </c>
      <c r="AL92" s="19">
        <f t="shared" si="274"/>
        <v>49400</v>
      </c>
      <c r="AM92" s="172">
        <f t="shared" si="275"/>
        <v>0.0491482743344448</v>
      </c>
      <c r="AN92" s="18"/>
      <c r="AO92" s="18"/>
      <c r="AP92" s="19"/>
      <c r="AQ92" s="19" t="str">
        <f t="shared" si="216"/>
        <v>2026//2/9</v>
      </c>
      <c r="AR92" s="21">
        <v>1911045.49</v>
      </c>
      <c r="AS92" s="19">
        <f t="shared" si="276"/>
        <v>1946245.49</v>
      </c>
      <c r="AT92" s="19">
        <f t="shared" si="277"/>
        <v>-35200</v>
      </c>
      <c r="AU92" s="172">
        <f t="shared" si="278"/>
        <v>-0.0180861048520657</v>
      </c>
      <c r="AV92" s="18"/>
      <c r="AW92" s="18"/>
      <c r="AX92" s="17"/>
      <c r="AY92" s="205">
        <v>4.9297</v>
      </c>
      <c r="AZ92" s="204" t="str">
        <f t="shared" si="217"/>
        <v>2026//2/9</v>
      </c>
      <c r="BA92" s="205">
        <v>2059222</v>
      </c>
      <c r="BB92" s="205">
        <f t="shared" si="279"/>
        <v>2060122</v>
      </c>
      <c r="BC92" s="205">
        <v>-900</v>
      </c>
      <c r="BD92" s="292">
        <v>-0.0004</v>
      </c>
      <c r="BE92" s="18"/>
      <c r="BF92" s="18"/>
      <c r="BG92" s="321"/>
      <c r="BH92" s="195" t="str">
        <f t="shared" si="218"/>
        <v>2026//2/9</v>
      </c>
      <c r="BI92" s="322">
        <v>977326.55</v>
      </c>
      <c r="BJ92" s="195">
        <f t="shared" si="280"/>
        <v>987826.55</v>
      </c>
      <c r="BK92" s="195">
        <f t="shared" si="281"/>
        <v>-10500</v>
      </c>
      <c r="BL92" s="196">
        <f t="shared" si="282"/>
        <v>-0.0106293964259211</v>
      </c>
      <c r="BM92" s="196"/>
      <c r="BN92" s="199"/>
      <c r="BO92" s="318"/>
      <c r="BP92" s="195" t="str">
        <f t="shared" si="219"/>
        <v>2026//2/9</v>
      </c>
      <c r="BQ92" s="323">
        <v>1480862.39</v>
      </c>
      <c r="BR92" s="12">
        <f t="shared" si="283"/>
        <v>1507362.39</v>
      </c>
      <c r="BS92" s="12">
        <f t="shared" si="284"/>
        <v>-26500</v>
      </c>
      <c r="BT92" s="199">
        <f t="shared" si="285"/>
        <v>-0.0175803776024954</v>
      </c>
      <c r="BU92" s="199"/>
      <c r="BV92" s="199"/>
      <c r="BW92" s="318"/>
      <c r="BX92" s="195" t="str">
        <f t="shared" si="220"/>
        <v>2026//2/9</v>
      </c>
      <c r="BY92" s="324">
        <v>3867060.7</v>
      </c>
      <c r="BZ92" s="12">
        <f t="shared" si="286"/>
        <v>3807110.7</v>
      </c>
      <c r="CA92" s="12">
        <f t="shared" si="287"/>
        <v>59950</v>
      </c>
      <c r="CB92" s="199">
        <f t="shared" si="288"/>
        <v>0.0157468497041602</v>
      </c>
      <c r="CC92" s="199"/>
      <c r="CD92" s="199"/>
      <c r="CE92" s="318"/>
      <c r="CF92" s="195" t="str">
        <f t="shared" si="221"/>
        <v>2026//2/9</v>
      </c>
      <c r="CG92" s="320">
        <v>1647953.9</v>
      </c>
      <c r="CH92" s="12">
        <f t="shared" si="289"/>
        <v>1637353.9</v>
      </c>
      <c r="CI92" s="12">
        <f t="shared" si="290"/>
        <v>10600</v>
      </c>
      <c r="CJ92" s="199">
        <f t="shared" si="291"/>
        <v>0.00647386004943708</v>
      </c>
      <c r="CK92" s="199"/>
      <c r="CL92" s="199"/>
      <c r="CM92" s="318"/>
      <c r="CN92" s="195" t="str">
        <f t="shared" si="222"/>
        <v>2026//2/9</v>
      </c>
      <c r="CO92" s="12">
        <v>785046.48</v>
      </c>
      <c r="CP92" s="12">
        <f t="shared" si="292"/>
        <v>793446.48</v>
      </c>
      <c r="CQ92" s="12">
        <f t="shared" si="293"/>
        <v>-8400</v>
      </c>
      <c r="CR92" s="199">
        <f t="shared" si="294"/>
        <v>-0.0105867253957696</v>
      </c>
      <c r="CS92" s="199"/>
      <c r="CT92" s="199"/>
      <c r="CU92" s="318"/>
      <c r="CV92" s="195" t="str">
        <f t="shared" si="223"/>
        <v>2026//2/9</v>
      </c>
      <c r="CW92" s="12">
        <v>603690.4</v>
      </c>
      <c r="CX92" s="12">
        <f t="shared" si="295"/>
        <v>608040.4</v>
      </c>
      <c r="CY92" s="12">
        <f t="shared" si="296"/>
        <v>-4350</v>
      </c>
      <c r="CZ92" s="199">
        <f t="shared" si="297"/>
        <v>-0.00715412989005336</v>
      </c>
      <c r="DA92" s="199"/>
      <c r="DB92" s="199"/>
      <c r="DC92" s="277"/>
      <c r="DD92" s="195" t="str">
        <f t="shared" si="224"/>
        <v>2026//2/9</v>
      </c>
      <c r="DE92" s="324">
        <v>2356117.98</v>
      </c>
      <c r="DF92" s="12">
        <f t="shared" si="298"/>
        <v>2330717.98</v>
      </c>
      <c r="DG92" s="12">
        <f t="shared" si="299"/>
        <v>25400</v>
      </c>
      <c r="DH92" s="199">
        <f t="shared" si="300"/>
        <v>0.0108979294011367</v>
      </c>
      <c r="DI92" s="199"/>
      <c r="DJ92" s="199"/>
      <c r="DK92" s="318"/>
      <c r="DL92" s="195" t="str">
        <f t="shared" si="225"/>
        <v>2026//2/9</v>
      </c>
      <c r="DM92" s="12">
        <v>1377500.36</v>
      </c>
      <c r="DN92" s="12">
        <f t="shared" si="301"/>
        <v>1400100.36</v>
      </c>
      <c r="DO92" s="12">
        <f t="shared" si="302"/>
        <v>-22600</v>
      </c>
      <c r="DP92" s="199">
        <f t="shared" si="303"/>
        <v>-0.0161417000135619</v>
      </c>
      <c r="DQ92" s="199"/>
      <c r="DR92" s="199"/>
      <c r="DS92" s="318"/>
      <c r="DT92" s="195" t="str">
        <f t="shared" si="226"/>
        <v>2026//2/9</v>
      </c>
      <c r="DU92" s="12">
        <v>1841489.48</v>
      </c>
      <c r="DV92" s="12">
        <f t="shared" si="304"/>
        <v>1863989.48</v>
      </c>
      <c r="DW92" s="12">
        <f t="shared" si="305"/>
        <v>-22500</v>
      </c>
      <c r="DX92" s="199">
        <f t="shared" si="306"/>
        <v>-0.0120708835760167</v>
      </c>
      <c r="DY92" s="199"/>
      <c r="DZ92" s="199"/>
      <c r="EA92" s="318"/>
      <c r="EB92" s="195" t="str">
        <f t="shared" si="227"/>
        <v>2026//2/9</v>
      </c>
      <c r="EC92" s="12">
        <v>5186516.82</v>
      </c>
      <c r="ED92" s="12">
        <f t="shared" si="307"/>
        <v>5238266.82</v>
      </c>
      <c r="EE92" s="12">
        <f t="shared" si="308"/>
        <v>-51750</v>
      </c>
      <c r="EF92" s="199">
        <f t="shared" si="309"/>
        <v>-0.00987922184536602</v>
      </c>
      <c r="EG92" s="199"/>
      <c r="EH92" s="199"/>
      <c r="EI92" s="318"/>
      <c r="EJ92" s="195" t="str">
        <f t="shared" si="228"/>
        <v>2026//2/9</v>
      </c>
      <c r="EK92" s="324">
        <v>1611122.96</v>
      </c>
      <c r="EL92" s="12">
        <f t="shared" si="310"/>
        <v>1623522.96</v>
      </c>
      <c r="EM92" s="12">
        <f t="shared" si="311"/>
        <v>-12400</v>
      </c>
      <c r="EN92" s="199">
        <f t="shared" si="312"/>
        <v>-0.00763771151102169</v>
      </c>
      <c r="EO92" s="199"/>
      <c r="EP92" s="199"/>
      <c r="EQ92" s="318"/>
      <c r="ER92" s="195" t="str">
        <f t="shared" si="229"/>
        <v>2026//2/9</v>
      </c>
      <c r="ES92" s="12">
        <v>535397.02</v>
      </c>
      <c r="ET92" s="12">
        <f t="shared" si="313"/>
        <v>539147.02</v>
      </c>
      <c r="EU92" s="12">
        <f t="shared" si="314"/>
        <v>-3750</v>
      </c>
      <c r="EV92" s="199">
        <f t="shared" si="315"/>
        <v>-0.00695543119203367</v>
      </c>
      <c r="EW92" s="199"/>
      <c r="EX92" s="199"/>
      <c r="EY92" s="318"/>
      <c r="EZ92" s="195" t="str">
        <f t="shared" si="230"/>
        <v>2026//2/9</v>
      </c>
      <c r="FA92" s="12">
        <v>662508</v>
      </c>
      <c r="FB92" s="12">
        <f t="shared" si="316"/>
        <v>662108</v>
      </c>
      <c r="FC92" s="12">
        <f t="shared" si="317"/>
        <v>400</v>
      </c>
      <c r="FD92" s="199">
        <f t="shared" si="318"/>
        <v>0.000604131048106955</v>
      </c>
      <c r="FE92" s="199"/>
      <c r="FF92" s="199"/>
      <c r="FH92" s="195" t="str">
        <f t="shared" si="231"/>
        <v>2026//2/9</v>
      </c>
      <c r="FI92" s="323">
        <v>1012595.33</v>
      </c>
      <c r="FJ92" s="12">
        <f t="shared" si="319"/>
        <v>1011795.33</v>
      </c>
      <c r="FK92" s="12">
        <f t="shared" si="320"/>
        <v>800</v>
      </c>
      <c r="FL92" s="199">
        <f t="shared" si="321"/>
        <v>0.000790673742287385</v>
      </c>
      <c r="FM92" s="199"/>
      <c r="FN92" s="199"/>
      <c r="FO92" s="318"/>
      <c r="FP92" s="195" t="str">
        <f t="shared" si="232"/>
        <v>2026//2/9</v>
      </c>
      <c r="FQ92" s="12">
        <v>2342968.73</v>
      </c>
      <c r="FR92" s="12">
        <f t="shared" si="322"/>
        <v>2337568.73</v>
      </c>
      <c r="FS92" s="12">
        <f t="shared" si="323"/>
        <v>5400</v>
      </c>
      <c r="FT92" s="199">
        <f t="shared" si="324"/>
        <v>0.00231009250367582</v>
      </c>
      <c r="FU92" s="199"/>
      <c r="FV92" s="199"/>
      <c r="FW92" s="318"/>
      <c r="FX92" s="195" t="str">
        <f t="shared" si="233"/>
        <v>2026//2/9</v>
      </c>
      <c r="FY92" s="12">
        <v>7815882.05</v>
      </c>
      <c r="FZ92" s="12">
        <f t="shared" si="325"/>
        <v>7772882.05</v>
      </c>
      <c r="GA92" s="12">
        <f t="shared" si="326"/>
        <v>43000</v>
      </c>
      <c r="GB92" s="199">
        <f t="shared" si="327"/>
        <v>0.00553205358365113</v>
      </c>
      <c r="GC92" s="199"/>
      <c r="GD92" s="199"/>
      <c r="GE92" s="318"/>
      <c r="GF92" s="195" t="str">
        <f t="shared" si="234"/>
        <v>2026//2/9</v>
      </c>
      <c r="GG92" s="12">
        <v>4754969.49</v>
      </c>
      <c r="GH92" s="12">
        <f t="shared" si="328"/>
        <v>4745769.49</v>
      </c>
      <c r="GI92" s="12">
        <f t="shared" si="329"/>
        <v>9200</v>
      </c>
      <c r="GJ92" s="199">
        <f t="shared" si="330"/>
        <v>0.00193856865981074</v>
      </c>
      <c r="GK92" s="199"/>
      <c r="GL92" s="199"/>
      <c r="GM92" s="318"/>
      <c r="GN92" s="195" t="str">
        <f t="shared" si="235"/>
        <v>2026//2/9</v>
      </c>
      <c r="GO92" s="324">
        <v>1856158.12</v>
      </c>
      <c r="GP92" s="12">
        <f t="shared" si="331"/>
        <v>1850938.12</v>
      </c>
      <c r="GQ92" s="12">
        <f t="shared" si="332"/>
        <v>5220</v>
      </c>
      <c r="GR92" s="199">
        <f t="shared" si="333"/>
        <v>0.00282019152536553</v>
      </c>
      <c r="GS92" s="199"/>
      <c r="GT92" s="199"/>
      <c r="GU92" s="318"/>
      <c r="GV92" s="195" t="str">
        <f t="shared" si="236"/>
        <v>2026//2/9</v>
      </c>
      <c r="GW92" s="12">
        <v>1012349.4</v>
      </c>
      <c r="GX92" s="12">
        <f t="shared" si="334"/>
        <v>998349.4</v>
      </c>
      <c r="GY92" s="12">
        <f t="shared" si="335"/>
        <v>14000</v>
      </c>
      <c r="GZ92" s="199">
        <f t="shared" si="336"/>
        <v>0.0140231466057875</v>
      </c>
      <c r="HA92" s="199"/>
      <c r="HB92" s="199"/>
      <c r="HC92" s="318"/>
      <c r="HD92" s="195" t="str">
        <f t="shared" si="237"/>
        <v>2026//2/9</v>
      </c>
      <c r="HE92" s="324">
        <v>1254664.67</v>
      </c>
      <c r="HF92" s="12">
        <f t="shared" si="337"/>
        <v>1249664.67</v>
      </c>
      <c r="HG92" s="12">
        <f t="shared" si="338"/>
        <v>5000</v>
      </c>
      <c r="HH92" s="199">
        <f t="shared" si="339"/>
        <v>0.00400107334393954</v>
      </c>
      <c r="HI92" s="199"/>
      <c r="HJ92" s="199"/>
      <c r="HK92" s="318"/>
      <c r="HL92" s="195" t="str">
        <f t="shared" si="238"/>
        <v>2026//2/9</v>
      </c>
      <c r="HM92" s="12">
        <v>145254.25</v>
      </c>
      <c r="HN92" s="12">
        <f t="shared" si="340"/>
        <v>145354.25</v>
      </c>
      <c r="HO92" s="12">
        <f t="shared" si="341"/>
        <v>-100</v>
      </c>
      <c r="HP92" s="199">
        <f t="shared" si="342"/>
        <v>-0.000687974379834095</v>
      </c>
      <c r="HQ92" s="199"/>
      <c r="HR92" s="199"/>
      <c r="HS92" s="318"/>
      <c r="HT92" s="195" t="str">
        <f t="shared" si="239"/>
        <v>2026//2/9</v>
      </c>
      <c r="HU92" s="324">
        <v>310268.82</v>
      </c>
      <c r="HV92" s="12">
        <f t="shared" si="343"/>
        <v>295168.82</v>
      </c>
      <c r="HW92" s="12">
        <f t="shared" si="344"/>
        <v>15100</v>
      </c>
      <c r="HX92" s="199">
        <f t="shared" si="345"/>
        <v>0.0511571649065101</v>
      </c>
      <c r="HY92" s="199"/>
      <c r="HZ92" s="199"/>
      <c r="IA92" s="318"/>
      <c r="IB92" s="195" t="str">
        <f t="shared" si="240"/>
        <v>2026//2/9</v>
      </c>
      <c r="IC92" s="12">
        <v>479159.79</v>
      </c>
      <c r="ID92" s="12">
        <f t="shared" si="346"/>
        <v>477059.79</v>
      </c>
      <c r="IE92" s="12">
        <f t="shared" si="347"/>
        <v>2100</v>
      </c>
      <c r="IF92" s="199">
        <f t="shared" si="348"/>
        <v>0.00440196395508412</v>
      </c>
      <c r="IG92" s="199"/>
      <c r="IH92" s="199"/>
      <c r="II92" s="318"/>
      <c r="IJ92" s="195" t="str">
        <f t="shared" si="241"/>
        <v>2026//2/9</v>
      </c>
      <c r="IK92" s="324">
        <v>397196.29</v>
      </c>
      <c r="IL92" s="12">
        <f t="shared" si="349"/>
        <v>397596.29</v>
      </c>
      <c r="IM92" s="12">
        <f t="shared" si="350"/>
        <v>-400</v>
      </c>
      <c r="IN92" s="199">
        <f t="shared" si="351"/>
        <v>-0.00100604560470119</v>
      </c>
      <c r="IO92" s="199"/>
      <c r="IP92" s="199"/>
      <c r="IQ92" s="318"/>
      <c r="IR92" s="195" t="str">
        <f t="shared" si="242"/>
        <v>2026//2/9</v>
      </c>
      <c r="IS92" s="12">
        <v>160989</v>
      </c>
      <c r="IT92" s="12">
        <f t="shared" si="352"/>
        <v>161389</v>
      </c>
      <c r="IU92" s="12">
        <f t="shared" si="353"/>
        <v>-400</v>
      </c>
      <c r="IV92" s="199">
        <f t="shared" si="354"/>
        <v>-0.00247848366369455</v>
      </c>
      <c r="IW92" s="199"/>
      <c r="IX92" s="199"/>
      <c r="IY92" s="318"/>
      <c r="IZ92" s="195" t="str">
        <f t="shared" si="243"/>
        <v>2026//2/9</v>
      </c>
      <c r="JA92" s="320">
        <v>4778329.15</v>
      </c>
      <c r="JB92" s="12">
        <f t="shared" si="355"/>
        <v>4790729.15</v>
      </c>
      <c r="JC92" s="12">
        <f t="shared" si="356"/>
        <v>-12400</v>
      </c>
      <c r="JD92" s="199">
        <f t="shared" si="357"/>
        <v>-0.00258833250884158</v>
      </c>
      <c r="JE92" s="199"/>
      <c r="JF92" s="199"/>
      <c r="JG92" s="318"/>
      <c r="JH92" s="195" t="str">
        <f t="shared" si="244"/>
        <v>2026//2/9</v>
      </c>
      <c r="JI92" s="320">
        <v>1589607.99</v>
      </c>
      <c r="JJ92" s="12">
        <f t="shared" si="358"/>
        <v>1608447.99</v>
      </c>
      <c r="JK92" s="12">
        <f t="shared" si="359"/>
        <v>-18840</v>
      </c>
      <c r="JL92" s="199">
        <f t="shared" si="360"/>
        <v>-0.0117131546168304</v>
      </c>
      <c r="JM92" s="199"/>
      <c r="JN92" s="199"/>
      <c r="JP92" s="195" t="str">
        <f t="shared" si="245"/>
        <v>2026//2/9</v>
      </c>
      <c r="JQ92" s="319">
        <v>1255790.4</v>
      </c>
      <c r="JR92" s="12">
        <f t="shared" si="361"/>
        <v>1263090.41</v>
      </c>
      <c r="JS92" s="12">
        <f t="shared" si="362"/>
        <v>-7300.01000000001</v>
      </c>
      <c r="JT92" s="199">
        <f t="shared" si="363"/>
        <v>-0.00577948335463968</v>
      </c>
      <c r="JU92" s="199"/>
      <c r="JV92" s="199"/>
      <c r="JX92" s="195" t="str">
        <f t="shared" si="246"/>
        <v>2026//2/9</v>
      </c>
      <c r="JY92" s="12">
        <v>1318998.8</v>
      </c>
      <c r="JZ92" s="12">
        <f t="shared" si="364"/>
        <v>1323848.8</v>
      </c>
      <c r="KA92" s="12">
        <f t="shared" si="365"/>
        <v>-4850</v>
      </c>
      <c r="KB92" s="199">
        <f t="shared" si="366"/>
        <v>-0.00366356037033836</v>
      </c>
      <c r="KC92" s="199"/>
      <c r="KD92" s="199"/>
      <c r="KF92" s="195" t="str">
        <f t="shared" si="247"/>
        <v>2026//2/9</v>
      </c>
      <c r="KG92" s="324">
        <v>800155.92</v>
      </c>
      <c r="KH92" s="12">
        <f t="shared" si="367"/>
        <v>801555.92</v>
      </c>
      <c r="KI92" s="12">
        <f t="shared" si="368"/>
        <v>-1400</v>
      </c>
      <c r="KJ92" s="199">
        <f t="shared" si="369"/>
        <v>-0.00174660303176352</v>
      </c>
      <c r="KK92" s="199"/>
      <c r="KL92" s="199"/>
      <c r="KM92" s="318"/>
      <c r="KN92" s="195" t="str">
        <f t="shared" si="248"/>
        <v>2026//2/9</v>
      </c>
      <c r="KO92" s="12">
        <v>7326675.95</v>
      </c>
      <c r="KP92" s="12">
        <f t="shared" si="370"/>
        <v>7337275.95</v>
      </c>
      <c r="KQ92" s="12">
        <f t="shared" si="371"/>
        <v>-10600</v>
      </c>
      <c r="KR92" s="199">
        <f t="shared" si="372"/>
        <v>-0.00144467784396197</v>
      </c>
      <c r="KS92" s="199"/>
      <c r="KT92" s="199"/>
      <c r="KU92" s="318"/>
      <c r="KV92" s="195" t="str">
        <f t="shared" si="249"/>
        <v>2026//2/9</v>
      </c>
      <c r="KW92" s="324">
        <v>1021972.97</v>
      </c>
      <c r="KX92" s="12">
        <f t="shared" si="373"/>
        <v>1024372.97</v>
      </c>
      <c r="KY92" s="12">
        <f t="shared" si="374"/>
        <v>-2400</v>
      </c>
      <c r="KZ92" s="199">
        <f t="shared" si="375"/>
        <v>-0.00234289665023082</v>
      </c>
      <c r="LA92" s="199"/>
      <c r="LB92" s="199"/>
      <c r="LC92" s="318"/>
      <c r="LD92" s="195" t="str">
        <f t="shared" si="250"/>
        <v>2026//2/9</v>
      </c>
      <c r="LE92" s="12">
        <v>453707.7</v>
      </c>
      <c r="LF92" s="12">
        <f t="shared" si="376"/>
        <v>455357.7</v>
      </c>
      <c r="LG92" s="12">
        <f t="shared" si="377"/>
        <v>-1650</v>
      </c>
      <c r="LH92" s="199">
        <f t="shared" si="378"/>
        <v>-0.00362352497827532</v>
      </c>
      <c r="LI92" s="199"/>
      <c r="LJ92" s="199"/>
      <c r="LK92" s="318"/>
      <c r="LL92" s="195" t="str">
        <f t="shared" si="251"/>
        <v>2026//2/9</v>
      </c>
      <c r="LM92" s="323">
        <v>3458995.02</v>
      </c>
      <c r="LN92" s="12">
        <f t="shared" si="379"/>
        <v>3477535.02</v>
      </c>
      <c r="LO92" s="12">
        <f t="shared" si="380"/>
        <v>-18540</v>
      </c>
      <c r="LP92" s="199">
        <f t="shared" si="381"/>
        <v>-0.0053313625580685</v>
      </c>
      <c r="LQ92" s="199"/>
      <c r="LR92" s="199"/>
      <c r="LS92" s="318"/>
      <c r="LT92" s="195" t="str">
        <f t="shared" si="252"/>
        <v>2026//2/9</v>
      </c>
      <c r="LU92" s="324">
        <v>2873062.9</v>
      </c>
      <c r="LV92" s="12">
        <f t="shared" si="382"/>
        <v>2879262.9</v>
      </c>
      <c r="LW92" s="12">
        <f t="shared" si="383"/>
        <v>-6200</v>
      </c>
      <c r="LX92" s="199">
        <f t="shared" si="384"/>
        <v>-0.00215332889539194</v>
      </c>
      <c r="LY92" s="199"/>
      <c r="LZ92" s="199"/>
      <c r="MA92" s="318"/>
      <c r="MB92" s="195" t="str">
        <f t="shared" si="253"/>
        <v>2026//2/9</v>
      </c>
      <c r="MC92" s="12">
        <v>829067.69</v>
      </c>
      <c r="MD92" s="12">
        <f t="shared" si="385"/>
        <v>828317.69</v>
      </c>
      <c r="ME92" s="12">
        <f t="shared" si="386"/>
        <v>750</v>
      </c>
      <c r="MF92" s="199">
        <f t="shared" si="387"/>
        <v>0.00090544969527332</v>
      </c>
      <c r="MG92" s="199"/>
      <c r="MH92" s="199"/>
      <c r="MI92" s="199"/>
      <c r="MJ92" s="199"/>
      <c r="MK92" s="195" t="str">
        <f t="shared" si="254"/>
        <v>2026//2/9</v>
      </c>
      <c r="ML92" s="324">
        <v>251265.53</v>
      </c>
      <c r="MM92" s="12">
        <f t="shared" si="388"/>
        <v>253185.53</v>
      </c>
      <c r="MN92" s="12">
        <f t="shared" si="389"/>
        <v>-1920</v>
      </c>
      <c r="MO92" s="199">
        <f t="shared" si="390"/>
        <v>-0.00758337176694103</v>
      </c>
      <c r="MP92" s="199"/>
      <c r="MQ92" s="196"/>
      <c r="MR92" s="196"/>
      <c r="MS92" s="204">
        <v>1.447</v>
      </c>
      <c r="MT92" s="295" t="str">
        <f t="shared" si="255"/>
        <v>2026//2/9</v>
      </c>
      <c r="MU92" s="204">
        <v>168415</v>
      </c>
      <c r="MV92" s="204">
        <f t="shared" si="391"/>
        <v>164215</v>
      </c>
      <c r="MW92" s="204">
        <v>4200</v>
      </c>
      <c r="MX92" s="296">
        <v>0.0256</v>
      </c>
      <c r="MY92" s="199"/>
      <c r="MZ92" s="199"/>
      <c r="NA92" s="199"/>
      <c r="NB92" s="204">
        <v>1.438</v>
      </c>
      <c r="NC92" s="204" t="str">
        <f t="shared" si="256"/>
        <v>2026//2/9</v>
      </c>
      <c r="ND92" s="204">
        <v>40891</v>
      </c>
      <c r="NE92" s="204">
        <f t="shared" si="392"/>
        <v>41291</v>
      </c>
      <c r="NF92" s="204">
        <v>-400</v>
      </c>
      <c r="NG92" s="296">
        <v>-0.0097</v>
      </c>
      <c r="NH92" s="199"/>
      <c r="NI92" s="199"/>
      <c r="NJ92" s="199"/>
      <c r="NK92" s="199"/>
      <c r="NL92" s="205">
        <v>1.182</v>
      </c>
      <c r="NM92" s="204" t="str">
        <f t="shared" si="257"/>
        <v>2026//2/9</v>
      </c>
      <c r="NN92" s="205">
        <v>2537011</v>
      </c>
      <c r="NO92" s="8">
        <f t="shared" si="393"/>
        <v>2530811</v>
      </c>
      <c r="NP92" s="205">
        <v>6200</v>
      </c>
      <c r="NQ92" s="292">
        <v>0.0024</v>
      </c>
      <c r="NR92" s="293"/>
      <c r="NS92" s="205">
        <v>1.0757</v>
      </c>
      <c r="NT92" s="294"/>
      <c r="NU92" s="204" t="str">
        <f t="shared" si="258"/>
        <v>2026//2/9</v>
      </c>
      <c r="NV92" s="205">
        <v>246276</v>
      </c>
      <c r="NW92" s="205">
        <f t="shared" si="394"/>
        <v>246926</v>
      </c>
      <c r="NX92" s="205">
        <v>-650</v>
      </c>
      <c r="NY92" s="292">
        <v>-0.0026</v>
      </c>
      <c r="NZ92" s="196"/>
      <c r="OA92" s="318"/>
      <c r="OB92" s="318"/>
      <c r="OC92" s="195" t="str">
        <f t="shared" si="259"/>
        <v>2026//2/9</v>
      </c>
      <c r="OD92" s="12">
        <v>12532.97</v>
      </c>
      <c r="OE92" s="12">
        <f t="shared" si="395"/>
        <v>12495.97</v>
      </c>
      <c r="OF92" s="12">
        <f t="shared" si="396"/>
        <v>37</v>
      </c>
      <c r="OG92" s="199">
        <f t="shared" si="397"/>
        <v>0.00296095461176683</v>
      </c>
      <c r="OH92" s="199"/>
      <c r="OI92" s="199"/>
      <c r="OJ92" s="318"/>
      <c r="OK92" s="195" t="str">
        <f t="shared" si="260"/>
        <v>2026//2/9</v>
      </c>
      <c r="OL92" s="12">
        <v>10876.65</v>
      </c>
      <c r="OM92" s="12">
        <f t="shared" si="398"/>
        <v>10876.65</v>
      </c>
      <c r="ON92" s="12">
        <f t="shared" si="399"/>
        <v>0</v>
      </c>
      <c r="OO92" s="199">
        <f t="shared" si="400"/>
        <v>0</v>
      </c>
      <c r="OP92" s="199"/>
      <c r="OQ92" s="199"/>
      <c r="OT92" s="234" t="str">
        <f t="shared" si="211"/>
        <v>2026//2/9</v>
      </c>
      <c r="OU92" s="206">
        <v>140112.4066</v>
      </c>
      <c r="OV92" s="8">
        <f t="shared" si="401"/>
        <v>139992.4066</v>
      </c>
      <c r="OW92" s="191">
        <f t="shared" si="402"/>
        <v>120</v>
      </c>
      <c r="OX92" s="192">
        <f t="shared" si="403"/>
        <v>0.000857189349868638</v>
      </c>
    </row>
    <row r="93" s="13" customFormat="1" ht="17" customHeight="1" spans="1:414">
      <c r="A93" s="212"/>
      <c r="B93" s="212"/>
      <c r="C93" s="284" t="s">
        <v>521</v>
      </c>
      <c r="D93" s="214">
        <v>4746108.77</v>
      </c>
      <c r="E93" s="214">
        <f t="shared" si="261"/>
        <v>4722798.77</v>
      </c>
      <c r="F93" s="214">
        <f t="shared" si="262"/>
        <v>23310</v>
      </c>
      <c r="G93" s="215">
        <f t="shared" si="263"/>
        <v>0.00493563269052854</v>
      </c>
      <c r="H93" s="216">
        <f>(D93-D98)/D98</f>
        <v>-0.0251952298091375</v>
      </c>
      <c r="I93" s="215"/>
      <c r="J93" s="215"/>
      <c r="K93" s="214" t="str">
        <f t="shared" si="212"/>
        <v>2026//2//6</v>
      </c>
      <c r="L93" s="264">
        <v>3256894.4</v>
      </c>
      <c r="M93" s="214">
        <f t="shared" si="264"/>
        <v>3251404.4</v>
      </c>
      <c r="N93" s="214">
        <f t="shared" si="265"/>
        <v>5490</v>
      </c>
      <c r="O93" s="215">
        <f t="shared" si="266"/>
        <v>0.00168850112892755</v>
      </c>
      <c r="P93" s="216">
        <f>(L93-L98)/L98</f>
        <v>0.00288218655974822</v>
      </c>
      <c r="Q93" s="215"/>
      <c r="R93" s="214"/>
      <c r="S93" s="214" t="str">
        <f t="shared" si="213"/>
        <v>2026//2//6</v>
      </c>
      <c r="T93" s="264">
        <v>2502246.68</v>
      </c>
      <c r="U93" s="214">
        <f t="shared" si="267"/>
        <v>2512866.68</v>
      </c>
      <c r="V93" s="214">
        <f t="shared" si="268"/>
        <v>-10620</v>
      </c>
      <c r="W93" s="215">
        <f t="shared" si="269"/>
        <v>-0.00422624888320776</v>
      </c>
      <c r="X93" s="216">
        <f>(T93-T98)/T98</f>
        <v>-0.0208834135485452</v>
      </c>
      <c r="Y93" s="215"/>
      <c r="Z93" s="214"/>
      <c r="AA93" s="214" t="str">
        <f t="shared" si="214"/>
        <v>2026//2//6</v>
      </c>
      <c r="AB93" s="264">
        <v>1128256.86</v>
      </c>
      <c r="AC93" s="214">
        <f t="shared" si="270"/>
        <v>1100816.86</v>
      </c>
      <c r="AD93" s="214">
        <f t="shared" si="271"/>
        <v>27440</v>
      </c>
      <c r="AE93" s="215">
        <f t="shared" si="272"/>
        <v>0.0249269437969909</v>
      </c>
      <c r="AF93" s="216">
        <f>(AB93-AB98)/AB98</f>
        <v>-0.105024613914368</v>
      </c>
      <c r="AG93" s="215"/>
      <c r="AH93" s="214"/>
      <c r="AI93" s="214" t="str">
        <f t="shared" si="215"/>
        <v>2026//2//6</v>
      </c>
      <c r="AJ93" s="264">
        <v>1005121.76</v>
      </c>
      <c r="AK93" s="214">
        <f t="shared" si="273"/>
        <v>988721.76</v>
      </c>
      <c r="AL93" s="214">
        <f t="shared" si="274"/>
        <v>16400</v>
      </c>
      <c r="AM93" s="215">
        <f t="shared" si="275"/>
        <v>0.0165870729900796</v>
      </c>
      <c r="AN93" s="216">
        <f>(AJ93-AJ98)/AJ98</f>
        <v>-0.0616176446644124</v>
      </c>
      <c r="AO93" s="216"/>
      <c r="AP93" s="214"/>
      <c r="AQ93" s="214" t="str">
        <f t="shared" si="216"/>
        <v>2026//2//6</v>
      </c>
      <c r="AR93" s="325">
        <v>1946245.49</v>
      </c>
      <c r="AS93" s="214">
        <f t="shared" si="276"/>
        <v>1942245.49</v>
      </c>
      <c r="AT93" s="214">
        <f t="shared" si="277"/>
        <v>4000</v>
      </c>
      <c r="AU93" s="215">
        <f t="shared" si="278"/>
        <v>0.00205947189507955</v>
      </c>
      <c r="AV93" s="216">
        <f>(AR93-AR98)/AR98</f>
        <v>0.0284288241242816</v>
      </c>
      <c r="AW93" s="216"/>
      <c r="AX93" s="217"/>
      <c r="AY93" s="232">
        <v>4.8506</v>
      </c>
      <c r="AZ93" s="231" t="str">
        <f t="shared" si="217"/>
        <v>2026//2//6</v>
      </c>
      <c r="BA93" s="232">
        <v>2060122</v>
      </c>
      <c r="BB93" s="232">
        <f t="shared" si="279"/>
        <v>2055982</v>
      </c>
      <c r="BC93" s="232">
        <v>4140</v>
      </c>
      <c r="BD93" s="314">
        <v>0.002</v>
      </c>
      <c r="BE93" s="216">
        <f>(BA93-BA98)/BA98</f>
        <v>-0.00827511707437304</v>
      </c>
      <c r="BF93" s="216"/>
      <c r="BG93" s="326"/>
      <c r="BH93" s="221" t="str">
        <f t="shared" si="218"/>
        <v>2026//2//6</v>
      </c>
      <c r="BI93" s="327">
        <v>987826.55</v>
      </c>
      <c r="BJ93" s="221">
        <f t="shared" si="280"/>
        <v>984526.55</v>
      </c>
      <c r="BK93" s="221">
        <f t="shared" si="281"/>
        <v>3300</v>
      </c>
      <c r="BL93" s="222">
        <f t="shared" si="282"/>
        <v>0.00335186491415595</v>
      </c>
      <c r="BM93" s="222">
        <f>(BI93-BI98)/BI98</f>
        <v>0.0117788459199435</v>
      </c>
      <c r="BN93" s="226"/>
      <c r="BO93" s="328"/>
      <c r="BP93" s="13" t="str">
        <f t="shared" si="219"/>
        <v>2026//2//6</v>
      </c>
      <c r="BQ93" s="329">
        <v>1507362.39</v>
      </c>
      <c r="BR93" s="13">
        <f t="shared" si="283"/>
        <v>1506262.39</v>
      </c>
      <c r="BS93" s="13">
        <f t="shared" si="284"/>
        <v>1100</v>
      </c>
      <c r="BT93" s="226">
        <f t="shared" si="285"/>
        <v>0.00073028444931165</v>
      </c>
      <c r="BU93" s="226">
        <f>(BQ93-BQ98)/BQ98</f>
        <v>-0.0654116561053916</v>
      </c>
      <c r="BV93" s="226"/>
      <c r="BW93" s="328"/>
      <c r="BX93" s="13" t="str">
        <f t="shared" si="220"/>
        <v>2026//2//6</v>
      </c>
      <c r="BY93" s="330">
        <v>3807110.7</v>
      </c>
      <c r="BZ93" s="13">
        <f t="shared" si="286"/>
        <v>3759910.7</v>
      </c>
      <c r="CA93" s="13">
        <f t="shared" si="287"/>
        <v>47200</v>
      </c>
      <c r="CB93" s="226">
        <f t="shared" si="288"/>
        <v>0.0125534896347405</v>
      </c>
      <c r="CC93" s="226">
        <f>(BY93-BY98)/BY98</f>
        <v>0.0411583327697422</v>
      </c>
      <c r="CD93" s="226"/>
      <c r="CE93" s="328"/>
      <c r="CF93" s="13" t="str">
        <f t="shared" si="221"/>
        <v>2026//2//6</v>
      </c>
      <c r="CG93" s="13">
        <v>1637353.9</v>
      </c>
      <c r="CH93" s="13">
        <f t="shared" si="289"/>
        <v>1648253.9</v>
      </c>
      <c r="CI93" s="13">
        <f t="shared" si="290"/>
        <v>-10900</v>
      </c>
      <c r="CJ93" s="226">
        <f t="shared" si="291"/>
        <v>-0.00661305882546372</v>
      </c>
      <c r="CK93" s="226">
        <f>(CG93-CG98)/CG98</f>
        <v>-0.132965914603475</v>
      </c>
      <c r="CL93" s="226"/>
      <c r="CM93" s="328"/>
      <c r="CN93" s="13" t="str">
        <f t="shared" si="222"/>
        <v>2026//2//6</v>
      </c>
      <c r="CO93" s="13">
        <v>793446.48</v>
      </c>
      <c r="CP93" s="13">
        <f t="shared" si="292"/>
        <v>795046.48</v>
      </c>
      <c r="CQ93" s="13">
        <f t="shared" si="293"/>
        <v>-1600</v>
      </c>
      <c r="CR93" s="226">
        <f t="shared" si="294"/>
        <v>-0.00201246095699965</v>
      </c>
      <c r="CS93" s="226">
        <f>(CO93-CO98)/CO98</f>
        <v>-0.217775685483722</v>
      </c>
      <c r="CT93" s="226"/>
      <c r="CU93" s="328"/>
      <c r="CV93" s="13" t="str">
        <f t="shared" si="223"/>
        <v>2026//2//6</v>
      </c>
      <c r="CW93" s="13">
        <v>608040.4</v>
      </c>
      <c r="CX93" s="13">
        <f t="shared" si="295"/>
        <v>630740.4</v>
      </c>
      <c r="CY93" s="13">
        <f t="shared" si="296"/>
        <v>-22700</v>
      </c>
      <c r="CZ93" s="226">
        <f t="shared" si="297"/>
        <v>-0.0359894498592448</v>
      </c>
      <c r="DA93" s="226">
        <f>(CW93-CW98)/CW98</f>
        <v>-0.165914393385702</v>
      </c>
      <c r="DB93" s="226"/>
      <c r="DC93" s="276"/>
      <c r="DD93" s="13" t="str">
        <f t="shared" si="224"/>
        <v>2026//2//6</v>
      </c>
      <c r="DE93" s="330">
        <v>2330717.98</v>
      </c>
      <c r="DF93" s="13">
        <f t="shared" si="298"/>
        <v>2317117.98</v>
      </c>
      <c r="DG93" s="13">
        <f t="shared" si="299"/>
        <v>13600</v>
      </c>
      <c r="DH93" s="226">
        <f t="shared" si="300"/>
        <v>0.00586936017819861</v>
      </c>
      <c r="DI93" s="226">
        <f>(DE93-DE98)/DE98</f>
        <v>0.0329740757550494</v>
      </c>
      <c r="DJ93" s="226"/>
      <c r="DK93" s="328"/>
      <c r="DL93" s="13" t="str">
        <f t="shared" si="225"/>
        <v>2026//2//6</v>
      </c>
      <c r="DM93" s="13">
        <v>1400100.36</v>
      </c>
      <c r="DN93" s="13">
        <f t="shared" si="301"/>
        <v>1393900.36</v>
      </c>
      <c r="DO93" s="13">
        <f t="shared" si="302"/>
        <v>6200</v>
      </c>
      <c r="DP93" s="226">
        <f t="shared" si="303"/>
        <v>0.00444795064117782</v>
      </c>
      <c r="DQ93" s="226">
        <f>(DM93-DM98)/DM98</f>
        <v>0.0554843422733786</v>
      </c>
      <c r="DR93" s="226"/>
      <c r="DS93" s="328"/>
      <c r="DT93" s="13" t="str">
        <f t="shared" si="226"/>
        <v>2026//2//6</v>
      </c>
      <c r="DU93" s="13">
        <v>1863989.48</v>
      </c>
      <c r="DV93" s="13">
        <f t="shared" si="304"/>
        <v>1855589.48</v>
      </c>
      <c r="DW93" s="13">
        <f t="shared" si="305"/>
        <v>8400</v>
      </c>
      <c r="DX93" s="226">
        <f t="shared" si="306"/>
        <v>0.00452686334479542</v>
      </c>
      <c r="DY93" s="226">
        <f>(DU93-DU98)/DU98</f>
        <v>0.0170232317134426</v>
      </c>
      <c r="DZ93" s="226"/>
      <c r="EA93" s="328"/>
      <c r="EB93" s="13" t="str">
        <f t="shared" si="227"/>
        <v>2026//2//6</v>
      </c>
      <c r="EC93" s="13">
        <v>5238266.82</v>
      </c>
      <c r="ED93" s="13">
        <f t="shared" si="307"/>
        <v>5211266.82</v>
      </c>
      <c r="EE93" s="13">
        <f t="shared" si="308"/>
        <v>27000</v>
      </c>
      <c r="EF93" s="226">
        <f t="shared" si="309"/>
        <v>0.00518108186216418</v>
      </c>
      <c r="EG93" s="226">
        <f>(EC93-EC98)/EC98</f>
        <v>0.0394692442730335</v>
      </c>
      <c r="EH93" s="226"/>
      <c r="EI93" s="328"/>
      <c r="EJ93" s="13" t="str">
        <f t="shared" si="228"/>
        <v>2026//2//6</v>
      </c>
      <c r="EK93" s="330">
        <v>1623522.96</v>
      </c>
      <c r="EL93" s="13">
        <f t="shared" si="310"/>
        <v>1617322.96</v>
      </c>
      <c r="EM93" s="13">
        <f t="shared" si="311"/>
        <v>6200</v>
      </c>
      <c r="EN93" s="226">
        <f t="shared" si="312"/>
        <v>0.00383349532118186</v>
      </c>
      <c r="EO93" s="226">
        <f>(EK93-EK98)/EK98</f>
        <v>0.0387735042295367</v>
      </c>
      <c r="EP93" s="226"/>
      <c r="EQ93" s="328"/>
      <c r="ER93" s="13" t="str">
        <f t="shared" si="229"/>
        <v>2026//2//6</v>
      </c>
      <c r="ES93" s="13">
        <v>539147.02</v>
      </c>
      <c r="ET93" s="13">
        <f t="shared" si="313"/>
        <v>537947.02</v>
      </c>
      <c r="EU93" s="13">
        <f t="shared" si="314"/>
        <v>1200</v>
      </c>
      <c r="EV93" s="226">
        <f t="shared" si="315"/>
        <v>0.00223070294171348</v>
      </c>
      <c r="EW93" s="226">
        <f>(ES93-ES98)/ES98</f>
        <v>0.0321625662634226</v>
      </c>
      <c r="EX93" s="226"/>
      <c r="EY93" s="328"/>
      <c r="EZ93" s="13" t="str">
        <f t="shared" si="230"/>
        <v>2026//2//6</v>
      </c>
      <c r="FA93" s="13">
        <v>662108</v>
      </c>
      <c r="FB93" s="13">
        <f t="shared" si="316"/>
        <v>656308</v>
      </c>
      <c r="FC93" s="13">
        <f t="shared" si="317"/>
        <v>5800</v>
      </c>
      <c r="FD93" s="226">
        <f t="shared" si="318"/>
        <v>0.00883731418785083</v>
      </c>
      <c r="FE93" s="226">
        <f>(FA93-FA98)/FA98</f>
        <v>-0.0186747452231187</v>
      </c>
      <c r="FF93" s="226"/>
      <c r="FH93" s="13" t="str">
        <f t="shared" si="231"/>
        <v>2026//2//6</v>
      </c>
      <c r="FI93" s="329">
        <v>1011795.33</v>
      </c>
      <c r="FJ93" s="13">
        <f t="shared" si="319"/>
        <v>992695.33</v>
      </c>
      <c r="FK93" s="13">
        <f t="shared" si="320"/>
        <v>19100</v>
      </c>
      <c r="FL93" s="226">
        <f t="shared" si="321"/>
        <v>0.0192405458379662</v>
      </c>
      <c r="FM93" s="226">
        <f>(FI93-FI98)/FI98</f>
        <v>0.105793288487915</v>
      </c>
      <c r="FN93" s="226"/>
      <c r="FO93" s="328"/>
      <c r="FP93" s="13" t="str">
        <f t="shared" si="232"/>
        <v>2026//2//6</v>
      </c>
      <c r="FQ93" s="13">
        <v>2337568.73</v>
      </c>
      <c r="FR93" s="13">
        <f t="shared" si="322"/>
        <v>2354068.73</v>
      </c>
      <c r="FS93" s="13">
        <f t="shared" si="323"/>
        <v>-16500</v>
      </c>
      <c r="FT93" s="226">
        <f t="shared" si="324"/>
        <v>-0.00700914114771832</v>
      </c>
      <c r="FU93" s="226">
        <f>(FQ93-FQ98)/FQ98</f>
        <v>0.00945731127958013</v>
      </c>
      <c r="FV93" s="226"/>
      <c r="FW93" s="328"/>
      <c r="FX93" s="13" t="str">
        <f t="shared" si="233"/>
        <v>2026//2//6</v>
      </c>
      <c r="FY93" s="13">
        <v>7772882.05</v>
      </c>
      <c r="FZ93" s="13">
        <f t="shared" si="325"/>
        <v>7754782.05</v>
      </c>
      <c r="GA93" s="13">
        <f t="shared" si="326"/>
        <v>18100</v>
      </c>
      <c r="GB93" s="226">
        <f t="shared" si="327"/>
        <v>0.00233404367566978</v>
      </c>
      <c r="GC93" s="226">
        <f>(FY93-FY98)/FY98</f>
        <v>0.0157732786819937</v>
      </c>
      <c r="GD93" s="226"/>
      <c r="GE93" s="328"/>
      <c r="GF93" s="13" t="str">
        <f t="shared" si="234"/>
        <v>2026//2//6</v>
      </c>
      <c r="GG93" s="13">
        <v>4745769.49</v>
      </c>
      <c r="GH93" s="13">
        <f t="shared" si="328"/>
        <v>4742469.49</v>
      </c>
      <c r="GI93" s="13">
        <f t="shared" si="329"/>
        <v>3300</v>
      </c>
      <c r="GJ93" s="226">
        <f t="shared" si="330"/>
        <v>0.00069584000634235</v>
      </c>
      <c r="GK93" s="226">
        <f>(GG93-GG98)/GG98</f>
        <v>0.00109691462406978</v>
      </c>
      <c r="GL93" s="226"/>
      <c r="GM93" s="328"/>
      <c r="GN93" s="13" t="str">
        <f t="shared" si="235"/>
        <v>2026//2//6</v>
      </c>
      <c r="GO93" s="330">
        <v>1850938.12</v>
      </c>
      <c r="GP93" s="13">
        <f t="shared" si="331"/>
        <v>1849258.12</v>
      </c>
      <c r="GQ93" s="13">
        <f t="shared" si="332"/>
        <v>1680</v>
      </c>
      <c r="GR93" s="226">
        <f t="shared" si="333"/>
        <v>0.000908472420280626</v>
      </c>
      <c r="GS93" s="226">
        <f>(GO93-GO98)/GO98</f>
        <v>0.00387244130610134</v>
      </c>
      <c r="GT93" s="226"/>
      <c r="GU93" s="328"/>
      <c r="GV93" s="13" t="str">
        <f t="shared" si="236"/>
        <v>2026//2//6</v>
      </c>
      <c r="GW93" s="13">
        <v>998349.4</v>
      </c>
      <c r="GX93" s="13">
        <f t="shared" si="334"/>
        <v>1021149.4</v>
      </c>
      <c r="GY93" s="13">
        <f t="shared" si="335"/>
        <v>-22800</v>
      </c>
      <c r="GZ93" s="226">
        <f t="shared" si="336"/>
        <v>-0.0223277808320702</v>
      </c>
      <c r="HA93" s="226">
        <f>(GW93-GW98)/GW98</f>
        <v>0.0078744179745099</v>
      </c>
      <c r="HB93" s="226"/>
      <c r="HC93" s="328"/>
      <c r="HD93" s="13" t="str">
        <f t="shared" si="237"/>
        <v>2026//2//6</v>
      </c>
      <c r="HE93" s="330">
        <v>1249664.67</v>
      </c>
      <c r="HF93" s="13">
        <f t="shared" si="337"/>
        <v>1247664.67</v>
      </c>
      <c r="HG93" s="13">
        <f t="shared" si="338"/>
        <v>2000</v>
      </c>
      <c r="HH93" s="226">
        <f t="shared" si="339"/>
        <v>0.00160299481750974</v>
      </c>
      <c r="HI93" s="226">
        <f>(HE93-HE98)/HE98</f>
        <v>-0.00103919801348187</v>
      </c>
      <c r="HJ93" s="226"/>
      <c r="HK93" s="328"/>
      <c r="HL93" s="13" t="str">
        <f t="shared" si="238"/>
        <v>2026//2//6</v>
      </c>
      <c r="HM93" s="13">
        <v>145354.25</v>
      </c>
      <c r="HN93" s="13">
        <f t="shared" si="340"/>
        <v>145304.25</v>
      </c>
      <c r="HO93" s="13">
        <f t="shared" si="341"/>
        <v>50</v>
      </c>
      <c r="HP93" s="226">
        <f t="shared" si="342"/>
        <v>0.000344105557820917</v>
      </c>
      <c r="HQ93" s="226">
        <f>(HM93-HM98)/HM98</f>
        <v>-0.00205967213452405</v>
      </c>
      <c r="HR93" s="226"/>
      <c r="HS93" s="328"/>
      <c r="HT93" s="13" t="str">
        <f t="shared" si="239"/>
        <v>2026//2//6</v>
      </c>
      <c r="HU93" s="330">
        <v>295168.82</v>
      </c>
      <c r="HV93" s="13">
        <f t="shared" si="343"/>
        <v>281768.82</v>
      </c>
      <c r="HW93" s="13">
        <f t="shared" si="344"/>
        <v>13400</v>
      </c>
      <c r="HX93" s="226">
        <f t="shared" si="345"/>
        <v>0.0475567168858499</v>
      </c>
      <c r="HY93" s="226">
        <f>(HU93-HU98)/HU98</f>
        <v>0.254069336796607</v>
      </c>
      <c r="HZ93" s="226"/>
      <c r="IA93" s="328"/>
      <c r="IB93" s="13" t="str">
        <f t="shared" si="240"/>
        <v>2026//2//6</v>
      </c>
      <c r="IC93" s="13">
        <v>477059.79</v>
      </c>
      <c r="ID93" s="13">
        <f t="shared" si="346"/>
        <v>472334.79</v>
      </c>
      <c r="IE93" s="13">
        <f t="shared" si="347"/>
        <v>4725</v>
      </c>
      <c r="IF93" s="226">
        <f t="shared" si="348"/>
        <v>0.0100034977309209</v>
      </c>
      <c r="IG93" s="226">
        <f>(IC93-IC98)/IC98</f>
        <v>0.106457051572458</v>
      </c>
      <c r="IH93" s="226"/>
      <c r="II93" s="328"/>
      <c r="IJ93" s="13" t="str">
        <f t="shared" si="241"/>
        <v>2026//2//6</v>
      </c>
      <c r="IK93" s="330">
        <v>397596.29</v>
      </c>
      <c r="IL93" s="13">
        <f t="shared" si="349"/>
        <v>397516.29</v>
      </c>
      <c r="IM93" s="13">
        <f t="shared" si="350"/>
        <v>80</v>
      </c>
      <c r="IN93" s="226">
        <f t="shared" si="351"/>
        <v>0.000201249614198201</v>
      </c>
      <c r="IO93" s="226">
        <f>(IK93-IK98)/IK98</f>
        <v>-0.00818207532303794</v>
      </c>
      <c r="IP93" s="226"/>
      <c r="IQ93" s="328"/>
      <c r="IR93" s="13" t="str">
        <f t="shared" si="242"/>
        <v>2026//2//6</v>
      </c>
      <c r="IS93" s="13">
        <v>161389</v>
      </c>
      <c r="IT93" s="13">
        <f t="shared" si="352"/>
        <v>161089</v>
      </c>
      <c r="IU93" s="13">
        <f t="shared" si="353"/>
        <v>300</v>
      </c>
      <c r="IV93" s="226">
        <f t="shared" si="354"/>
        <v>0.00186232455350769</v>
      </c>
      <c r="IW93" s="226">
        <f>(IS93-IS98)/IS98</f>
        <v>0.0453400177473784</v>
      </c>
      <c r="IX93" s="226"/>
      <c r="IY93" s="328"/>
      <c r="IZ93" s="13" t="str">
        <f t="shared" si="243"/>
        <v>2026//2//6</v>
      </c>
      <c r="JA93" s="331">
        <v>4790729.15</v>
      </c>
      <c r="JB93" s="13">
        <f t="shared" si="355"/>
        <v>4784329.15</v>
      </c>
      <c r="JC93" s="13">
        <f t="shared" si="356"/>
        <v>6400</v>
      </c>
      <c r="JD93" s="226">
        <f t="shared" si="357"/>
        <v>0.00133770060531893</v>
      </c>
      <c r="JE93" s="226">
        <f>(JA93-JA98)/JA98</f>
        <v>0.0222557509484593</v>
      </c>
      <c r="JF93" s="226"/>
      <c r="JG93" s="328"/>
      <c r="JH93" s="13" t="str">
        <f t="shared" si="244"/>
        <v>2026//2//6</v>
      </c>
      <c r="JI93" s="13">
        <v>1608447.99</v>
      </c>
      <c r="JJ93" s="13">
        <f t="shared" si="358"/>
        <v>1595787.99</v>
      </c>
      <c r="JK93" s="13">
        <f t="shared" si="359"/>
        <v>12660</v>
      </c>
      <c r="JL93" s="226">
        <f t="shared" si="360"/>
        <v>0.0079333846847663</v>
      </c>
      <c r="JM93" s="226">
        <f>(JI93-JI98)/JI98</f>
        <v>0.0223091142093746</v>
      </c>
      <c r="JN93" s="226"/>
      <c r="JP93" s="13" t="str">
        <f t="shared" si="245"/>
        <v>2026//2//6</v>
      </c>
      <c r="JQ93" s="330">
        <v>1263090.41</v>
      </c>
      <c r="JR93" s="13">
        <f t="shared" si="361"/>
        <v>1269390.41</v>
      </c>
      <c r="JS93" s="13">
        <f t="shared" si="362"/>
        <v>-6300</v>
      </c>
      <c r="JT93" s="226">
        <f t="shared" si="363"/>
        <v>-0.00496301212800245</v>
      </c>
      <c r="JU93" s="226">
        <f>(JQ93-JQ98)/JQ98</f>
        <v>-0.00102816344518146</v>
      </c>
      <c r="JV93" s="226"/>
      <c r="JX93" s="13" t="str">
        <f t="shared" si="246"/>
        <v>2026//2//6</v>
      </c>
      <c r="JY93" s="13">
        <v>1323848.8</v>
      </c>
      <c r="JZ93" s="13">
        <f t="shared" si="364"/>
        <v>1323998.8</v>
      </c>
      <c r="KA93" s="13">
        <f t="shared" si="365"/>
        <v>-150</v>
      </c>
      <c r="KB93" s="226">
        <f t="shared" si="366"/>
        <v>-0.000113293154042134</v>
      </c>
      <c r="KC93" s="226">
        <f>(JY93-JY98)/JY98</f>
        <v>0.00531572037731287</v>
      </c>
      <c r="KD93" s="226"/>
      <c r="KF93" s="13" t="str">
        <f t="shared" si="247"/>
        <v>2026//2//6</v>
      </c>
      <c r="KG93" s="330">
        <v>801555.92</v>
      </c>
      <c r="KH93" s="13">
        <f t="shared" si="367"/>
        <v>802955.92</v>
      </c>
      <c r="KI93" s="13">
        <f t="shared" si="368"/>
        <v>-1400</v>
      </c>
      <c r="KJ93" s="226">
        <f t="shared" si="369"/>
        <v>-0.00174355772854879</v>
      </c>
      <c r="KK93" s="226">
        <f>(KG93-KG98)/KG98</f>
        <v>-0.0162011710206414</v>
      </c>
      <c r="KL93" s="226"/>
      <c r="KM93" s="328"/>
      <c r="KN93" s="13" t="str">
        <f t="shared" si="248"/>
        <v>2026//2//6</v>
      </c>
      <c r="KO93" s="13">
        <v>7337275.95</v>
      </c>
      <c r="KP93" s="13">
        <f t="shared" si="370"/>
        <v>7322075.95</v>
      </c>
      <c r="KQ93" s="13">
        <f t="shared" si="371"/>
        <v>15200</v>
      </c>
      <c r="KR93" s="226">
        <f t="shared" si="372"/>
        <v>0.00207591400359621</v>
      </c>
      <c r="KS93" s="226">
        <f>(KO93-KO98)/KO98</f>
        <v>0.0514152377353969</v>
      </c>
      <c r="KT93" s="226"/>
      <c r="KU93" s="328"/>
      <c r="KV93" s="13" t="str">
        <f t="shared" si="249"/>
        <v>2026//2//6</v>
      </c>
      <c r="KW93" s="330">
        <v>1024372.97</v>
      </c>
      <c r="KX93" s="13">
        <f t="shared" si="373"/>
        <v>1024372.97</v>
      </c>
      <c r="KY93" s="13">
        <f t="shared" si="374"/>
        <v>0</v>
      </c>
      <c r="KZ93" s="226">
        <f t="shared" si="375"/>
        <v>0</v>
      </c>
      <c r="LA93" s="226">
        <f>(KW93-KW98)/KW98</f>
        <v>-0.00175409024854747</v>
      </c>
      <c r="LB93" s="226"/>
      <c r="LC93" s="328"/>
      <c r="LD93" s="13" t="str">
        <f t="shared" si="250"/>
        <v>2026//2//6</v>
      </c>
      <c r="LE93" s="13">
        <v>455357.7</v>
      </c>
      <c r="LF93" s="13">
        <f t="shared" si="376"/>
        <v>453407.7</v>
      </c>
      <c r="LG93" s="13">
        <f t="shared" si="377"/>
        <v>1950</v>
      </c>
      <c r="LH93" s="226">
        <f t="shared" si="378"/>
        <v>0.00430076507302368</v>
      </c>
      <c r="LI93" s="226">
        <f>(LE93-LE98)/LE98</f>
        <v>-0.0192760102836976</v>
      </c>
      <c r="LJ93" s="226"/>
      <c r="LK93" s="328"/>
      <c r="LL93" s="13" t="str">
        <f t="shared" si="251"/>
        <v>2026//2//6</v>
      </c>
      <c r="LM93" s="329">
        <v>3477535.02</v>
      </c>
      <c r="LN93" s="13">
        <f t="shared" si="379"/>
        <v>3507595.02</v>
      </c>
      <c r="LO93" s="13">
        <f t="shared" si="380"/>
        <v>-30060</v>
      </c>
      <c r="LP93" s="226">
        <f t="shared" si="381"/>
        <v>-0.0085699745348595</v>
      </c>
      <c r="LQ93" s="226">
        <f>(LM93-LM98)/LM98</f>
        <v>-0.00897682691123442</v>
      </c>
      <c r="LR93" s="226"/>
      <c r="LS93" s="328"/>
      <c r="LT93" s="13" t="str">
        <f t="shared" si="252"/>
        <v>2026//2//6</v>
      </c>
      <c r="LU93" s="330">
        <v>2879262.9</v>
      </c>
      <c r="LV93" s="13">
        <f t="shared" si="382"/>
        <v>2880262.9</v>
      </c>
      <c r="LW93" s="13">
        <f t="shared" si="383"/>
        <v>-1000</v>
      </c>
      <c r="LX93" s="226">
        <f t="shared" si="384"/>
        <v>-0.000347190529031221</v>
      </c>
      <c r="LY93" s="226">
        <f>(LU93-LU98)/LU98</f>
        <v>-0.017002024777276</v>
      </c>
      <c r="LZ93" s="226"/>
      <c r="MA93" s="328"/>
      <c r="MB93" s="13" t="str">
        <f t="shared" si="253"/>
        <v>2026//2//6</v>
      </c>
      <c r="MC93" s="13">
        <v>828317.69</v>
      </c>
      <c r="MD93" s="13">
        <f t="shared" si="385"/>
        <v>828467.69</v>
      </c>
      <c r="ME93" s="13">
        <f t="shared" si="386"/>
        <v>-150</v>
      </c>
      <c r="MF93" s="226">
        <f t="shared" si="387"/>
        <v>-0.000181057151426147</v>
      </c>
      <c r="MG93" s="226">
        <f>(MC93-MC98)/MC98</f>
        <v>0.00114821984406957</v>
      </c>
      <c r="MH93" s="226"/>
      <c r="MI93" s="226"/>
      <c r="MJ93" s="226"/>
      <c r="MK93" s="13" t="str">
        <f t="shared" si="254"/>
        <v>2026//2//6</v>
      </c>
      <c r="ML93" s="330">
        <v>253185.53</v>
      </c>
      <c r="MM93" s="13">
        <f t="shared" si="388"/>
        <v>254265.53</v>
      </c>
      <c r="MN93" s="13">
        <f t="shared" si="389"/>
        <v>-1080</v>
      </c>
      <c r="MO93" s="226">
        <f t="shared" si="390"/>
        <v>-0.00424752816474966</v>
      </c>
      <c r="MP93" s="226">
        <f>(ML93-ML98)/ML98</f>
        <v>-0.0584608376161187</v>
      </c>
      <c r="MQ93" s="226"/>
      <c r="MR93" s="226"/>
      <c r="MS93" s="231">
        <v>1.4291</v>
      </c>
      <c r="MT93" s="316" t="str">
        <f t="shared" si="255"/>
        <v>2026//2//6</v>
      </c>
      <c r="MU93" s="231">
        <v>164215</v>
      </c>
      <c r="MV93" s="231">
        <f t="shared" si="391"/>
        <v>162815</v>
      </c>
      <c r="MW93" s="231">
        <v>1400</v>
      </c>
      <c r="MX93" s="317">
        <v>0.0086</v>
      </c>
      <c r="MY93" s="226">
        <f>(MU93-MU98)/MU98</f>
        <v>-0.00845334057905383</v>
      </c>
      <c r="MZ93" s="226"/>
      <c r="NA93" s="226"/>
      <c r="NB93" s="231">
        <v>1.413</v>
      </c>
      <c r="NC93" s="231" t="str">
        <f t="shared" si="256"/>
        <v>2026//2//6</v>
      </c>
      <c r="ND93" s="231">
        <v>41291</v>
      </c>
      <c r="NE93" s="231">
        <f t="shared" si="392"/>
        <v>41491</v>
      </c>
      <c r="NF93" s="231">
        <v>-200</v>
      </c>
      <c r="NG93" s="317">
        <v>-0.0048</v>
      </c>
      <c r="NH93" s="226">
        <f>(ND93-ND98)/ND98</f>
        <v>-0.0801942482903032</v>
      </c>
      <c r="NI93" s="226"/>
      <c r="NJ93" s="226"/>
      <c r="NK93" s="226"/>
      <c r="NL93" s="232">
        <v>1.1762</v>
      </c>
      <c r="NM93" s="231" t="str">
        <f t="shared" si="257"/>
        <v>2026//2//6</v>
      </c>
      <c r="NN93" s="232">
        <v>2530811</v>
      </c>
      <c r="NO93" s="9">
        <f t="shared" si="393"/>
        <v>2522111</v>
      </c>
      <c r="NP93" s="232">
        <v>8700</v>
      </c>
      <c r="NQ93" s="314">
        <v>0.0034</v>
      </c>
      <c r="NR93" s="289">
        <f>(NN93-NN98)/NN98</f>
        <v>0.018676458927287</v>
      </c>
      <c r="NS93" s="232">
        <v>1.0717</v>
      </c>
      <c r="NT93" s="290"/>
      <c r="NU93" s="231" t="str">
        <f t="shared" si="258"/>
        <v>2026//2//6</v>
      </c>
      <c r="NV93" s="232">
        <v>246926</v>
      </c>
      <c r="NW93" s="232">
        <f t="shared" si="394"/>
        <v>238626</v>
      </c>
      <c r="NX93" s="232">
        <v>8300</v>
      </c>
      <c r="NY93" s="314">
        <v>0.0348</v>
      </c>
      <c r="NZ93" s="226">
        <f>(NV93-NV98)/NV98</f>
        <v>0.0330507978211575</v>
      </c>
      <c r="OA93" s="328"/>
      <c r="OB93" s="328"/>
      <c r="OC93" s="13" t="str">
        <f t="shared" si="259"/>
        <v>2026//2//6</v>
      </c>
      <c r="OD93" s="13">
        <v>12495.97</v>
      </c>
      <c r="OE93" s="13">
        <f t="shared" si="395"/>
        <v>12398.97</v>
      </c>
      <c r="OF93" s="13">
        <f t="shared" si="396"/>
        <v>97</v>
      </c>
      <c r="OG93" s="226">
        <f t="shared" si="397"/>
        <v>0.00782323047801551</v>
      </c>
      <c r="OH93" s="226">
        <f>(OD93-OD98)/OD98</f>
        <v>0.0675781313407894</v>
      </c>
      <c r="OI93" s="226"/>
      <c r="OJ93" s="328"/>
      <c r="OK93" s="13" t="str">
        <f t="shared" si="260"/>
        <v>2026//2//6</v>
      </c>
      <c r="OL93" s="13">
        <v>10876.65</v>
      </c>
      <c r="OM93" s="13">
        <f t="shared" si="398"/>
        <v>10791.65</v>
      </c>
      <c r="ON93" s="13">
        <f t="shared" si="399"/>
        <v>85</v>
      </c>
      <c r="OO93" s="226">
        <f t="shared" si="400"/>
        <v>0.00787646004086493</v>
      </c>
      <c r="OP93" s="226">
        <f>(OL93-OL98)/OL98</f>
        <v>0.00768970644777253</v>
      </c>
      <c r="OQ93" s="226"/>
      <c r="OT93" s="234" t="str">
        <f t="shared" si="211"/>
        <v>2026//2//6</v>
      </c>
      <c r="OU93" s="206">
        <v>139992.4066</v>
      </c>
      <c r="OV93" s="8">
        <f t="shared" si="401"/>
        <v>139872.4066</v>
      </c>
      <c r="OW93" s="191">
        <f t="shared" si="402"/>
        <v>120</v>
      </c>
      <c r="OX93" s="192">
        <f t="shared" si="403"/>
        <v>0.00085792475383061</v>
      </c>
    </row>
    <row r="94" s="12" customFormat="1" ht="17" customHeight="1" spans="1:414">
      <c r="A94" s="15"/>
      <c r="B94" s="15"/>
      <c r="C94" s="193" t="s">
        <v>522</v>
      </c>
      <c r="D94" s="125">
        <v>4722798.77</v>
      </c>
      <c r="E94" s="125">
        <f t="shared" si="261"/>
        <v>4698768.77</v>
      </c>
      <c r="F94" s="332">
        <f t="shared" si="262"/>
        <v>24030</v>
      </c>
      <c r="G94" s="333">
        <f t="shared" si="263"/>
        <v>0.00511410566815357</v>
      </c>
      <c r="H94" s="18"/>
      <c r="I94" s="122"/>
      <c r="J94" s="122"/>
      <c r="K94" s="125" t="str">
        <f t="shared" si="212"/>
        <v>2026//2//5</v>
      </c>
      <c r="L94" s="334">
        <v>3251404.4</v>
      </c>
      <c r="M94" s="125">
        <f t="shared" si="264"/>
        <v>3244654.4</v>
      </c>
      <c r="N94" s="332">
        <f t="shared" si="265"/>
        <v>6750</v>
      </c>
      <c r="O94" s="333">
        <f t="shared" si="266"/>
        <v>0.00208034482809633</v>
      </c>
      <c r="P94" s="18"/>
      <c r="Q94" s="122"/>
      <c r="R94" s="125"/>
      <c r="S94" s="125" t="str">
        <f t="shared" si="213"/>
        <v>2026//2//5</v>
      </c>
      <c r="T94" s="334">
        <v>2512866.68</v>
      </c>
      <c r="U94" s="125">
        <f t="shared" si="267"/>
        <v>2499366.68</v>
      </c>
      <c r="V94" s="332">
        <f t="shared" si="268"/>
        <v>13500</v>
      </c>
      <c r="W94" s="333">
        <f t="shared" si="269"/>
        <v>0.00540136831783322</v>
      </c>
      <c r="X94" s="18"/>
      <c r="Y94" s="122"/>
      <c r="Z94" s="125"/>
      <c r="AA94" s="125" t="str">
        <f t="shared" si="214"/>
        <v>2026//2//5</v>
      </c>
      <c r="AB94" s="334">
        <v>1100816.86</v>
      </c>
      <c r="AC94" s="125">
        <f t="shared" si="270"/>
        <v>1139136.86</v>
      </c>
      <c r="AD94" s="332">
        <f t="shared" si="271"/>
        <v>-38320</v>
      </c>
      <c r="AE94" s="333">
        <f t="shared" si="272"/>
        <v>-0.0336395049142734</v>
      </c>
      <c r="AF94" s="18"/>
      <c r="AG94" s="122"/>
      <c r="AH94" s="125"/>
      <c r="AI94" s="125" t="str">
        <f t="shared" si="215"/>
        <v>2026//2//5</v>
      </c>
      <c r="AJ94" s="334">
        <v>988721.76</v>
      </c>
      <c r="AK94" s="125">
        <f t="shared" si="273"/>
        <v>998321.76</v>
      </c>
      <c r="AL94" s="332">
        <f t="shared" si="274"/>
        <v>-9600</v>
      </c>
      <c r="AM94" s="333">
        <f t="shared" si="275"/>
        <v>-0.00961613818775221</v>
      </c>
      <c r="AN94" s="18"/>
      <c r="AO94" s="18"/>
      <c r="AP94" s="125"/>
      <c r="AQ94" s="125" t="str">
        <f t="shared" si="216"/>
        <v>2026//2//5</v>
      </c>
      <c r="AR94" s="120">
        <v>1942245.49</v>
      </c>
      <c r="AS94" s="125">
        <f t="shared" si="276"/>
        <v>1939045.49</v>
      </c>
      <c r="AT94" s="335">
        <f t="shared" si="277"/>
        <v>3200</v>
      </c>
      <c r="AU94" s="336">
        <f t="shared" si="278"/>
        <v>0.00165029650748421</v>
      </c>
      <c r="AV94" s="18"/>
      <c r="AW94" s="18"/>
      <c r="AX94" s="17"/>
      <c r="AY94" s="205">
        <v>4.8765</v>
      </c>
      <c r="AZ94" s="204" t="str">
        <f t="shared" si="217"/>
        <v>2026//2//5</v>
      </c>
      <c r="BA94" s="205">
        <v>2055982</v>
      </c>
      <c r="BB94" s="205">
        <f t="shared" si="279"/>
        <v>2058592</v>
      </c>
      <c r="BC94" s="205">
        <v>-2610</v>
      </c>
      <c r="BD94" s="292">
        <v>-0.0013</v>
      </c>
      <c r="BE94" s="18"/>
      <c r="BF94" s="18"/>
      <c r="BG94" s="321"/>
      <c r="BH94" s="195" t="str">
        <f t="shared" si="218"/>
        <v>2026//2//5</v>
      </c>
      <c r="BI94" s="337">
        <v>984526.55</v>
      </c>
      <c r="BJ94" s="195">
        <f t="shared" si="280"/>
        <v>961326.55</v>
      </c>
      <c r="BK94" s="195">
        <f t="shared" si="281"/>
        <v>23200</v>
      </c>
      <c r="BL94" s="196">
        <f t="shared" si="282"/>
        <v>0.0241333186938403</v>
      </c>
      <c r="BM94" s="196"/>
      <c r="BN94" s="199"/>
      <c r="BO94" s="338"/>
      <c r="BP94" s="12" t="str">
        <f t="shared" si="219"/>
        <v>2026//2//5</v>
      </c>
      <c r="BQ94" s="339">
        <v>1506262.39</v>
      </c>
      <c r="BR94" s="12">
        <f t="shared" si="283"/>
        <v>1519062.39</v>
      </c>
      <c r="BS94" s="12">
        <f t="shared" si="284"/>
        <v>-12800</v>
      </c>
      <c r="BT94" s="199">
        <f t="shared" si="285"/>
        <v>-0.00842625035302204</v>
      </c>
      <c r="BU94" s="199"/>
      <c r="BV94" s="199"/>
      <c r="BW94" s="338"/>
      <c r="BX94" s="12" t="str">
        <f t="shared" si="220"/>
        <v>2026//2//5</v>
      </c>
      <c r="BY94" s="319">
        <v>3759910.7</v>
      </c>
      <c r="BZ94" s="12">
        <f t="shared" si="286"/>
        <v>3721060.7</v>
      </c>
      <c r="CA94" s="12">
        <f t="shared" si="287"/>
        <v>38850</v>
      </c>
      <c r="CB94" s="199">
        <f t="shared" si="288"/>
        <v>0.0104405714209392</v>
      </c>
      <c r="CC94" s="199"/>
      <c r="CD94" s="199"/>
      <c r="CE94" s="338"/>
      <c r="CF94" s="12" t="str">
        <f t="shared" si="221"/>
        <v>2026//2//5</v>
      </c>
      <c r="CG94" s="320">
        <v>1648253.9</v>
      </c>
      <c r="CH94" s="12">
        <f t="shared" si="289"/>
        <v>1642753.9</v>
      </c>
      <c r="CI94" s="12">
        <f t="shared" si="290"/>
        <v>5500</v>
      </c>
      <c r="CJ94" s="199">
        <f t="shared" si="291"/>
        <v>0.00334803648921485</v>
      </c>
      <c r="CK94" s="199"/>
      <c r="CL94" s="199"/>
      <c r="CM94" s="338"/>
      <c r="CN94" s="12" t="str">
        <f t="shared" si="222"/>
        <v>2026//2//5</v>
      </c>
      <c r="CO94" s="320">
        <v>795046.48</v>
      </c>
      <c r="CP94" s="12">
        <f t="shared" si="292"/>
        <v>800746.48</v>
      </c>
      <c r="CQ94" s="12">
        <f t="shared" si="293"/>
        <v>-5700</v>
      </c>
      <c r="CR94" s="199">
        <f t="shared" si="294"/>
        <v>-0.00711835786028057</v>
      </c>
      <c r="CS94" s="199"/>
      <c r="CT94" s="199"/>
      <c r="CU94" s="338"/>
      <c r="CV94" s="12" t="str">
        <f t="shared" si="223"/>
        <v>2026//2//5</v>
      </c>
      <c r="CW94" s="320">
        <v>630740.4</v>
      </c>
      <c r="CX94" s="12">
        <f t="shared" si="295"/>
        <v>653540.4</v>
      </c>
      <c r="CY94" s="12">
        <f t="shared" si="296"/>
        <v>-22800</v>
      </c>
      <c r="CZ94" s="199">
        <f t="shared" si="297"/>
        <v>-0.0348869021716178</v>
      </c>
      <c r="DA94" s="199"/>
      <c r="DB94" s="199"/>
      <c r="DC94" s="277"/>
      <c r="DD94" s="12" t="str">
        <f t="shared" si="224"/>
        <v>2026//2//5</v>
      </c>
      <c r="DE94" s="319">
        <v>2317117.98</v>
      </c>
      <c r="DF94" s="12">
        <f t="shared" si="298"/>
        <v>2327717.98</v>
      </c>
      <c r="DG94" s="12">
        <f t="shared" si="299"/>
        <v>-10600</v>
      </c>
      <c r="DH94" s="199">
        <f t="shared" si="300"/>
        <v>-0.00455381626600659</v>
      </c>
      <c r="DI94" s="199"/>
      <c r="DJ94" s="199"/>
      <c r="DK94" s="338"/>
      <c r="DL94" s="12" t="str">
        <f t="shared" si="225"/>
        <v>2026//2//5</v>
      </c>
      <c r="DM94" s="320">
        <v>1393900.36</v>
      </c>
      <c r="DN94" s="12">
        <f t="shared" si="301"/>
        <v>1391900.36</v>
      </c>
      <c r="DO94" s="12">
        <f t="shared" si="302"/>
        <v>2000</v>
      </c>
      <c r="DP94" s="199">
        <f t="shared" si="303"/>
        <v>0.00143688446204583</v>
      </c>
      <c r="DQ94" s="199"/>
      <c r="DR94" s="199"/>
      <c r="DS94" s="338"/>
      <c r="DT94" s="12" t="str">
        <f t="shared" si="226"/>
        <v>2026//2//5</v>
      </c>
      <c r="DU94" s="320">
        <v>1855589.48</v>
      </c>
      <c r="DV94" s="12">
        <f t="shared" si="304"/>
        <v>1869389.48</v>
      </c>
      <c r="DW94" s="12">
        <f t="shared" si="305"/>
        <v>-13800</v>
      </c>
      <c r="DX94" s="199">
        <f t="shared" si="306"/>
        <v>-0.00738208925836044</v>
      </c>
      <c r="DY94" s="199"/>
      <c r="DZ94" s="199"/>
      <c r="EA94" s="338"/>
      <c r="EB94" s="12" t="str">
        <f t="shared" si="227"/>
        <v>2026//2//5</v>
      </c>
      <c r="EC94" s="320">
        <v>5211266.82</v>
      </c>
      <c r="ED94" s="12">
        <f t="shared" si="307"/>
        <v>5179766.82</v>
      </c>
      <c r="EE94" s="12">
        <f t="shared" si="308"/>
        <v>31500</v>
      </c>
      <c r="EF94" s="199">
        <f t="shared" si="309"/>
        <v>0.00608135483596924</v>
      </c>
      <c r="EG94" s="199"/>
      <c r="EH94" s="199"/>
      <c r="EI94" s="338"/>
      <c r="EJ94" s="12" t="str">
        <f t="shared" si="228"/>
        <v>2026//2//5</v>
      </c>
      <c r="EK94" s="319">
        <v>1617322.96</v>
      </c>
      <c r="EL94" s="12">
        <f t="shared" si="310"/>
        <v>1604322.96</v>
      </c>
      <c r="EM94" s="12">
        <f t="shared" si="311"/>
        <v>13000</v>
      </c>
      <c r="EN94" s="199">
        <f t="shared" si="312"/>
        <v>0.00810310662137504</v>
      </c>
      <c r="EO94" s="199"/>
      <c r="EP94" s="199"/>
      <c r="EQ94" s="340"/>
      <c r="ER94" s="341" t="str">
        <f t="shared" si="229"/>
        <v>2026//2//5</v>
      </c>
      <c r="ES94" s="320">
        <v>537947.02</v>
      </c>
      <c r="ET94" s="12">
        <f t="shared" si="313"/>
        <v>534497</v>
      </c>
      <c r="EU94" s="12">
        <f t="shared" si="314"/>
        <v>3450.02000000002</v>
      </c>
      <c r="EV94" s="199">
        <f t="shared" si="315"/>
        <v>0.00645470414239934</v>
      </c>
      <c r="EW94" s="199"/>
      <c r="EX94" s="199"/>
      <c r="EY94" s="338"/>
      <c r="EZ94" s="12" t="str">
        <f t="shared" si="230"/>
        <v>2026//2//5</v>
      </c>
      <c r="FA94" s="320">
        <v>656308</v>
      </c>
      <c r="FB94" s="12">
        <f t="shared" si="316"/>
        <v>654408</v>
      </c>
      <c r="FC94" s="12">
        <f t="shared" si="317"/>
        <v>1900</v>
      </c>
      <c r="FD94" s="199">
        <f t="shared" si="318"/>
        <v>0.0029033874891505</v>
      </c>
      <c r="FE94" s="199"/>
      <c r="FF94" s="199"/>
      <c r="FH94" s="12" t="str">
        <f t="shared" si="231"/>
        <v>2026//2//5</v>
      </c>
      <c r="FI94" s="339">
        <v>992695.33</v>
      </c>
      <c r="FJ94" s="12">
        <f t="shared" si="319"/>
        <v>976595.33</v>
      </c>
      <c r="FK94" s="12">
        <f t="shared" si="320"/>
        <v>16100</v>
      </c>
      <c r="FL94" s="199">
        <f t="shared" si="321"/>
        <v>0.0164858457801554</v>
      </c>
      <c r="FM94" s="199"/>
      <c r="FN94" s="199"/>
      <c r="FO94" s="338"/>
      <c r="FP94" s="12" t="str">
        <f t="shared" si="232"/>
        <v>2026//2//5</v>
      </c>
      <c r="FQ94" s="320">
        <v>2354068.73</v>
      </c>
      <c r="FR94" s="12">
        <f t="shared" si="322"/>
        <v>2365918.73</v>
      </c>
      <c r="FS94" s="12">
        <f t="shared" si="323"/>
        <v>-11850</v>
      </c>
      <c r="FT94" s="199">
        <f t="shared" si="324"/>
        <v>-0.00500862512720376</v>
      </c>
      <c r="FU94" s="199"/>
      <c r="FV94" s="199"/>
      <c r="FW94" s="338"/>
      <c r="FX94" s="12" t="str">
        <f t="shared" si="233"/>
        <v>2026//2//5</v>
      </c>
      <c r="FY94" s="320">
        <v>7754782.05</v>
      </c>
      <c r="FZ94" s="12">
        <f t="shared" si="325"/>
        <v>7759082.05</v>
      </c>
      <c r="GA94" s="12">
        <f t="shared" si="326"/>
        <v>-4300</v>
      </c>
      <c r="GB94" s="199">
        <f t="shared" si="327"/>
        <v>-0.000554189267788449</v>
      </c>
      <c r="GC94" s="199"/>
      <c r="GD94" s="199"/>
      <c r="GE94" s="338"/>
      <c r="GF94" s="12" t="str">
        <f t="shared" si="234"/>
        <v>2026//2//5</v>
      </c>
      <c r="GG94" s="320">
        <v>4742469.49</v>
      </c>
      <c r="GH94" s="12">
        <f t="shared" si="328"/>
        <v>4809069.49</v>
      </c>
      <c r="GI94" s="12">
        <f t="shared" si="329"/>
        <v>-66600</v>
      </c>
      <c r="GJ94" s="199">
        <f t="shared" si="330"/>
        <v>-0.0138488329475148</v>
      </c>
      <c r="GK94" s="199"/>
      <c r="GL94" s="199"/>
      <c r="GM94" s="338"/>
      <c r="GN94" s="12" t="str">
        <f t="shared" si="235"/>
        <v>2026//2//5</v>
      </c>
      <c r="GO94" s="319">
        <v>1849258.12</v>
      </c>
      <c r="GP94" s="12">
        <f t="shared" si="331"/>
        <v>1842178.12</v>
      </c>
      <c r="GQ94" s="12">
        <f t="shared" si="332"/>
        <v>7080</v>
      </c>
      <c r="GR94" s="199">
        <f t="shared" si="333"/>
        <v>0.00384327656654613</v>
      </c>
      <c r="GS94" s="199"/>
      <c r="GT94" s="199"/>
      <c r="GU94" s="338"/>
      <c r="GV94" s="12" t="str">
        <f t="shared" si="236"/>
        <v>2026//2//5</v>
      </c>
      <c r="GW94" s="320">
        <v>1021149.4</v>
      </c>
      <c r="GX94" s="12">
        <f t="shared" si="334"/>
        <v>1011149.4</v>
      </c>
      <c r="GY94" s="12">
        <f t="shared" si="335"/>
        <v>10000</v>
      </c>
      <c r="GZ94" s="199">
        <f t="shared" si="336"/>
        <v>0.00988973538430622</v>
      </c>
      <c r="HA94" s="199"/>
      <c r="HB94" s="199"/>
      <c r="HC94" s="338"/>
      <c r="HD94" s="12" t="str">
        <f t="shared" si="237"/>
        <v>2026//2//5</v>
      </c>
      <c r="HE94" s="319">
        <v>1247664.67</v>
      </c>
      <c r="HF94" s="12">
        <f t="shared" si="337"/>
        <v>1242164.67</v>
      </c>
      <c r="HG94" s="12">
        <f t="shared" si="338"/>
        <v>5500</v>
      </c>
      <c r="HH94" s="199">
        <f t="shared" si="339"/>
        <v>0.00442775433308693</v>
      </c>
      <c r="HI94" s="199"/>
      <c r="HJ94" s="199"/>
      <c r="HK94" s="338"/>
      <c r="HL94" s="12" t="str">
        <f t="shared" si="238"/>
        <v>2026//2//5</v>
      </c>
      <c r="HM94" s="12">
        <v>145304.25</v>
      </c>
      <c r="HN94" s="12">
        <f t="shared" si="340"/>
        <v>145354.25</v>
      </c>
      <c r="HO94" s="12">
        <f t="shared" si="341"/>
        <v>-50</v>
      </c>
      <c r="HP94" s="199">
        <f t="shared" si="342"/>
        <v>-0.000343987189917048</v>
      </c>
      <c r="HQ94" s="199"/>
      <c r="HR94" s="199"/>
      <c r="HS94" s="338"/>
      <c r="HT94" s="12" t="str">
        <f t="shared" si="239"/>
        <v>2026//2//5</v>
      </c>
      <c r="HU94" s="319">
        <v>281768.82</v>
      </c>
      <c r="HV94" s="12">
        <f t="shared" si="343"/>
        <v>268968.82</v>
      </c>
      <c r="HW94" s="12">
        <f t="shared" si="344"/>
        <v>12800</v>
      </c>
      <c r="HX94" s="199">
        <f t="shared" si="345"/>
        <v>0.0475891592192731</v>
      </c>
      <c r="HY94" s="199"/>
      <c r="HZ94" s="199"/>
      <c r="IA94" s="338"/>
      <c r="IB94" s="12" t="str">
        <f t="shared" si="240"/>
        <v>2026//2//5</v>
      </c>
      <c r="IC94" s="320">
        <v>472334.79</v>
      </c>
      <c r="ID94" s="12">
        <f t="shared" si="346"/>
        <v>462209.79</v>
      </c>
      <c r="IE94" s="12">
        <f t="shared" si="347"/>
        <v>10125</v>
      </c>
      <c r="IF94" s="199">
        <f t="shared" si="348"/>
        <v>0.0219056372648446</v>
      </c>
      <c r="IG94" s="199"/>
      <c r="IH94" s="199"/>
      <c r="II94" s="338"/>
      <c r="IJ94" s="12" t="str">
        <f t="shared" si="241"/>
        <v>2026//2//5</v>
      </c>
      <c r="IK94" s="319">
        <v>397516.29</v>
      </c>
      <c r="IL94" s="12">
        <f t="shared" si="349"/>
        <v>397436.29</v>
      </c>
      <c r="IM94" s="12">
        <f t="shared" si="350"/>
        <v>80</v>
      </c>
      <c r="IN94" s="199">
        <f t="shared" si="351"/>
        <v>0.000201290123757949</v>
      </c>
      <c r="IO94" s="199"/>
      <c r="IP94" s="199"/>
      <c r="IQ94" s="338"/>
      <c r="IR94" s="12" t="str">
        <f t="shared" si="242"/>
        <v>2026//2//5</v>
      </c>
      <c r="IS94" s="12">
        <v>161089</v>
      </c>
      <c r="IT94" s="12">
        <f t="shared" si="352"/>
        <v>161289</v>
      </c>
      <c r="IU94" s="12">
        <f t="shared" si="353"/>
        <v>-200</v>
      </c>
      <c r="IV94" s="199">
        <f t="shared" si="354"/>
        <v>-0.00124001016808338</v>
      </c>
      <c r="IW94" s="199"/>
      <c r="IX94" s="199"/>
      <c r="IY94" s="338"/>
      <c r="IZ94" s="12" t="str">
        <f t="shared" si="243"/>
        <v>2026//2//5</v>
      </c>
      <c r="JA94" s="320">
        <v>4784329.15</v>
      </c>
      <c r="JB94" s="12">
        <f t="shared" si="355"/>
        <v>4791629.15</v>
      </c>
      <c r="JC94" s="12">
        <f t="shared" si="356"/>
        <v>-7300</v>
      </c>
      <c r="JD94" s="199">
        <f t="shared" si="357"/>
        <v>-0.00152349018913536</v>
      </c>
      <c r="JE94" s="199"/>
      <c r="JF94" s="199"/>
      <c r="JG94" s="338"/>
      <c r="JH94" s="12" t="str">
        <f t="shared" si="244"/>
        <v>2026//2//5</v>
      </c>
      <c r="JI94" s="320">
        <v>1595787.99</v>
      </c>
      <c r="JJ94" s="12">
        <f t="shared" si="358"/>
        <v>1569207.99</v>
      </c>
      <c r="JK94" s="12">
        <f t="shared" si="359"/>
        <v>26580</v>
      </c>
      <c r="JL94" s="199">
        <f t="shared" si="360"/>
        <v>0.0169384811760995</v>
      </c>
      <c r="JM94" s="199"/>
      <c r="JN94" s="199"/>
      <c r="JP94" s="12" t="str">
        <f t="shared" si="245"/>
        <v>2026//2//5</v>
      </c>
      <c r="JQ94" s="324">
        <v>1269390.41</v>
      </c>
      <c r="JR94" s="12">
        <f t="shared" si="361"/>
        <v>1265090.41</v>
      </c>
      <c r="JS94" s="12">
        <f t="shared" si="362"/>
        <v>4300</v>
      </c>
      <c r="JT94" s="199">
        <f t="shared" si="363"/>
        <v>0.00339896656081679</v>
      </c>
      <c r="JU94" s="199"/>
      <c r="JV94" s="199"/>
      <c r="JX94" s="12" t="str">
        <f t="shared" si="246"/>
        <v>2026//2//5</v>
      </c>
      <c r="JY94" s="12">
        <v>1323998.8</v>
      </c>
      <c r="JZ94" s="12">
        <f t="shared" si="364"/>
        <v>1323648.8</v>
      </c>
      <c r="KA94" s="12">
        <f t="shared" si="365"/>
        <v>350</v>
      </c>
      <c r="KB94" s="199">
        <f t="shared" si="366"/>
        <v>0.000264420592531795</v>
      </c>
      <c r="KC94" s="199"/>
      <c r="KD94" s="199"/>
      <c r="KF94" s="12" t="str">
        <f t="shared" si="247"/>
        <v>2026//2//5</v>
      </c>
      <c r="KG94" s="319">
        <v>802955.92</v>
      </c>
      <c r="KH94" s="12">
        <f t="shared" si="367"/>
        <v>805355.92</v>
      </c>
      <c r="KI94" s="12">
        <f t="shared" si="368"/>
        <v>-2400</v>
      </c>
      <c r="KJ94" s="199">
        <f t="shared" si="369"/>
        <v>-0.00298004887081478</v>
      </c>
      <c r="KK94" s="199"/>
      <c r="KL94" s="199"/>
      <c r="KM94" s="338"/>
      <c r="KN94" s="12" t="str">
        <f t="shared" si="248"/>
        <v>2026//2//5</v>
      </c>
      <c r="KO94" s="12">
        <v>7322075.95</v>
      </c>
      <c r="KP94" s="12">
        <f t="shared" si="370"/>
        <v>7229075.95</v>
      </c>
      <c r="KQ94" s="12">
        <f t="shared" si="371"/>
        <v>93000</v>
      </c>
      <c r="KR94" s="199">
        <f t="shared" si="372"/>
        <v>0.0128647147496078</v>
      </c>
      <c r="KS94" s="199"/>
      <c r="KT94" s="199"/>
      <c r="KU94" s="338"/>
      <c r="KV94" s="12" t="str">
        <f t="shared" si="249"/>
        <v>2026//2//5</v>
      </c>
      <c r="KW94" s="319">
        <v>1024372.97</v>
      </c>
      <c r="KX94" s="12">
        <f t="shared" si="373"/>
        <v>1024372.97</v>
      </c>
      <c r="KY94" s="12">
        <f t="shared" si="374"/>
        <v>0</v>
      </c>
      <c r="KZ94" s="199">
        <f t="shared" si="375"/>
        <v>0</v>
      </c>
      <c r="LA94" s="199"/>
      <c r="LB94" s="199"/>
      <c r="LC94" s="338"/>
      <c r="LD94" s="12" t="str">
        <f t="shared" si="250"/>
        <v>2026//2//5</v>
      </c>
      <c r="LE94" s="320">
        <v>453407.7</v>
      </c>
      <c r="LF94" s="12">
        <f t="shared" si="376"/>
        <v>452757.7</v>
      </c>
      <c r="LG94" s="12">
        <f t="shared" si="377"/>
        <v>650</v>
      </c>
      <c r="LH94" s="199">
        <f t="shared" si="378"/>
        <v>0.00143564648375941</v>
      </c>
      <c r="LI94" s="199"/>
      <c r="LJ94" s="199"/>
      <c r="LK94" s="338"/>
      <c r="LL94" s="12" t="str">
        <f t="shared" si="251"/>
        <v>2026//2//5</v>
      </c>
      <c r="LM94" s="339">
        <v>3507595.02</v>
      </c>
      <c r="LN94" s="12">
        <f t="shared" si="379"/>
        <v>3516055.02</v>
      </c>
      <c r="LO94" s="12">
        <f t="shared" si="380"/>
        <v>-8460</v>
      </c>
      <c r="LP94" s="199">
        <f t="shared" si="381"/>
        <v>-0.00240610569285119</v>
      </c>
      <c r="LQ94" s="199"/>
      <c r="LR94" s="199"/>
      <c r="LS94" s="338"/>
      <c r="LT94" s="12" t="str">
        <f t="shared" si="252"/>
        <v>2026//2//5</v>
      </c>
      <c r="LU94" s="319">
        <v>2880262.9</v>
      </c>
      <c r="LV94" s="12">
        <f t="shared" si="382"/>
        <v>2910462.9</v>
      </c>
      <c r="LW94" s="12">
        <f t="shared" si="383"/>
        <v>-30200</v>
      </c>
      <c r="LX94" s="199">
        <f t="shared" si="384"/>
        <v>-0.010376356283394</v>
      </c>
      <c r="LY94" s="199"/>
      <c r="LZ94" s="199"/>
      <c r="MA94" s="338"/>
      <c r="MB94" s="12" t="str">
        <f t="shared" si="253"/>
        <v>2026//2//5</v>
      </c>
      <c r="MC94" s="320">
        <v>828467.69</v>
      </c>
      <c r="MD94" s="12">
        <f t="shared" si="385"/>
        <v>828567.69</v>
      </c>
      <c r="ME94" s="12">
        <f t="shared" si="386"/>
        <v>-100</v>
      </c>
      <c r="MF94" s="199">
        <f t="shared" si="387"/>
        <v>-0.000120690199734918</v>
      </c>
      <c r="MG94" s="199"/>
      <c r="MH94" s="199"/>
      <c r="MI94" s="342"/>
      <c r="MJ94" s="341">
        <v>1.0613</v>
      </c>
      <c r="MK94" s="341" t="str">
        <f t="shared" si="254"/>
        <v>2026//2//5</v>
      </c>
      <c r="ML94" s="319">
        <v>254265.53</v>
      </c>
      <c r="MM94" s="12">
        <f t="shared" si="388"/>
        <v>253066</v>
      </c>
      <c r="MN94" s="12">
        <f t="shared" si="389"/>
        <v>1199.53</v>
      </c>
      <c r="MO94" s="199">
        <f t="shared" si="390"/>
        <v>0.00473998877763113</v>
      </c>
      <c r="MP94" s="199"/>
      <c r="MQ94" s="343"/>
      <c r="MR94" s="343"/>
      <c r="MS94" s="204">
        <v>1.4093</v>
      </c>
      <c r="MT94" s="295" t="str">
        <f t="shared" si="255"/>
        <v>2026//2//5</v>
      </c>
      <c r="MU94" s="204">
        <v>162815</v>
      </c>
      <c r="MV94" s="204">
        <f t="shared" si="391"/>
        <v>164615</v>
      </c>
      <c r="MW94" s="204">
        <v>-1800</v>
      </c>
      <c r="MX94" s="296">
        <v>-0.0109</v>
      </c>
      <c r="MY94" s="199"/>
      <c r="MZ94" s="199"/>
      <c r="NA94" s="199"/>
      <c r="NB94" s="204">
        <v>1.408</v>
      </c>
      <c r="NC94" s="204" t="str">
        <f t="shared" si="256"/>
        <v>2026//2//5</v>
      </c>
      <c r="ND94" s="204">
        <v>41491</v>
      </c>
      <c r="NE94" s="204">
        <f t="shared" si="392"/>
        <v>41491</v>
      </c>
      <c r="NF94" s="204">
        <v>0</v>
      </c>
      <c r="NG94" s="296">
        <v>0</v>
      </c>
      <c r="NH94" s="199"/>
      <c r="NI94" s="199"/>
      <c r="NJ94" s="199"/>
      <c r="NK94" s="199"/>
      <c r="NL94" s="205">
        <v>1.1802</v>
      </c>
      <c r="NM94" s="204" t="str">
        <f t="shared" si="257"/>
        <v>2026//2//5</v>
      </c>
      <c r="NN94" s="205">
        <v>2522111</v>
      </c>
      <c r="NO94" s="8">
        <f t="shared" si="393"/>
        <v>2519711</v>
      </c>
      <c r="NP94" s="205">
        <v>2400</v>
      </c>
      <c r="NQ94" s="292">
        <v>0.001</v>
      </c>
      <c r="NR94" s="293"/>
      <c r="NS94" s="205">
        <v>1.0685</v>
      </c>
      <c r="NT94" s="294"/>
      <c r="NU94" s="204" t="str">
        <f t="shared" si="258"/>
        <v>2026//2//5</v>
      </c>
      <c r="NV94" s="205">
        <v>238626</v>
      </c>
      <c r="NW94" s="205">
        <f t="shared" si="394"/>
        <v>241576</v>
      </c>
      <c r="NX94" s="205">
        <v>-2950</v>
      </c>
      <c r="NY94" s="292">
        <v>-0.0122</v>
      </c>
      <c r="NZ94" s="199"/>
      <c r="OA94" s="338"/>
      <c r="OB94" s="338"/>
      <c r="OC94" s="12" t="str">
        <f t="shared" si="259"/>
        <v>2026//2//5</v>
      </c>
      <c r="OD94" s="320">
        <v>12398.97</v>
      </c>
      <c r="OE94" s="12">
        <f t="shared" si="395"/>
        <v>11376.97</v>
      </c>
      <c r="OF94" s="12">
        <f t="shared" si="396"/>
        <v>1022</v>
      </c>
      <c r="OG94" s="199">
        <f t="shared" si="397"/>
        <v>0.0898305963714416</v>
      </c>
      <c r="OH94" s="199"/>
      <c r="OI94" s="199"/>
      <c r="OJ94" s="338"/>
      <c r="OK94" s="12" t="str">
        <f t="shared" si="260"/>
        <v>2026//2//5</v>
      </c>
      <c r="OL94" s="320">
        <v>10791.65</v>
      </c>
      <c r="OM94" s="12">
        <f t="shared" si="398"/>
        <v>10791.65</v>
      </c>
      <c r="ON94" s="12">
        <f t="shared" si="399"/>
        <v>0</v>
      </c>
      <c r="OO94" s="199">
        <f t="shared" si="400"/>
        <v>0</v>
      </c>
      <c r="OP94" s="199"/>
      <c r="OQ94" s="199"/>
      <c r="OT94" s="234" t="str">
        <f t="shared" si="211"/>
        <v>2026//2//5</v>
      </c>
      <c r="OU94" s="206">
        <v>139872.4066</v>
      </c>
      <c r="OV94" s="8">
        <f t="shared" si="401"/>
        <v>139752.4066</v>
      </c>
      <c r="OW94" s="191">
        <f t="shared" si="402"/>
        <v>120</v>
      </c>
      <c r="OX94" s="192">
        <f t="shared" si="403"/>
        <v>0.000858661420718604</v>
      </c>
    </row>
    <row r="95" s="12" customFormat="1" ht="17" customHeight="1" spans="1:414">
      <c r="A95" s="15"/>
      <c r="B95" s="15"/>
      <c r="C95" s="193" t="s">
        <v>523</v>
      </c>
      <c r="D95" s="334">
        <v>4698768.77</v>
      </c>
      <c r="E95" s="125">
        <f t="shared" si="261"/>
        <v>4754388.77</v>
      </c>
      <c r="F95" s="332">
        <f t="shared" si="262"/>
        <v>-55620</v>
      </c>
      <c r="G95" s="333">
        <f t="shared" si="263"/>
        <v>-0.0116986646845037</v>
      </c>
      <c r="H95" s="18"/>
      <c r="I95" s="122"/>
      <c r="J95" s="122"/>
      <c r="K95" s="125" t="str">
        <f t="shared" si="212"/>
        <v>2026//2//4</v>
      </c>
      <c r="L95" s="334">
        <v>3244654.4</v>
      </c>
      <c r="M95" s="125">
        <f t="shared" si="264"/>
        <v>3252574.4</v>
      </c>
      <c r="N95" s="332">
        <f t="shared" si="265"/>
        <v>-7920</v>
      </c>
      <c r="O95" s="333">
        <f t="shared" si="266"/>
        <v>-0.00243499426177615</v>
      </c>
      <c r="P95" s="18"/>
      <c r="Q95" s="122"/>
      <c r="R95" s="125"/>
      <c r="S95" s="125" t="str">
        <f t="shared" si="213"/>
        <v>2026//2//4</v>
      </c>
      <c r="T95" s="334">
        <v>2499366.68</v>
      </c>
      <c r="U95" s="125">
        <f t="shared" si="267"/>
        <v>2521776.68</v>
      </c>
      <c r="V95" s="332">
        <f t="shared" si="268"/>
        <v>-22410</v>
      </c>
      <c r="W95" s="333">
        <f t="shared" si="269"/>
        <v>-0.00888659181351459</v>
      </c>
      <c r="X95" s="18"/>
      <c r="Y95" s="122"/>
      <c r="Z95" s="125"/>
      <c r="AA95" s="125" t="str">
        <f t="shared" si="214"/>
        <v>2026//2//4</v>
      </c>
      <c r="AB95" s="334">
        <v>1139136.86</v>
      </c>
      <c r="AC95" s="125">
        <f t="shared" si="270"/>
        <v>1159096.86</v>
      </c>
      <c r="AD95" s="332">
        <f t="shared" si="271"/>
        <v>-19960</v>
      </c>
      <c r="AE95" s="333">
        <f t="shared" si="272"/>
        <v>-0.0172203037457974</v>
      </c>
      <c r="AF95" s="18"/>
      <c r="AG95" s="122"/>
      <c r="AH95" s="125"/>
      <c r="AI95" s="125" t="str">
        <f t="shared" si="215"/>
        <v>2026//2//4</v>
      </c>
      <c r="AJ95" s="334">
        <v>998321.76</v>
      </c>
      <c r="AK95" s="125">
        <f t="shared" si="273"/>
        <v>1043121.76</v>
      </c>
      <c r="AL95" s="332">
        <f t="shared" si="274"/>
        <v>-44800</v>
      </c>
      <c r="AM95" s="333">
        <f t="shared" si="275"/>
        <v>-0.0429480063765519</v>
      </c>
      <c r="AN95" s="18"/>
      <c r="AO95" s="18"/>
      <c r="AP95" s="125"/>
      <c r="AQ95" s="125" t="str">
        <f t="shared" si="216"/>
        <v>2026//2//4</v>
      </c>
      <c r="AR95" s="145">
        <v>1939045.49</v>
      </c>
      <c r="AS95" s="125">
        <f t="shared" si="276"/>
        <v>1921445.49</v>
      </c>
      <c r="AT95" s="335">
        <f t="shared" si="277"/>
        <v>17600</v>
      </c>
      <c r="AU95" s="336">
        <f t="shared" si="278"/>
        <v>0.00915977064746188</v>
      </c>
      <c r="AV95" s="18"/>
      <c r="AW95" s="18"/>
      <c r="AX95" s="17"/>
      <c r="AY95" s="205">
        <v>4.9055</v>
      </c>
      <c r="AZ95" s="204" t="str">
        <f t="shared" si="217"/>
        <v>2026//2//4</v>
      </c>
      <c r="BA95" s="205">
        <v>2058592</v>
      </c>
      <c r="BB95" s="205">
        <f t="shared" si="279"/>
        <v>2072272</v>
      </c>
      <c r="BC95" s="205">
        <v>-13680</v>
      </c>
      <c r="BD95" s="292">
        <v>-0.0066</v>
      </c>
      <c r="BE95" s="18"/>
      <c r="BF95" s="18"/>
      <c r="BG95" s="321"/>
      <c r="BH95" s="195" t="str">
        <f t="shared" si="218"/>
        <v>2026//2//4</v>
      </c>
      <c r="BI95" s="256">
        <v>961326.55</v>
      </c>
      <c r="BJ95" s="195">
        <f t="shared" si="280"/>
        <v>972426.55</v>
      </c>
      <c r="BK95" s="344">
        <f t="shared" si="281"/>
        <v>-11100</v>
      </c>
      <c r="BL95" s="345">
        <f t="shared" si="282"/>
        <v>-0.0114147438693442</v>
      </c>
      <c r="BM95" s="196"/>
      <c r="BN95" s="199"/>
      <c r="BO95" s="338"/>
      <c r="BP95" s="12" t="str">
        <f t="shared" si="219"/>
        <v>2026//2//4</v>
      </c>
      <c r="BQ95" s="198">
        <v>1519062.39</v>
      </c>
      <c r="BR95" s="12">
        <f t="shared" si="283"/>
        <v>1546662.39</v>
      </c>
      <c r="BS95" s="346">
        <f t="shared" si="284"/>
        <v>-27600</v>
      </c>
      <c r="BT95" s="347">
        <f t="shared" si="285"/>
        <v>-0.01784487692883</v>
      </c>
      <c r="BU95" s="199"/>
      <c r="BV95" s="199"/>
      <c r="BW95" s="338"/>
      <c r="BX95" s="12" t="str">
        <f t="shared" si="220"/>
        <v>2026//2//4</v>
      </c>
      <c r="BY95" s="257">
        <v>3721060.7</v>
      </c>
      <c r="BZ95" s="12">
        <f t="shared" si="286"/>
        <v>3691110.7</v>
      </c>
      <c r="CA95" s="348">
        <f t="shared" si="287"/>
        <v>29950</v>
      </c>
      <c r="CB95" s="349">
        <f t="shared" si="288"/>
        <v>0.00811408880259267</v>
      </c>
      <c r="CC95" s="199"/>
      <c r="CD95" s="199"/>
      <c r="CE95" s="338"/>
      <c r="CF95" s="12" t="str">
        <f t="shared" si="221"/>
        <v>2026//2//4</v>
      </c>
      <c r="CG95" s="200">
        <v>1642753.9</v>
      </c>
      <c r="CH95" s="12">
        <f t="shared" si="289"/>
        <v>1634953.9</v>
      </c>
      <c r="CI95" s="12">
        <f t="shared" si="290"/>
        <v>7800</v>
      </c>
      <c r="CJ95" s="199">
        <f t="shared" si="291"/>
        <v>0.00477077671731295</v>
      </c>
      <c r="CK95" s="199"/>
      <c r="CL95" s="199"/>
      <c r="CM95" s="338"/>
      <c r="CN95" s="12" t="str">
        <f t="shared" si="222"/>
        <v>2026//2//4</v>
      </c>
      <c r="CO95" s="200">
        <v>800746.48</v>
      </c>
      <c r="CP95" s="12">
        <f t="shared" si="292"/>
        <v>802246.48</v>
      </c>
      <c r="CQ95" s="12">
        <f t="shared" si="293"/>
        <v>-1500</v>
      </c>
      <c r="CR95" s="199">
        <f t="shared" si="294"/>
        <v>-0.00186974955627104</v>
      </c>
      <c r="CS95" s="199"/>
      <c r="CT95" s="199"/>
      <c r="CU95" s="338"/>
      <c r="CV95" s="12" t="str">
        <f t="shared" si="223"/>
        <v>2026//2//4</v>
      </c>
      <c r="CW95" s="200">
        <v>653540.4</v>
      </c>
      <c r="CX95" s="12">
        <f t="shared" si="295"/>
        <v>685140.4</v>
      </c>
      <c r="CY95" s="346">
        <f t="shared" si="296"/>
        <v>-31600</v>
      </c>
      <c r="CZ95" s="347">
        <f t="shared" si="297"/>
        <v>-0.0461219335482187</v>
      </c>
      <c r="DA95" s="199"/>
      <c r="DB95" s="199"/>
      <c r="DC95" s="277"/>
      <c r="DD95" s="12" t="str">
        <f t="shared" si="224"/>
        <v>2026//2//4</v>
      </c>
      <c r="DE95" s="257">
        <v>2327717.98</v>
      </c>
      <c r="DF95" s="12">
        <f t="shared" si="298"/>
        <v>2317117.98</v>
      </c>
      <c r="DG95" s="348">
        <f t="shared" si="299"/>
        <v>10600</v>
      </c>
      <c r="DH95" s="349">
        <f t="shared" si="300"/>
        <v>0.00457464837418421</v>
      </c>
      <c r="DI95" s="199"/>
      <c r="DJ95" s="199"/>
      <c r="DK95" s="338"/>
      <c r="DL95" s="12" t="str">
        <f t="shared" si="225"/>
        <v>2026//2//4</v>
      </c>
      <c r="DM95" s="200">
        <v>1391900.36</v>
      </c>
      <c r="DN95" s="12">
        <f t="shared" si="301"/>
        <v>1373300.36</v>
      </c>
      <c r="DO95" s="348">
        <f t="shared" si="302"/>
        <v>18600</v>
      </c>
      <c r="DP95" s="349">
        <f t="shared" si="303"/>
        <v>0.0135440145082318</v>
      </c>
      <c r="DQ95" s="199"/>
      <c r="DR95" s="199"/>
      <c r="DS95" s="338"/>
      <c r="DT95" s="12" t="str">
        <f t="shared" si="226"/>
        <v>2026//2//4</v>
      </c>
      <c r="DU95" s="200">
        <v>1869389.48</v>
      </c>
      <c r="DV95" s="12">
        <f t="shared" si="304"/>
        <v>1857389.48</v>
      </c>
      <c r="DW95" s="348">
        <f t="shared" si="305"/>
        <v>12000</v>
      </c>
      <c r="DX95" s="349">
        <f t="shared" si="306"/>
        <v>0.00646068050304667</v>
      </c>
      <c r="DY95" s="199"/>
      <c r="DZ95" s="199"/>
      <c r="EA95" s="338"/>
      <c r="EB95" s="12" t="str">
        <f t="shared" si="227"/>
        <v>2026//2//4</v>
      </c>
      <c r="EC95" s="200">
        <v>5179766.82</v>
      </c>
      <c r="ED95" s="12">
        <f t="shared" si="307"/>
        <v>5119916.82</v>
      </c>
      <c r="EE95" s="348">
        <f t="shared" si="308"/>
        <v>59850</v>
      </c>
      <c r="EF95" s="349">
        <f t="shared" si="309"/>
        <v>0.0116896430360367</v>
      </c>
      <c r="EG95" s="199"/>
      <c r="EH95" s="199"/>
      <c r="EI95" s="338"/>
      <c r="EJ95" s="12" t="str">
        <f t="shared" si="228"/>
        <v>2026//2//4</v>
      </c>
      <c r="EK95" s="257">
        <v>1604322.96</v>
      </c>
      <c r="EL95" s="12">
        <f t="shared" si="310"/>
        <v>1575722.96</v>
      </c>
      <c r="EM95" s="348">
        <f t="shared" si="311"/>
        <v>28600</v>
      </c>
      <c r="EN95" s="349">
        <f t="shared" si="312"/>
        <v>0.0181503987223744</v>
      </c>
      <c r="EO95" s="199"/>
      <c r="EP95" s="199"/>
      <c r="EQ95" s="340"/>
      <c r="ER95" s="341" t="str">
        <f t="shared" si="229"/>
        <v>2026//2//4</v>
      </c>
      <c r="ES95" s="341">
        <v>534497</v>
      </c>
      <c r="ET95" s="341">
        <v>524447</v>
      </c>
      <c r="EU95" s="341">
        <v>10050</v>
      </c>
      <c r="EV95" s="350">
        <v>0.0192</v>
      </c>
      <c r="EW95" s="199"/>
      <c r="EX95" s="199"/>
      <c r="EY95" s="338"/>
      <c r="EZ95" s="12" t="str">
        <f t="shared" si="230"/>
        <v>2026//2//4</v>
      </c>
      <c r="FA95" s="200">
        <v>654408</v>
      </c>
      <c r="FB95" s="12">
        <f t="shared" si="316"/>
        <v>660308</v>
      </c>
      <c r="FC95" s="348">
        <f t="shared" si="317"/>
        <v>-5900</v>
      </c>
      <c r="FD95" s="349">
        <f t="shared" si="318"/>
        <v>-0.00893522416811549</v>
      </c>
      <c r="FE95" s="199"/>
      <c r="FF95" s="199"/>
      <c r="FH95" s="12" t="str">
        <f t="shared" si="231"/>
        <v>2026//2//4</v>
      </c>
      <c r="FI95" s="198">
        <v>976595.33</v>
      </c>
      <c r="FJ95" s="12">
        <f t="shared" si="319"/>
        <v>975395.33</v>
      </c>
      <c r="FK95" s="348">
        <f t="shared" si="320"/>
        <v>1200</v>
      </c>
      <c r="FL95" s="349">
        <f t="shared" si="321"/>
        <v>0.00123027039713221</v>
      </c>
      <c r="FM95" s="199"/>
      <c r="FN95" s="199"/>
      <c r="FO95" s="338"/>
      <c r="FP95" s="12" t="str">
        <f t="shared" si="232"/>
        <v>2026//2//4</v>
      </c>
      <c r="FQ95" s="200">
        <v>2365918.73</v>
      </c>
      <c r="FR95" s="12">
        <f t="shared" si="322"/>
        <v>2345668.73</v>
      </c>
      <c r="FS95" s="348">
        <f t="shared" si="323"/>
        <v>20250</v>
      </c>
      <c r="FT95" s="349">
        <f t="shared" si="324"/>
        <v>0.00863293257952925</v>
      </c>
      <c r="FU95" s="199"/>
      <c r="FV95" s="199"/>
      <c r="FW95" s="338"/>
      <c r="FX95" s="12" t="str">
        <f t="shared" si="233"/>
        <v>2026//2//4</v>
      </c>
      <c r="FY95" s="200">
        <v>7759082.05</v>
      </c>
      <c r="FZ95" s="12">
        <f t="shared" si="325"/>
        <v>7757582.05</v>
      </c>
      <c r="GA95" s="348">
        <f t="shared" si="326"/>
        <v>1500</v>
      </c>
      <c r="GB95" s="349">
        <f t="shared" si="327"/>
        <v>0.000193359218159994</v>
      </c>
      <c r="GC95" s="199"/>
      <c r="GD95" s="199"/>
      <c r="GE95" s="338"/>
      <c r="GF95" s="12" t="str">
        <f t="shared" si="234"/>
        <v>2026//2//4</v>
      </c>
      <c r="GG95" s="200">
        <v>4809069.49</v>
      </c>
      <c r="GH95" s="12">
        <f t="shared" si="328"/>
        <v>4796069.49</v>
      </c>
      <c r="GI95" s="348">
        <f t="shared" si="329"/>
        <v>13000</v>
      </c>
      <c r="GJ95" s="349">
        <f t="shared" si="330"/>
        <v>0.0027105528865054</v>
      </c>
      <c r="GK95" s="199"/>
      <c r="GL95" s="199"/>
      <c r="GM95" s="338"/>
      <c r="GN95" s="12" t="str">
        <f t="shared" si="235"/>
        <v>2026//2//4</v>
      </c>
      <c r="GO95" s="257">
        <v>1842178.12</v>
      </c>
      <c r="GP95" s="12">
        <f t="shared" si="331"/>
        <v>1853338.12</v>
      </c>
      <c r="GQ95" s="12">
        <f t="shared" si="332"/>
        <v>-11160</v>
      </c>
      <c r="GR95" s="199">
        <f t="shared" si="333"/>
        <v>-0.00602156718170778</v>
      </c>
      <c r="GS95" s="199"/>
      <c r="GT95" s="199"/>
      <c r="GU95" s="338"/>
      <c r="GV95" s="12" t="str">
        <f t="shared" si="236"/>
        <v>2026//2//4</v>
      </c>
      <c r="GW95" s="200">
        <v>1011149.4</v>
      </c>
      <c r="GX95" s="12">
        <f t="shared" si="334"/>
        <v>980149.4</v>
      </c>
      <c r="GY95" s="348">
        <f t="shared" si="335"/>
        <v>31000</v>
      </c>
      <c r="GZ95" s="349">
        <f t="shared" si="336"/>
        <v>0.0316278314305962</v>
      </c>
      <c r="HA95" s="199"/>
      <c r="HB95" s="199"/>
      <c r="HC95" s="338"/>
      <c r="HD95" s="12" t="str">
        <f t="shared" si="237"/>
        <v>2026//2//4</v>
      </c>
      <c r="HE95" s="257">
        <v>1242164.67</v>
      </c>
      <c r="HF95" s="12">
        <f t="shared" si="337"/>
        <v>1246964.67</v>
      </c>
      <c r="HG95" s="346">
        <f t="shared" si="338"/>
        <v>-4800</v>
      </c>
      <c r="HH95" s="347">
        <f t="shared" si="339"/>
        <v>-0.00384934723130528</v>
      </c>
      <c r="HI95" s="199"/>
      <c r="HJ95" s="199"/>
      <c r="HK95" s="338"/>
      <c r="HL95" s="12" t="str">
        <f t="shared" si="238"/>
        <v>2026//2//4</v>
      </c>
      <c r="HM95" s="200">
        <v>145354.25</v>
      </c>
      <c r="HN95" s="12">
        <f t="shared" si="340"/>
        <v>145004.25</v>
      </c>
      <c r="HO95" s="348">
        <f t="shared" si="341"/>
        <v>350</v>
      </c>
      <c r="HP95" s="349">
        <f t="shared" si="342"/>
        <v>0.00241372235641369</v>
      </c>
      <c r="HQ95" s="199"/>
      <c r="HR95" s="199"/>
      <c r="HS95" s="338"/>
      <c r="HT95" s="12" t="str">
        <f t="shared" si="239"/>
        <v>2026//2//4</v>
      </c>
      <c r="HU95" s="257">
        <v>268968.82</v>
      </c>
      <c r="HV95" s="12">
        <f t="shared" si="343"/>
        <v>241068.82</v>
      </c>
      <c r="HW95" s="348">
        <f t="shared" si="344"/>
        <v>27900</v>
      </c>
      <c r="HX95" s="349">
        <f t="shared" si="345"/>
        <v>0.11573458566728</v>
      </c>
      <c r="HY95" s="199"/>
      <c r="HZ95" s="199"/>
      <c r="IA95" s="338"/>
      <c r="IB95" s="12" t="str">
        <f t="shared" si="240"/>
        <v>2026//2//4</v>
      </c>
      <c r="IC95" s="200">
        <v>462209.79</v>
      </c>
      <c r="ID95" s="12">
        <f t="shared" si="346"/>
        <v>446484.79</v>
      </c>
      <c r="IE95" s="348">
        <f t="shared" si="347"/>
        <v>15725</v>
      </c>
      <c r="IF95" s="349">
        <f t="shared" si="348"/>
        <v>0.0352195648142908</v>
      </c>
      <c r="IG95" s="199"/>
      <c r="IH95" s="199"/>
      <c r="II95" s="338"/>
      <c r="IJ95" s="12" t="str">
        <f t="shared" si="241"/>
        <v>2026//2//4</v>
      </c>
      <c r="IK95" s="257">
        <v>397436.29</v>
      </c>
      <c r="IL95" s="12">
        <f t="shared" si="349"/>
        <v>401276.29</v>
      </c>
      <c r="IM95" s="346">
        <f t="shared" si="350"/>
        <v>-3840</v>
      </c>
      <c r="IN95" s="347">
        <f t="shared" si="351"/>
        <v>-0.00956946646411628</v>
      </c>
      <c r="IO95" s="199"/>
      <c r="IP95" s="199"/>
      <c r="IQ95" s="338"/>
      <c r="IR95" s="12" t="str">
        <f t="shared" si="242"/>
        <v>2026//2//4</v>
      </c>
      <c r="IS95" s="200">
        <v>161289</v>
      </c>
      <c r="IT95" s="12">
        <f t="shared" si="352"/>
        <v>155689</v>
      </c>
      <c r="IU95" s="348">
        <f t="shared" si="353"/>
        <v>5600</v>
      </c>
      <c r="IV95" s="349">
        <f t="shared" si="354"/>
        <v>0.0359691436132289</v>
      </c>
      <c r="IW95" s="199"/>
      <c r="IX95" s="199"/>
      <c r="IY95" s="338"/>
      <c r="IZ95" s="12" t="str">
        <f t="shared" si="243"/>
        <v>2026//2//4</v>
      </c>
      <c r="JA95" s="200">
        <v>4791629.15</v>
      </c>
      <c r="JB95" s="12">
        <f t="shared" si="355"/>
        <v>4836729.15</v>
      </c>
      <c r="JC95" s="346">
        <f t="shared" si="356"/>
        <v>-45100</v>
      </c>
      <c r="JD95" s="347">
        <f t="shared" si="357"/>
        <v>-0.00932448326158598</v>
      </c>
      <c r="JE95" s="199"/>
      <c r="JF95" s="199"/>
      <c r="JG95" s="338"/>
      <c r="JH95" s="12" t="str">
        <f t="shared" si="244"/>
        <v>2026//2//4</v>
      </c>
      <c r="JI95" s="200">
        <v>1569207.99</v>
      </c>
      <c r="JJ95" s="12">
        <f t="shared" si="358"/>
        <v>1592547.99</v>
      </c>
      <c r="JK95" s="346">
        <f t="shared" si="359"/>
        <v>-23340</v>
      </c>
      <c r="JL95" s="347">
        <f t="shared" si="360"/>
        <v>-0.014655759290494</v>
      </c>
      <c r="JM95" s="199"/>
      <c r="JN95" s="199"/>
      <c r="JP95" s="12" t="str">
        <f t="shared" si="245"/>
        <v>2026//2//4</v>
      </c>
      <c r="JQ95" s="257">
        <v>1265090.41</v>
      </c>
      <c r="JR95" s="12">
        <f t="shared" si="361"/>
        <v>1259990.41</v>
      </c>
      <c r="JS95" s="348">
        <f t="shared" si="362"/>
        <v>5100</v>
      </c>
      <c r="JT95" s="349">
        <f t="shared" si="363"/>
        <v>0.00404764985473183</v>
      </c>
      <c r="JU95" s="199"/>
      <c r="JV95" s="199"/>
      <c r="JX95" s="12" t="str">
        <f t="shared" si="246"/>
        <v>2026//2//4</v>
      </c>
      <c r="JY95" s="200">
        <v>1323648.8</v>
      </c>
      <c r="JZ95" s="12">
        <f t="shared" si="364"/>
        <v>1328298.8</v>
      </c>
      <c r="KA95" s="346">
        <f t="shared" si="365"/>
        <v>-4650</v>
      </c>
      <c r="KB95" s="347">
        <f t="shared" si="366"/>
        <v>-0.00350071836246483</v>
      </c>
      <c r="KC95" s="199"/>
      <c r="KD95" s="199"/>
      <c r="KF95" s="12" t="str">
        <f t="shared" si="247"/>
        <v>2026//2//4</v>
      </c>
      <c r="KG95" s="257">
        <v>805355.92</v>
      </c>
      <c r="KH95" s="12">
        <f t="shared" si="367"/>
        <v>810755.92</v>
      </c>
      <c r="KI95" s="346">
        <f t="shared" si="368"/>
        <v>-5400</v>
      </c>
      <c r="KJ95" s="347">
        <f t="shared" si="369"/>
        <v>-0.00666045090364558</v>
      </c>
      <c r="KK95" s="199"/>
      <c r="KL95" s="199"/>
      <c r="KM95" s="338"/>
      <c r="KN95" s="12" t="str">
        <f t="shared" si="248"/>
        <v>2026//2//4</v>
      </c>
      <c r="KO95" s="200">
        <v>7229075.95</v>
      </c>
      <c r="KP95" s="12">
        <f t="shared" si="370"/>
        <v>7084575.95</v>
      </c>
      <c r="KQ95" s="348">
        <f t="shared" si="371"/>
        <v>144500</v>
      </c>
      <c r="KR95" s="349">
        <f t="shared" si="372"/>
        <v>0.0203964218917012</v>
      </c>
      <c r="KS95" s="199"/>
      <c r="KT95" s="199"/>
      <c r="KU95" s="338"/>
      <c r="KV95" s="12" t="str">
        <f t="shared" si="249"/>
        <v>2026//2//4</v>
      </c>
      <c r="KW95" s="257">
        <v>1024372.97</v>
      </c>
      <c r="KX95" s="12">
        <f t="shared" si="373"/>
        <v>1025772.97</v>
      </c>
      <c r="KY95" s="346">
        <f t="shared" si="374"/>
        <v>-1400</v>
      </c>
      <c r="KZ95" s="347">
        <f t="shared" si="375"/>
        <v>-0.00136482442113872</v>
      </c>
      <c r="LA95" s="199"/>
      <c r="LB95" s="199"/>
      <c r="LC95" s="338"/>
      <c r="LD95" s="12" t="str">
        <f t="shared" si="250"/>
        <v>2026//2//4</v>
      </c>
      <c r="LE95" s="200">
        <v>452757.7</v>
      </c>
      <c r="LF95" s="12">
        <f t="shared" si="376"/>
        <v>455857.7</v>
      </c>
      <c r="LG95" s="346">
        <f t="shared" si="377"/>
        <v>-3100</v>
      </c>
      <c r="LH95" s="347">
        <f t="shared" si="378"/>
        <v>-0.00680036774633839</v>
      </c>
      <c r="LI95" s="199"/>
      <c r="LJ95" s="199"/>
      <c r="LK95" s="338"/>
      <c r="LL95" s="12" t="str">
        <f t="shared" si="251"/>
        <v>2026//2//4</v>
      </c>
      <c r="LM95" s="198">
        <v>3516055.02</v>
      </c>
      <c r="LN95" s="12">
        <f t="shared" si="379"/>
        <v>3536215.02</v>
      </c>
      <c r="LO95" s="12">
        <f t="shared" si="380"/>
        <v>-20160</v>
      </c>
      <c r="LP95" s="199">
        <f t="shared" si="381"/>
        <v>-0.00570101079430402</v>
      </c>
      <c r="LQ95" s="199"/>
      <c r="LR95" s="199"/>
      <c r="LS95" s="338"/>
      <c r="LT95" s="12" t="str">
        <f t="shared" si="252"/>
        <v>2026//2//4</v>
      </c>
      <c r="LU95" s="257">
        <v>2910462.9</v>
      </c>
      <c r="LV95" s="12">
        <f t="shared" si="382"/>
        <v>2940862.9</v>
      </c>
      <c r="LW95" s="346">
        <f t="shared" si="383"/>
        <v>-30400</v>
      </c>
      <c r="LX95" s="347">
        <f t="shared" si="384"/>
        <v>-0.0103371020798011</v>
      </c>
      <c r="LY95" s="199"/>
      <c r="LZ95" s="199"/>
      <c r="MA95" s="338"/>
      <c r="MB95" s="12" t="str">
        <f t="shared" si="253"/>
        <v>2026//2//4</v>
      </c>
      <c r="MC95" s="200">
        <v>828567.69</v>
      </c>
      <c r="MD95" s="12">
        <f t="shared" si="385"/>
        <v>829867.69</v>
      </c>
      <c r="ME95" s="346">
        <f t="shared" si="386"/>
        <v>-1300</v>
      </c>
      <c r="MF95" s="347">
        <f t="shared" si="387"/>
        <v>-0.00156651477779548</v>
      </c>
      <c r="MG95" s="199"/>
      <c r="MH95" s="199"/>
      <c r="MI95" s="342"/>
      <c r="MJ95" s="341">
        <v>1.0742</v>
      </c>
      <c r="MK95" s="341" t="str">
        <f t="shared" si="254"/>
        <v>2026//2//4</v>
      </c>
      <c r="ML95" s="341">
        <v>253066</v>
      </c>
      <c r="MM95" s="12">
        <f t="shared" si="388"/>
        <v>257146</v>
      </c>
      <c r="MN95" s="341">
        <v>-4080</v>
      </c>
      <c r="MO95" s="350">
        <v>-0.0159</v>
      </c>
      <c r="MP95" s="199"/>
      <c r="MQ95" s="343"/>
      <c r="MR95" s="343"/>
      <c r="MS95" s="204">
        <v>1.4423</v>
      </c>
      <c r="MT95" s="295" t="str">
        <f t="shared" si="255"/>
        <v>2026//2//4</v>
      </c>
      <c r="MU95" s="204">
        <v>164615</v>
      </c>
      <c r="MV95" s="204">
        <f t="shared" si="391"/>
        <v>161015</v>
      </c>
      <c r="MW95" s="204">
        <v>3600</v>
      </c>
      <c r="MX95" s="296">
        <v>0.0224</v>
      </c>
      <c r="MY95" s="199"/>
      <c r="MZ95" s="199"/>
      <c r="NA95" s="199"/>
      <c r="NB95" s="204">
        <v>1.457</v>
      </c>
      <c r="NC95" s="204" t="str">
        <f t="shared" si="256"/>
        <v>2026//2//4</v>
      </c>
      <c r="ND95" s="204">
        <v>41491</v>
      </c>
      <c r="NE95" s="204">
        <f t="shared" si="392"/>
        <v>41691</v>
      </c>
      <c r="NF95" s="204">
        <v>-200</v>
      </c>
      <c r="NG95" s="296">
        <v>-0.0048</v>
      </c>
      <c r="NH95" s="199"/>
      <c r="NI95" s="199"/>
      <c r="NJ95" s="199"/>
      <c r="NK95" s="199"/>
      <c r="NL95" s="205">
        <v>1.1664</v>
      </c>
      <c r="NM95" s="204" t="str">
        <f t="shared" si="257"/>
        <v>2026//2//4</v>
      </c>
      <c r="NN95" s="205">
        <v>2519711</v>
      </c>
      <c r="NO95" s="8">
        <f t="shared" si="393"/>
        <v>2524211</v>
      </c>
      <c r="NP95" s="205">
        <v>-4500</v>
      </c>
      <c r="NQ95" s="292">
        <v>-0.0018</v>
      </c>
      <c r="NR95" s="293"/>
      <c r="NS95" s="205">
        <v>1.0567</v>
      </c>
      <c r="NT95" s="294"/>
      <c r="NU95" s="204" t="str">
        <f t="shared" si="258"/>
        <v>2026//2//4</v>
      </c>
      <c r="NV95" s="205">
        <v>241576</v>
      </c>
      <c r="NW95" s="205">
        <f t="shared" si="394"/>
        <v>242376</v>
      </c>
      <c r="NX95" s="205">
        <v>-800</v>
      </c>
      <c r="NY95" s="292">
        <v>-0.0033</v>
      </c>
      <c r="NZ95" s="199"/>
      <c r="OA95" s="338"/>
      <c r="OB95" s="338"/>
      <c r="OC95" s="12" t="str">
        <f t="shared" si="259"/>
        <v>2026//2//4</v>
      </c>
      <c r="OD95" s="320">
        <v>11376.97</v>
      </c>
      <c r="OE95" s="12">
        <f t="shared" si="395"/>
        <v>11389.97</v>
      </c>
      <c r="OF95" s="12">
        <f t="shared" si="396"/>
        <v>-13</v>
      </c>
      <c r="OG95" s="199">
        <f t="shared" si="397"/>
        <v>-0.00114135506941634</v>
      </c>
      <c r="OH95" s="199"/>
      <c r="OI95" s="199"/>
      <c r="OJ95" s="338"/>
      <c r="OK95" s="12" t="str">
        <f t="shared" si="260"/>
        <v>2026//2//4</v>
      </c>
      <c r="OL95" s="320">
        <v>10791.65</v>
      </c>
      <c r="OM95" s="12">
        <f t="shared" si="398"/>
        <v>10793.65</v>
      </c>
      <c r="ON95" s="12">
        <f t="shared" si="399"/>
        <v>-2</v>
      </c>
      <c r="OO95" s="199">
        <f t="shared" si="400"/>
        <v>-0.000185294131271627</v>
      </c>
      <c r="OP95" s="199"/>
      <c r="OQ95" s="199"/>
      <c r="OT95" s="234" t="str">
        <f t="shared" si="211"/>
        <v>2026//2//4</v>
      </c>
      <c r="OU95" s="206">
        <v>139752.4066</v>
      </c>
      <c r="OV95" s="8">
        <f t="shared" si="401"/>
        <v>139632.4066</v>
      </c>
      <c r="OW95" s="191">
        <f t="shared" si="402"/>
        <v>120</v>
      </c>
      <c r="OX95" s="192">
        <f t="shared" si="403"/>
        <v>0.000859399353788693</v>
      </c>
    </row>
    <row r="96" s="8" customFormat="1" ht="17" customHeight="1" spans="1:414">
      <c r="A96" s="15"/>
      <c r="B96" s="15"/>
      <c r="C96" s="193" t="s">
        <v>524</v>
      </c>
      <c r="D96" s="334">
        <v>4754388.77</v>
      </c>
      <c r="E96" s="125">
        <f t="shared" si="261"/>
        <v>4750698.77</v>
      </c>
      <c r="F96" s="335">
        <f t="shared" si="262"/>
        <v>3690</v>
      </c>
      <c r="G96" s="336">
        <f t="shared" si="263"/>
        <v>0.000776727841239237</v>
      </c>
      <c r="H96" s="18"/>
      <c r="I96" s="122"/>
      <c r="J96" s="122"/>
      <c r="K96" s="125" t="str">
        <f t="shared" si="212"/>
        <v>2026//2//3</v>
      </c>
      <c r="L96" s="334">
        <v>3252574.4</v>
      </c>
      <c r="M96" s="125">
        <f t="shared" si="264"/>
        <v>3236824.4</v>
      </c>
      <c r="N96" s="335">
        <f t="shared" si="265"/>
        <v>15750</v>
      </c>
      <c r="O96" s="336">
        <f t="shared" si="266"/>
        <v>0.00486588027450609</v>
      </c>
      <c r="P96" s="18"/>
      <c r="Q96" s="122"/>
      <c r="R96" s="125"/>
      <c r="S96" s="125" t="str">
        <f t="shared" si="213"/>
        <v>2026//2//3</v>
      </c>
      <c r="T96" s="334">
        <v>2521776.68</v>
      </c>
      <c r="U96" s="125">
        <f t="shared" si="267"/>
        <v>2517726.68</v>
      </c>
      <c r="V96" s="335">
        <f t="shared" si="268"/>
        <v>4050</v>
      </c>
      <c r="W96" s="336">
        <f t="shared" si="269"/>
        <v>0.00160859398765238</v>
      </c>
      <c r="X96" s="18"/>
      <c r="Y96" s="122"/>
      <c r="Z96" s="125"/>
      <c r="AA96" s="125" t="str">
        <f t="shared" si="214"/>
        <v>2026//2//3</v>
      </c>
      <c r="AB96" s="334">
        <v>1159096.86</v>
      </c>
      <c r="AC96" s="125">
        <f t="shared" si="270"/>
        <v>1116056.86</v>
      </c>
      <c r="AD96" s="335">
        <f t="shared" si="271"/>
        <v>43040</v>
      </c>
      <c r="AE96" s="336">
        <f t="shared" si="272"/>
        <v>0.0385643433973427</v>
      </c>
      <c r="AF96" s="18"/>
      <c r="AG96" s="122"/>
      <c r="AH96" s="125"/>
      <c r="AI96" s="125" t="str">
        <f t="shared" si="215"/>
        <v>2026//2//3</v>
      </c>
      <c r="AJ96" s="334">
        <v>1043121.76</v>
      </c>
      <c r="AK96" s="125">
        <f t="shared" si="273"/>
        <v>1022321.76</v>
      </c>
      <c r="AL96" s="335">
        <f t="shared" si="274"/>
        <v>20800</v>
      </c>
      <c r="AM96" s="336">
        <f t="shared" si="275"/>
        <v>0.0203458449324213</v>
      </c>
      <c r="AN96" s="18"/>
      <c r="AO96" s="18"/>
      <c r="AP96" s="125"/>
      <c r="AQ96" s="125" t="str">
        <f t="shared" si="216"/>
        <v>2026//2//3</v>
      </c>
      <c r="AR96" s="145">
        <v>1921445.49</v>
      </c>
      <c r="AS96" s="125">
        <f t="shared" si="276"/>
        <v>1908345.49</v>
      </c>
      <c r="AT96" s="335">
        <f t="shared" si="277"/>
        <v>13100</v>
      </c>
      <c r="AU96" s="336">
        <f t="shared" si="278"/>
        <v>0.00686458509145532</v>
      </c>
      <c r="AV96" s="18"/>
      <c r="AW96" s="18"/>
      <c r="AX96" s="17"/>
      <c r="AY96" s="205">
        <v>4.8654</v>
      </c>
      <c r="AZ96" s="204" t="str">
        <f t="shared" si="217"/>
        <v>2026//2//3</v>
      </c>
      <c r="BA96" s="205">
        <v>2072272</v>
      </c>
      <c r="BB96" s="205">
        <f t="shared" si="279"/>
        <v>2066782</v>
      </c>
      <c r="BC96" s="205">
        <v>5490</v>
      </c>
      <c r="BD96" s="292">
        <v>0.0027</v>
      </c>
      <c r="BE96" s="18"/>
      <c r="BF96" s="18"/>
      <c r="BG96" s="74"/>
      <c r="BH96" s="194" t="str">
        <f t="shared" si="218"/>
        <v>2026//2//3</v>
      </c>
      <c r="BI96" s="256">
        <v>972426.55</v>
      </c>
      <c r="BJ96" s="194">
        <f t="shared" si="280"/>
        <v>983326.55</v>
      </c>
      <c r="BK96" s="344">
        <f t="shared" si="281"/>
        <v>-10900</v>
      </c>
      <c r="BL96" s="345">
        <f t="shared" si="282"/>
        <v>-0.0110848222291974</v>
      </c>
      <c r="BM96" s="197"/>
      <c r="BN96" s="192"/>
      <c r="BO96" s="351"/>
      <c r="BP96" s="200" t="str">
        <f t="shared" si="219"/>
        <v>2026//2//3</v>
      </c>
      <c r="BQ96" s="198">
        <v>1546662.39</v>
      </c>
      <c r="BR96" s="200">
        <f t="shared" si="283"/>
        <v>1567162.39</v>
      </c>
      <c r="BS96" s="346">
        <f t="shared" si="284"/>
        <v>-20500</v>
      </c>
      <c r="BT96" s="347">
        <f t="shared" si="285"/>
        <v>-0.0130809673144338</v>
      </c>
      <c r="BU96" s="192"/>
      <c r="BV96" s="192"/>
      <c r="BW96" s="351"/>
      <c r="BX96" s="200" t="str">
        <f t="shared" si="220"/>
        <v>2026//2//3</v>
      </c>
      <c r="BY96" s="257">
        <v>3691110.7</v>
      </c>
      <c r="BZ96" s="200">
        <f t="shared" si="286"/>
        <v>3614660.7</v>
      </c>
      <c r="CA96" s="348">
        <f t="shared" si="287"/>
        <v>76450</v>
      </c>
      <c r="CB96" s="349">
        <f t="shared" si="288"/>
        <v>0.0211499795817627</v>
      </c>
      <c r="CC96" s="192"/>
      <c r="CD96" s="201"/>
      <c r="CE96" s="351"/>
      <c r="CF96" s="200" t="str">
        <f t="shared" si="221"/>
        <v>2026//2//3</v>
      </c>
      <c r="CG96" s="200">
        <v>1634953.9</v>
      </c>
      <c r="CH96" s="12">
        <f t="shared" si="289"/>
        <v>1769803.9</v>
      </c>
      <c r="CI96" s="12">
        <f t="shared" si="290"/>
        <v>-134850</v>
      </c>
      <c r="CJ96" s="199">
        <f t="shared" si="291"/>
        <v>-0.0761948823821667</v>
      </c>
      <c r="CK96" s="192"/>
      <c r="CL96" s="201"/>
      <c r="CM96" s="351"/>
      <c r="CN96" s="200" t="str">
        <f t="shared" si="222"/>
        <v>2026//2//3</v>
      </c>
      <c r="CO96" s="200">
        <v>802246.48</v>
      </c>
      <c r="CP96" s="200">
        <f t="shared" si="292"/>
        <v>998746.48</v>
      </c>
      <c r="CQ96" s="12">
        <f t="shared" si="293"/>
        <v>-196500</v>
      </c>
      <c r="CR96" s="199">
        <f t="shared" si="294"/>
        <v>-0.196746625830411</v>
      </c>
      <c r="CS96" s="201"/>
      <c r="CT96" s="201"/>
      <c r="CU96" s="351"/>
      <c r="CV96" s="200" t="str">
        <f t="shared" si="223"/>
        <v>2026//2//3</v>
      </c>
      <c r="CW96" s="200">
        <v>685140.4</v>
      </c>
      <c r="CX96" s="200">
        <f t="shared" si="295"/>
        <v>713340.4</v>
      </c>
      <c r="CY96" s="346">
        <f t="shared" si="296"/>
        <v>-28200</v>
      </c>
      <c r="CZ96" s="347">
        <f t="shared" si="297"/>
        <v>-0.0395323186517965</v>
      </c>
      <c r="DA96" s="192"/>
      <c r="DB96" s="192"/>
      <c r="DC96" s="277"/>
      <c r="DD96" s="200" t="str">
        <f t="shared" si="224"/>
        <v>2026//2//3</v>
      </c>
      <c r="DE96" s="257">
        <v>2317117.98</v>
      </c>
      <c r="DF96" s="12">
        <f t="shared" si="298"/>
        <v>2295917.98</v>
      </c>
      <c r="DG96" s="348">
        <f t="shared" si="299"/>
        <v>21200</v>
      </c>
      <c r="DH96" s="349">
        <f t="shared" si="300"/>
        <v>0.00923377933561895</v>
      </c>
      <c r="DI96" s="192"/>
      <c r="DJ96" s="192"/>
      <c r="DK96" s="351"/>
      <c r="DL96" s="200" t="str">
        <f t="shared" si="225"/>
        <v>2026//2//3</v>
      </c>
      <c r="DM96" s="200">
        <v>1373300.36</v>
      </c>
      <c r="DN96" s="200">
        <f t="shared" si="301"/>
        <v>1371700.36</v>
      </c>
      <c r="DO96" s="348">
        <f t="shared" si="302"/>
        <v>1600</v>
      </c>
      <c r="DP96" s="349">
        <f t="shared" si="303"/>
        <v>0.00116643550345062</v>
      </c>
      <c r="DQ96" s="192"/>
      <c r="DR96" s="192"/>
      <c r="DS96" s="351"/>
      <c r="DT96" s="200" t="str">
        <f t="shared" si="226"/>
        <v>2026//2//3</v>
      </c>
      <c r="DU96" s="200">
        <v>1857389.48</v>
      </c>
      <c r="DV96" s="200">
        <f t="shared" si="304"/>
        <v>1844489.48</v>
      </c>
      <c r="DW96" s="348">
        <f t="shared" si="305"/>
        <v>12900</v>
      </c>
      <c r="DX96" s="349">
        <f t="shared" si="306"/>
        <v>0.00699380513680132</v>
      </c>
      <c r="DY96" s="192"/>
      <c r="DZ96" s="192"/>
      <c r="EA96" s="351"/>
      <c r="EB96" s="200" t="str">
        <f t="shared" si="227"/>
        <v>2026//2//3</v>
      </c>
      <c r="EC96" s="200">
        <v>5119916.82</v>
      </c>
      <c r="ED96" s="200">
        <f t="shared" si="307"/>
        <v>5070416.82</v>
      </c>
      <c r="EE96" s="348">
        <f t="shared" si="308"/>
        <v>49500</v>
      </c>
      <c r="EF96" s="349">
        <f t="shared" si="309"/>
        <v>0.00976251100397699</v>
      </c>
      <c r="EG96" s="192"/>
      <c r="EH96" s="192"/>
      <c r="EI96" s="351"/>
      <c r="EJ96" s="200" t="str">
        <f t="shared" si="228"/>
        <v>2026//2//3</v>
      </c>
      <c r="EK96" s="257">
        <v>1575722.96</v>
      </c>
      <c r="EL96" s="200">
        <f t="shared" si="310"/>
        <v>1559722.96</v>
      </c>
      <c r="EM96" s="348">
        <f t="shared" si="311"/>
        <v>16000</v>
      </c>
      <c r="EN96" s="349">
        <f t="shared" si="312"/>
        <v>0.0102582320132032</v>
      </c>
      <c r="EO96" s="192"/>
      <c r="EP96" s="192"/>
      <c r="EQ96" s="340"/>
      <c r="ER96" s="341" t="str">
        <f t="shared" si="229"/>
        <v>2026//2//3</v>
      </c>
      <c r="ES96" s="341">
        <v>524447</v>
      </c>
      <c r="ET96" s="341">
        <v>519947</v>
      </c>
      <c r="EU96" s="341">
        <v>4500</v>
      </c>
      <c r="EV96" s="350">
        <v>0.0087</v>
      </c>
      <c r="EW96" s="192"/>
      <c r="EX96" s="192"/>
      <c r="EY96" s="351"/>
      <c r="EZ96" s="200" t="str">
        <f t="shared" si="230"/>
        <v>2026//2//3</v>
      </c>
      <c r="FA96" s="200">
        <v>660308</v>
      </c>
      <c r="FB96" s="200">
        <f t="shared" si="316"/>
        <v>672008</v>
      </c>
      <c r="FC96" s="346">
        <f t="shared" si="317"/>
        <v>-11700</v>
      </c>
      <c r="FD96" s="347">
        <f t="shared" si="318"/>
        <v>-0.0174105070177736</v>
      </c>
      <c r="FE96" s="192"/>
      <c r="FF96" s="192"/>
      <c r="FH96" s="200" t="str">
        <f t="shared" si="231"/>
        <v>2026//2//3</v>
      </c>
      <c r="FI96" s="198">
        <v>975395.33</v>
      </c>
      <c r="FJ96" s="8">
        <f t="shared" si="319"/>
        <v>950695.33</v>
      </c>
      <c r="FK96" s="348">
        <f t="shared" si="320"/>
        <v>24700</v>
      </c>
      <c r="FL96" s="349">
        <f t="shared" si="321"/>
        <v>0.0259809838342216</v>
      </c>
      <c r="FM96" s="201"/>
      <c r="FN96" s="201"/>
      <c r="FO96" s="351"/>
      <c r="FP96" s="200" t="str">
        <f t="shared" si="232"/>
        <v>2026//2//3</v>
      </c>
      <c r="FQ96" s="200">
        <v>2345668.73</v>
      </c>
      <c r="FR96" s="200">
        <f t="shared" si="322"/>
        <v>2347768.73</v>
      </c>
      <c r="FS96" s="346">
        <f t="shared" si="323"/>
        <v>-2100</v>
      </c>
      <c r="FT96" s="347">
        <f t="shared" si="324"/>
        <v>-0.000894466296090416</v>
      </c>
      <c r="FU96" s="192"/>
      <c r="FV96" s="192"/>
      <c r="FW96" s="351"/>
      <c r="FX96" s="200" t="str">
        <f t="shared" si="233"/>
        <v>2026//2//3</v>
      </c>
      <c r="FY96" s="200">
        <v>7757582.05</v>
      </c>
      <c r="FZ96" s="200">
        <f t="shared" si="325"/>
        <v>7752882.05</v>
      </c>
      <c r="GA96" s="348">
        <f t="shared" si="326"/>
        <v>4700</v>
      </c>
      <c r="GB96" s="349">
        <f t="shared" si="327"/>
        <v>0.00060622617107918</v>
      </c>
      <c r="GC96" s="192"/>
      <c r="GD96" s="192"/>
      <c r="GE96" s="351"/>
      <c r="GF96" s="200" t="str">
        <f t="shared" si="234"/>
        <v>2026//2//3</v>
      </c>
      <c r="GG96" s="200">
        <v>4796069.49</v>
      </c>
      <c r="GH96" s="200">
        <f t="shared" si="328"/>
        <v>4803669.49</v>
      </c>
      <c r="GI96" s="346">
        <f t="shared" si="329"/>
        <v>-7600</v>
      </c>
      <c r="GJ96" s="347">
        <f t="shared" si="330"/>
        <v>-0.00158212383591778</v>
      </c>
      <c r="GK96" s="192"/>
      <c r="GL96" s="192"/>
      <c r="GM96" s="351"/>
      <c r="GN96" s="200" t="str">
        <f t="shared" si="235"/>
        <v>2026//2//3</v>
      </c>
      <c r="GO96" s="257">
        <v>1853338.12</v>
      </c>
      <c r="GP96" s="200">
        <f t="shared" si="331"/>
        <v>1861918.12</v>
      </c>
      <c r="GQ96" s="346">
        <f t="shared" si="332"/>
        <v>-8580</v>
      </c>
      <c r="GR96" s="347">
        <f t="shared" si="333"/>
        <v>-0.00460815108239024</v>
      </c>
      <c r="GS96" s="192"/>
      <c r="GT96" s="192"/>
      <c r="GU96" s="351"/>
      <c r="GV96" s="200" t="str">
        <f t="shared" si="236"/>
        <v>2026//2//3</v>
      </c>
      <c r="GW96" s="200">
        <v>980149.4</v>
      </c>
      <c r="GX96" s="200">
        <f t="shared" si="334"/>
        <v>972749.4</v>
      </c>
      <c r="GY96" s="348">
        <f t="shared" si="335"/>
        <v>7400</v>
      </c>
      <c r="GZ96" s="349">
        <f t="shared" si="336"/>
        <v>0.00760730358713149</v>
      </c>
      <c r="HA96" s="192"/>
      <c r="HB96" s="192"/>
      <c r="HC96" s="351"/>
      <c r="HD96" s="200" t="str">
        <f t="shared" si="237"/>
        <v>2026//2//3</v>
      </c>
      <c r="HE96" s="257">
        <v>1246964.67</v>
      </c>
      <c r="HF96" s="200">
        <f t="shared" si="337"/>
        <v>1239764.67</v>
      </c>
      <c r="HG96" s="348">
        <f t="shared" si="338"/>
        <v>7200</v>
      </c>
      <c r="HH96" s="349">
        <f t="shared" si="339"/>
        <v>0.0058075537835741</v>
      </c>
      <c r="HI96" s="201"/>
      <c r="HJ96" s="192"/>
      <c r="HK96" s="351"/>
      <c r="HL96" s="200" t="str">
        <f t="shared" si="238"/>
        <v>2026//2//3</v>
      </c>
      <c r="HM96" s="200">
        <v>145004.25</v>
      </c>
      <c r="HN96" s="200">
        <f t="shared" si="340"/>
        <v>145554.25</v>
      </c>
      <c r="HO96" s="346">
        <f t="shared" si="341"/>
        <v>-550</v>
      </c>
      <c r="HP96" s="347">
        <f t="shared" si="342"/>
        <v>-0.00377865984675817</v>
      </c>
      <c r="HQ96" s="192"/>
      <c r="HR96" s="192"/>
      <c r="HS96" s="351"/>
      <c r="HT96" s="200" t="str">
        <f t="shared" si="239"/>
        <v>2026//2//3</v>
      </c>
      <c r="HU96" s="257">
        <v>241068.82</v>
      </c>
      <c r="HV96" s="200">
        <f t="shared" si="343"/>
        <v>241868.82</v>
      </c>
      <c r="HW96" s="346">
        <f t="shared" si="344"/>
        <v>-800</v>
      </c>
      <c r="HX96" s="347">
        <f t="shared" si="345"/>
        <v>-0.00330757804995286</v>
      </c>
      <c r="HY96" s="192"/>
      <c r="HZ96" s="192"/>
      <c r="IA96" s="351"/>
      <c r="IB96" s="200" t="str">
        <f t="shared" si="240"/>
        <v>2026//2//3</v>
      </c>
      <c r="IC96" s="200">
        <v>446484.79</v>
      </c>
      <c r="ID96" s="200">
        <f t="shared" si="346"/>
        <v>431709.79</v>
      </c>
      <c r="IE96" s="348">
        <f t="shared" si="347"/>
        <v>14775</v>
      </c>
      <c r="IF96" s="349">
        <f t="shared" si="348"/>
        <v>0.0342243802254288</v>
      </c>
      <c r="IG96" s="201"/>
      <c r="IH96" s="192"/>
      <c r="II96" s="351"/>
      <c r="IJ96" s="200" t="str">
        <f t="shared" si="241"/>
        <v>2026//2//3</v>
      </c>
      <c r="IK96" s="257">
        <v>401276.29</v>
      </c>
      <c r="IL96" s="200">
        <f t="shared" si="349"/>
        <v>401356.29</v>
      </c>
      <c r="IM96" s="346">
        <f t="shared" si="350"/>
        <v>-80</v>
      </c>
      <c r="IN96" s="347">
        <f t="shared" si="351"/>
        <v>-0.000199324146632908</v>
      </c>
      <c r="IO96" s="192"/>
      <c r="IP96" s="192"/>
      <c r="IQ96" s="351"/>
      <c r="IR96" s="200" t="str">
        <f t="shared" si="242"/>
        <v>2026//2//3</v>
      </c>
      <c r="IS96" s="200">
        <v>155689</v>
      </c>
      <c r="IT96" s="200">
        <f t="shared" si="352"/>
        <v>155089</v>
      </c>
      <c r="IU96" s="348">
        <f t="shared" si="353"/>
        <v>600</v>
      </c>
      <c r="IV96" s="349">
        <f t="shared" si="354"/>
        <v>0.00386874633275087</v>
      </c>
      <c r="IW96" s="192"/>
      <c r="IX96" s="192"/>
      <c r="IY96" s="351"/>
      <c r="IZ96" s="200" t="str">
        <f t="shared" si="243"/>
        <v>2026//2//3</v>
      </c>
      <c r="JA96" s="200">
        <v>4836729.15</v>
      </c>
      <c r="JB96" s="200">
        <f t="shared" si="355"/>
        <v>4741429.15</v>
      </c>
      <c r="JC96" s="348">
        <f t="shared" si="356"/>
        <v>95300</v>
      </c>
      <c r="JD96" s="349">
        <f t="shared" si="357"/>
        <v>0.0200994250857887</v>
      </c>
      <c r="JE96" s="192"/>
      <c r="JF96" s="192"/>
      <c r="JG96" s="351"/>
      <c r="JH96" s="200" t="str">
        <f t="shared" si="244"/>
        <v>2026//2//3</v>
      </c>
      <c r="JI96" s="200">
        <v>1592547.99</v>
      </c>
      <c r="JJ96" s="200">
        <f t="shared" si="358"/>
        <v>1599387.99</v>
      </c>
      <c r="JK96" s="346">
        <f t="shared" si="359"/>
        <v>-6840</v>
      </c>
      <c r="JL96" s="347">
        <f t="shared" si="360"/>
        <v>-0.00427663583993775</v>
      </c>
      <c r="JM96" s="192"/>
      <c r="JN96" s="192"/>
      <c r="JP96" s="200" t="str">
        <f t="shared" si="245"/>
        <v>2026//2//3</v>
      </c>
      <c r="JQ96" s="257">
        <v>1259990.41</v>
      </c>
      <c r="JR96" s="200">
        <f t="shared" si="361"/>
        <v>1262490.41</v>
      </c>
      <c r="JS96" s="346">
        <f t="shared" si="362"/>
        <v>-2500</v>
      </c>
      <c r="JT96" s="347">
        <f t="shared" si="363"/>
        <v>-0.00198021306157882</v>
      </c>
      <c r="JU96" s="192"/>
      <c r="JV96" s="201"/>
      <c r="JX96" s="200" t="str">
        <f t="shared" si="246"/>
        <v>2026//2//3</v>
      </c>
      <c r="JY96" s="200">
        <v>1328298.8</v>
      </c>
      <c r="JZ96" s="200">
        <f t="shared" si="364"/>
        <v>1322598.8</v>
      </c>
      <c r="KA96" s="348">
        <f t="shared" si="365"/>
        <v>5700</v>
      </c>
      <c r="KB96" s="349">
        <f t="shared" si="366"/>
        <v>0.00430969693908689</v>
      </c>
      <c r="KC96" s="192"/>
      <c r="KD96" s="201"/>
      <c r="KF96" s="200" t="str">
        <f t="shared" si="247"/>
        <v>2026//2//3</v>
      </c>
      <c r="KG96" s="257">
        <v>810755.92</v>
      </c>
      <c r="KH96" s="200">
        <f t="shared" si="367"/>
        <v>814755.92</v>
      </c>
      <c r="KI96" s="346">
        <f t="shared" si="368"/>
        <v>-4000</v>
      </c>
      <c r="KJ96" s="347">
        <f t="shared" si="369"/>
        <v>-0.00490944576383072</v>
      </c>
      <c r="KK96" s="201"/>
      <c r="KL96" s="201"/>
      <c r="KM96" s="351"/>
      <c r="KN96" s="200" t="str">
        <f t="shared" si="248"/>
        <v>2026//2//3</v>
      </c>
      <c r="KO96" s="200">
        <v>7084575.95</v>
      </c>
      <c r="KP96" s="200">
        <f t="shared" si="370"/>
        <v>7011075.95</v>
      </c>
      <c r="KQ96" s="348">
        <f t="shared" si="371"/>
        <v>73500</v>
      </c>
      <c r="KR96" s="349">
        <f t="shared" si="372"/>
        <v>0.0104834123213285</v>
      </c>
      <c r="KS96" s="192"/>
      <c r="KT96" s="192"/>
      <c r="KU96" s="351"/>
      <c r="KV96" s="200" t="str">
        <f t="shared" si="249"/>
        <v>2026//2//3</v>
      </c>
      <c r="KW96" s="257">
        <v>1025772.97</v>
      </c>
      <c r="KX96" s="200">
        <f t="shared" si="373"/>
        <v>1025772.97</v>
      </c>
      <c r="KY96" s="346">
        <f t="shared" si="374"/>
        <v>0</v>
      </c>
      <c r="KZ96" s="347">
        <f t="shared" si="375"/>
        <v>0</v>
      </c>
      <c r="LA96" s="201"/>
      <c r="LB96" s="192"/>
      <c r="LC96" s="351"/>
      <c r="LD96" s="200" t="str">
        <f t="shared" si="250"/>
        <v>2026//2//3</v>
      </c>
      <c r="LE96" s="200">
        <v>455857.7</v>
      </c>
      <c r="LF96" s="200">
        <f t="shared" si="376"/>
        <v>465057.7</v>
      </c>
      <c r="LG96" s="346">
        <f t="shared" si="377"/>
        <v>-9200</v>
      </c>
      <c r="LH96" s="347">
        <f t="shared" si="378"/>
        <v>-0.0197824915058927</v>
      </c>
      <c r="LI96" s="192"/>
      <c r="LJ96" s="192"/>
      <c r="LK96" s="351"/>
      <c r="LL96" s="200" t="str">
        <f t="shared" si="251"/>
        <v>2026//2//3</v>
      </c>
      <c r="LM96" s="198">
        <v>3536215.02</v>
      </c>
      <c r="LN96" s="200">
        <f t="shared" si="379"/>
        <v>3528835.02</v>
      </c>
      <c r="LO96" s="348">
        <f t="shared" si="380"/>
        <v>7380</v>
      </c>
      <c r="LP96" s="349">
        <f t="shared" si="381"/>
        <v>0.00209134174824642</v>
      </c>
      <c r="LQ96" s="192"/>
      <c r="LR96" s="192"/>
      <c r="LS96" s="351"/>
      <c r="LT96" s="200" t="str">
        <f t="shared" si="252"/>
        <v>2026//2//3</v>
      </c>
      <c r="LU96" s="257">
        <v>2940862.9</v>
      </c>
      <c r="LV96" s="200">
        <f t="shared" si="382"/>
        <v>2943062.9</v>
      </c>
      <c r="LW96" s="346">
        <f t="shared" si="383"/>
        <v>-2200</v>
      </c>
      <c r="LX96" s="347">
        <f t="shared" si="384"/>
        <v>-0.000747520550784015</v>
      </c>
      <c r="LY96" s="192"/>
      <c r="LZ96" s="192"/>
      <c r="MA96" s="351"/>
      <c r="MB96" s="200" t="str">
        <f t="shared" si="253"/>
        <v>2026//2//3</v>
      </c>
      <c r="MC96" s="200">
        <v>829867.69</v>
      </c>
      <c r="MD96" s="200">
        <f t="shared" si="385"/>
        <v>827567.69</v>
      </c>
      <c r="ME96" s="348">
        <f t="shared" si="386"/>
        <v>2300</v>
      </c>
      <c r="MF96" s="349">
        <f t="shared" si="387"/>
        <v>0.00277922885075419</v>
      </c>
      <c r="MG96" s="192"/>
      <c r="MH96" s="192"/>
      <c r="MI96" s="342"/>
      <c r="MJ96" s="341">
        <v>1.0973</v>
      </c>
      <c r="MK96" s="341" t="str">
        <f t="shared" si="254"/>
        <v>2026//2//3</v>
      </c>
      <c r="ML96" s="341">
        <v>257146</v>
      </c>
      <c r="MM96" s="12">
        <f t="shared" si="388"/>
        <v>260986</v>
      </c>
      <c r="MN96" s="341">
        <v>-3840</v>
      </c>
      <c r="MO96" s="350">
        <v>-0.0147</v>
      </c>
      <c r="MP96" s="192"/>
      <c r="MQ96" s="352"/>
      <c r="MR96" s="352"/>
      <c r="MS96" s="204">
        <v>1.4101</v>
      </c>
      <c r="MT96" s="295" t="str">
        <f t="shared" si="255"/>
        <v>2026//2//3</v>
      </c>
      <c r="MU96" s="204">
        <v>161015</v>
      </c>
      <c r="MV96" s="204">
        <f t="shared" si="391"/>
        <v>161715</v>
      </c>
      <c r="MW96" s="204">
        <v>-700</v>
      </c>
      <c r="MX96" s="296">
        <v>-0.0043</v>
      </c>
      <c r="MY96" s="192"/>
      <c r="MZ96" s="192"/>
      <c r="NA96" s="192"/>
      <c r="NB96" s="204">
        <v>1.43</v>
      </c>
      <c r="NC96" s="204" t="str">
        <f t="shared" si="256"/>
        <v>2026//2//3</v>
      </c>
      <c r="ND96" s="204">
        <v>41691</v>
      </c>
      <c r="NE96" s="204">
        <f t="shared" si="392"/>
        <v>44291</v>
      </c>
      <c r="NF96" s="204">
        <v>-2600</v>
      </c>
      <c r="NG96" s="296">
        <v>-0.0587</v>
      </c>
      <c r="NH96" s="192"/>
      <c r="NI96" s="192"/>
      <c r="NJ96" s="192"/>
      <c r="NK96" s="192"/>
      <c r="NL96" s="205">
        <v>1.1493</v>
      </c>
      <c r="NM96" s="204" t="str">
        <f t="shared" si="257"/>
        <v>2026//2//3</v>
      </c>
      <c r="NN96" s="205">
        <v>2524211</v>
      </c>
      <c r="NO96" s="8">
        <f t="shared" si="393"/>
        <v>2498811</v>
      </c>
      <c r="NP96" s="205">
        <v>25400</v>
      </c>
      <c r="NQ96" s="292">
        <v>0.0102</v>
      </c>
      <c r="NR96" s="293"/>
      <c r="NS96" s="205">
        <v>1.0426</v>
      </c>
      <c r="NT96" s="294"/>
      <c r="NU96" s="204" t="str">
        <f t="shared" si="258"/>
        <v>2026//2//3</v>
      </c>
      <c r="NV96" s="205">
        <v>242376</v>
      </c>
      <c r="NW96" s="205">
        <f t="shared" si="394"/>
        <v>242176</v>
      </c>
      <c r="NX96" s="205">
        <v>200</v>
      </c>
      <c r="NY96" s="292">
        <v>0.0008</v>
      </c>
      <c r="NZ96" s="201"/>
      <c r="OA96" s="351"/>
      <c r="OB96" s="351"/>
      <c r="OC96" s="200" t="str">
        <f t="shared" si="259"/>
        <v>2026//2//3</v>
      </c>
      <c r="OD96" s="200">
        <v>11389.97</v>
      </c>
      <c r="OE96" s="8">
        <f t="shared" si="395"/>
        <v>11457.97</v>
      </c>
      <c r="OF96" s="346">
        <f t="shared" si="396"/>
        <v>-68</v>
      </c>
      <c r="OG96" s="347">
        <f t="shared" si="397"/>
        <v>-0.00593473363955395</v>
      </c>
      <c r="OH96" s="192"/>
      <c r="OI96" s="192"/>
      <c r="OJ96" s="351"/>
      <c r="OK96" s="200" t="str">
        <f t="shared" si="260"/>
        <v>2026//2//3</v>
      </c>
      <c r="OL96" s="200">
        <v>10793.65</v>
      </c>
      <c r="OM96" s="8">
        <f t="shared" si="398"/>
        <v>10793.65</v>
      </c>
      <c r="ON96" s="8">
        <f t="shared" si="399"/>
        <v>0</v>
      </c>
      <c r="OO96" s="192">
        <f t="shared" si="400"/>
        <v>0</v>
      </c>
      <c r="OP96" s="192"/>
      <c r="OQ96" s="192"/>
      <c r="OT96" s="234" t="str">
        <f t="shared" si="211"/>
        <v>2026//2//3</v>
      </c>
      <c r="OU96" s="206">
        <v>139632.4066</v>
      </c>
      <c r="OV96" s="8">
        <f t="shared" si="401"/>
        <v>139512.4066</v>
      </c>
      <c r="OW96" s="191">
        <f t="shared" si="402"/>
        <v>120</v>
      </c>
      <c r="OX96" s="192">
        <f t="shared" si="403"/>
        <v>0.000860138556308153</v>
      </c>
    </row>
    <row r="97" s="8" customFormat="1" ht="17" customHeight="1" spans="1:414">
      <c r="A97" s="15"/>
      <c r="B97" s="15"/>
      <c r="C97" s="193" t="s">
        <v>525</v>
      </c>
      <c r="D97" s="334">
        <v>4750698.77</v>
      </c>
      <c r="E97" s="334">
        <v>4868778.77</v>
      </c>
      <c r="F97" s="332">
        <f t="shared" si="262"/>
        <v>-118080</v>
      </c>
      <c r="G97" s="333">
        <f t="shared" si="263"/>
        <v>-0.0242524882682234</v>
      </c>
      <c r="H97" s="18"/>
      <c r="I97" s="122"/>
      <c r="J97" s="122"/>
      <c r="K97" s="125" t="str">
        <f t="shared" si="212"/>
        <v>2026//2//2</v>
      </c>
      <c r="L97" s="334">
        <v>3236824.4</v>
      </c>
      <c r="M97" s="334">
        <v>3247534.4</v>
      </c>
      <c r="N97" s="332">
        <f t="shared" si="265"/>
        <v>-10710</v>
      </c>
      <c r="O97" s="333">
        <f t="shared" si="266"/>
        <v>-0.00329788654432729</v>
      </c>
      <c r="P97" s="18"/>
      <c r="Q97" s="122"/>
      <c r="R97" s="125"/>
      <c r="S97" s="125" t="str">
        <f t="shared" si="213"/>
        <v>2026//2//2</v>
      </c>
      <c r="T97" s="334">
        <v>2517726.68</v>
      </c>
      <c r="U97" s="334">
        <v>2555616.68</v>
      </c>
      <c r="V97" s="332">
        <f t="shared" si="268"/>
        <v>-37890</v>
      </c>
      <c r="W97" s="333">
        <f t="shared" si="269"/>
        <v>-0.0148261671229975</v>
      </c>
      <c r="X97" s="18"/>
      <c r="Y97" s="122"/>
      <c r="Z97" s="125"/>
      <c r="AA97" s="125" t="str">
        <f t="shared" si="214"/>
        <v>2026//2//2</v>
      </c>
      <c r="AB97" s="334">
        <v>1116056.86</v>
      </c>
      <c r="AC97" s="334">
        <v>1260656.86</v>
      </c>
      <c r="AD97" s="332">
        <f t="shared" si="271"/>
        <v>-144600</v>
      </c>
      <c r="AE97" s="333">
        <f t="shared" si="272"/>
        <v>-0.114702108549982</v>
      </c>
      <c r="AF97" s="18"/>
      <c r="AG97" s="122"/>
      <c r="AH97" s="125"/>
      <c r="AI97" s="125" t="str">
        <f t="shared" si="215"/>
        <v>2026//2//2</v>
      </c>
      <c r="AJ97" s="334">
        <v>1022321.76</v>
      </c>
      <c r="AK97" s="125">
        <v>1071121.76</v>
      </c>
      <c r="AL97" s="332">
        <f t="shared" si="274"/>
        <v>-48800</v>
      </c>
      <c r="AM97" s="333">
        <f t="shared" si="275"/>
        <v>-0.0455597130245958</v>
      </c>
      <c r="AN97" s="18"/>
      <c r="AO97" s="18"/>
      <c r="AP97" s="125"/>
      <c r="AQ97" s="125" t="str">
        <f t="shared" si="216"/>
        <v>2026//2//2</v>
      </c>
      <c r="AR97" s="145">
        <v>1908345.49</v>
      </c>
      <c r="AS97" s="353">
        <v>1892445.49</v>
      </c>
      <c r="AT97" s="335">
        <f t="shared" si="277"/>
        <v>15900</v>
      </c>
      <c r="AU97" s="336">
        <f t="shared" si="278"/>
        <v>0.00840182720401632</v>
      </c>
      <c r="AV97" s="18"/>
      <c r="AW97" s="18"/>
      <c r="AX97" s="17"/>
      <c r="AY97" s="205">
        <v>4.8089</v>
      </c>
      <c r="AZ97" s="204" t="str">
        <f t="shared" si="217"/>
        <v>2026//2//2</v>
      </c>
      <c r="BA97" s="205">
        <v>2066782</v>
      </c>
      <c r="BB97" s="205">
        <f t="shared" si="279"/>
        <v>2077312</v>
      </c>
      <c r="BC97" s="205">
        <v>-10530</v>
      </c>
      <c r="BD97" s="292">
        <v>-0.0051</v>
      </c>
      <c r="BE97" s="18"/>
      <c r="BF97" s="18"/>
      <c r="BG97" s="74"/>
      <c r="BH97" s="194" t="str">
        <f t="shared" si="218"/>
        <v>2026//2//2</v>
      </c>
      <c r="BI97" s="256">
        <v>983326.55</v>
      </c>
      <c r="BJ97" s="256">
        <v>976326.55</v>
      </c>
      <c r="BK97" s="354">
        <f t="shared" si="281"/>
        <v>7000</v>
      </c>
      <c r="BL97" s="355">
        <f t="shared" si="282"/>
        <v>0.00716973229909604</v>
      </c>
      <c r="BM97" s="197"/>
      <c r="BN97" s="192"/>
      <c r="BO97" s="351"/>
      <c r="BP97" s="200" t="str">
        <f t="shared" si="219"/>
        <v>2026//2//2</v>
      </c>
      <c r="BQ97" s="198">
        <v>1567162.39</v>
      </c>
      <c r="BR97" s="257">
        <v>1612862.39</v>
      </c>
      <c r="BS97" s="346">
        <f t="shared" si="284"/>
        <v>-45700</v>
      </c>
      <c r="BT97" s="347">
        <f t="shared" si="285"/>
        <v>-0.0283347173840417</v>
      </c>
      <c r="BU97" s="192"/>
      <c r="BV97" s="192"/>
      <c r="BW97" s="351"/>
      <c r="BX97" s="200" t="str">
        <f t="shared" si="220"/>
        <v>2026//2//2</v>
      </c>
      <c r="BY97" s="257">
        <v>3614660.7</v>
      </c>
      <c r="BZ97" s="257">
        <v>3656610.7</v>
      </c>
      <c r="CA97" s="346">
        <f t="shared" si="287"/>
        <v>-41950</v>
      </c>
      <c r="CB97" s="347">
        <f t="shared" si="288"/>
        <v>-0.0114723724896391</v>
      </c>
      <c r="CC97" s="192"/>
      <c r="CD97" s="201"/>
      <c r="CE97" s="351"/>
      <c r="CF97" s="200" t="str">
        <f t="shared" si="221"/>
        <v>2026//2//2</v>
      </c>
      <c r="CG97" s="200">
        <v>1769803.9</v>
      </c>
      <c r="CH97" s="12">
        <f t="shared" si="289"/>
        <v>1888453.9</v>
      </c>
      <c r="CI97" s="12">
        <f t="shared" si="290"/>
        <v>-118650</v>
      </c>
      <c r="CJ97" s="199">
        <f t="shared" si="291"/>
        <v>-0.0628291747021201</v>
      </c>
      <c r="CK97" s="192"/>
      <c r="CL97" s="201"/>
      <c r="CM97" s="351"/>
      <c r="CN97" s="200" t="str">
        <f t="shared" si="222"/>
        <v>2026//2//2</v>
      </c>
      <c r="CO97" s="200">
        <v>998746.48</v>
      </c>
      <c r="CP97" s="200">
        <v>1014346.48</v>
      </c>
      <c r="CQ97" s="12">
        <f t="shared" si="293"/>
        <v>-15600</v>
      </c>
      <c r="CR97" s="199">
        <f t="shared" si="294"/>
        <v>-0.0153793603148305</v>
      </c>
      <c r="CS97" s="201"/>
      <c r="CT97" s="201"/>
      <c r="CU97" s="351"/>
      <c r="CV97" s="200" t="str">
        <f t="shared" si="223"/>
        <v>2026//2//2</v>
      </c>
      <c r="CW97" s="200">
        <v>713340.4</v>
      </c>
      <c r="CX97" s="200">
        <v>728990.4</v>
      </c>
      <c r="CY97" s="346">
        <f t="shared" si="296"/>
        <v>-15650</v>
      </c>
      <c r="CZ97" s="347">
        <f t="shared" si="297"/>
        <v>-0.0214680467671454</v>
      </c>
      <c r="DA97" s="192"/>
      <c r="DB97" s="192"/>
      <c r="DC97" s="277"/>
      <c r="DD97" s="200" t="str">
        <f t="shared" si="224"/>
        <v>2026//2//2</v>
      </c>
      <c r="DE97" s="257">
        <v>2295917.98</v>
      </c>
      <c r="DF97" s="12">
        <f t="shared" si="298"/>
        <v>2256317.98</v>
      </c>
      <c r="DG97" s="348">
        <f t="shared" si="299"/>
        <v>39600</v>
      </c>
      <c r="DH97" s="349">
        <f t="shared" si="300"/>
        <v>0.0175507177405908</v>
      </c>
      <c r="DI97" s="192"/>
      <c r="DJ97" s="192"/>
      <c r="DK97" s="351"/>
      <c r="DL97" s="200" t="str">
        <f t="shared" si="225"/>
        <v>2026//2//2</v>
      </c>
      <c r="DM97" s="200">
        <v>1371700.36</v>
      </c>
      <c r="DN97" s="200">
        <v>1326500.36</v>
      </c>
      <c r="DO97" s="348">
        <f t="shared" si="302"/>
        <v>45200</v>
      </c>
      <c r="DP97" s="349">
        <f t="shared" si="303"/>
        <v>0.0340746232439771</v>
      </c>
      <c r="DQ97" s="192"/>
      <c r="DR97" s="192"/>
      <c r="DS97" s="351"/>
      <c r="DT97" s="200" t="str">
        <f t="shared" si="226"/>
        <v>2026//2//2</v>
      </c>
      <c r="DU97" s="200">
        <v>1844489.48</v>
      </c>
      <c r="DV97" s="200">
        <v>1832789.48</v>
      </c>
      <c r="DW97" s="348">
        <f t="shared" si="305"/>
        <v>11700</v>
      </c>
      <c r="DX97" s="349">
        <f t="shared" si="306"/>
        <v>0.00638371189254098</v>
      </c>
      <c r="DY97" s="192"/>
      <c r="DZ97" s="192"/>
      <c r="EA97" s="351"/>
      <c r="EB97" s="200" t="str">
        <f t="shared" si="227"/>
        <v>2026//2//2</v>
      </c>
      <c r="EC97" s="200">
        <v>5070416.82</v>
      </c>
      <c r="ED97" s="200">
        <v>5039366.82</v>
      </c>
      <c r="EE97" s="348">
        <f t="shared" si="308"/>
        <v>31050</v>
      </c>
      <c r="EF97" s="349">
        <f t="shared" si="309"/>
        <v>0.00616148835936496</v>
      </c>
      <c r="EG97" s="192"/>
      <c r="EH97" s="192"/>
      <c r="EI97" s="351"/>
      <c r="EJ97" s="200" t="str">
        <f t="shared" si="228"/>
        <v>2026//2//2</v>
      </c>
      <c r="EK97" s="257">
        <v>1559722.96</v>
      </c>
      <c r="EL97" s="257">
        <v>1562922.96</v>
      </c>
      <c r="EM97" s="346">
        <f t="shared" si="311"/>
        <v>-3200</v>
      </c>
      <c r="EN97" s="347">
        <f t="shared" si="312"/>
        <v>-0.00204744576789633</v>
      </c>
      <c r="EO97" s="192"/>
      <c r="EP97" s="192"/>
      <c r="EQ97" s="340"/>
      <c r="ER97" s="341" t="str">
        <f t="shared" si="229"/>
        <v>2026//2//2</v>
      </c>
      <c r="ES97" s="341">
        <v>519947</v>
      </c>
      <c r="ET97" s="341">
        <v>522347</v>
      </c>
      <c r="EU97" s="341">
        <v>-2400</v>
      </c>
      <c r="EV97" s="350">
        <v>-0.0046</v>
      </c>
      <c r="EW97" s="192"/>
      <c r="EX97" s="192"/>
      <c r="EY97" s="351"/>
      <c r="EZ97" s="200" t="str">
        <f t="shared" si="230"/>
        <v>2026//2//2</v>
      </c>
      <c r="FA97" s="200">
        <v>672008</v>
      </c>
      <c r="FB97" s="200">
        <v>674708</v>
      </c>
      <c r="FC97" s="346">
        <f t="shared" si="317"/>
        <v>-2700</v>
      </c>
      <c r="FD97" s="347">
        <f t="shared" si="318"/>
        <v>-0.00400173111923973</v>
      </c>
      <c r="FE97" s="192"/>
      <c r="FF97" s="192"/>
      <c r="FH97" s="200" t="str">
        <f t="shared" si="231"/>
        <v>2026//2//2</v>
      </c>
      <c r="FI97" s="198">
        <v>950695.33</v>
      </c>
      <c r="FJ97" s="8">
        <f t="shared" si="319"/>
        <v>914995</v>
      </c>
      <c r="FK97" s="348">
        <f t="shared" si="320"/>
        <v>35700.33</v>
      </c>
      <c r="FL97" s="349">
        <f t="shared" si="321"/>
        <v>0.0390169673058322</v>
      </c>
      <c r="FM97" s="349"/>
      <c r="FN97" s="201"/>
      <c r="FO97" s="351"/>
      <c r="FP97" s="200" t="str">
        <f t="shared" si="232"/>
        <v>2026//2//2</v>
      </c>
      <c r="FQ97" s="200">
        <v>2347768.73</v>
      </c>
      <c r="FR97" s="200">
        <v>2315668.73</v>
      </c>
      <c r="FS97" s="348">
        <f t="shared" si="323"/>
        <v>32100</v>
      </c>
      <c r="FT97" s="349">
        <f t="shared" si="324"/>
        <v>0.0138620863960969</v>
      </c>
      <c r="FU97" s="192"/>
      <c r="FV97" s="192"/>
      <c r="FW97" s="351"/>
      <c r="FX97" s="200" t="str">
        <f t="shared" si="233"/>
        <v>2026//2//2</v>
      </c>
      <c r="FY97" s="200">
        <v>7752882.05</v>
      </c>
      <c r="FZ97" s="200">
        <v>7652182.05</v>
      </c>
      <c r="GA97" s="348">
        <f t="shared" si="326"/>
        <v>100700</v>
      </c>
      <c r="GB97" s="349">
        <f t="shared" si="327"/>
        <v>0.0131596450975706</v>
      </c>
      <c r="GC97" s="192"/>
      <c r="GD97" s="192"/>
      <c r="GE97" s="351"/>
      <c r="GF97" s="200" t="str">
        <f t="shared" si="234"/>
        <v>2026//2//2</v>
      </c>
      <c r="GG97" s="200">
        <v>4803669.49</v>
      </c>
      <c r="GH97" s="200">
        <v>4740569.49</v>
      </c>
      <c r="GI97" s="348">
        <f t="shared" si="329"/>
        <v>63100</v>
      </c>
      <c r="GJ97" s="349">
        <f t="shared" si="330"/>
        <v>0.0133106370728467</v>
      </c>
      <c r="GK97" s="192"/>
      <c r="GL97" s="192"/>
      <c r="GM97" s="351"/>
      <c r="GN97" s="200" t="str">
        <f t="shared" si="235"/>
        <v>2026//2//2</v>
      </c>
      <c r="GO97" s="257">
        <v>1861918.12</v>
      </c>
      <c r="GP97" s="257">
        <v>1843798.12</v>
      </c>
      <c r="GQ97" s="348">
        <f t="shared" si="332"/>
        <v>18120</v>
      </c>
      <c r="GR97" s="349">
        <f t="shared" si="333"/>
        <v>0.00982754012136643</v>
      </c>
      <c r="GS97" s="192"/>
      <c r="GT97" s="192"/>
      <c r="GU97" s="351"/>
      <c r="GV97" s="200" t="str">
        <f t="shared" si="236"/>
        <v>2026//2//2</v>
      </c>
      <c r="GW97" s="200">
        <v>972749.4</v>
      </c>
      <c r="GX97" s="200">
        <v>990549.4</v>
      </c>
      <c r="GY97" s="346">
        <f t="shared" si="335"/>
        <v>-17800</v>
      </c>
      <c r="GZ97" s="347">
        <f t="shared" si="336"/>
        <v>-0.017969825634138</v>
      </c>
      <c r="HA97" s="192"/>
      <c r="HB97" s="192"/>
      <c r="HC97" s="351"/>
      <c r="HD97" s="200" t="str">
        <f t="shared" si="237"/>
        <v>2026//2//2</v>
      </c>
      <c r="HE97" s="257">
        <v>1239764.67</v>
      </c>
      <c r="HF97" s="257">
        <v>1250964.67</v>
      </c>
      <c r="HG97" s="346">
        <f t="shared" si="338"/>
        <v>-11200</v>
      </c>
      <c r="HH97" s="347">
        <f t="shared" si="339"/>
        <v>-0.00895309057768994</v>
      </c>
      <c r="HI97" s="201"/>
      <c r="HJ97" s="192"/>
      <c r="HK97" s="351"/>
      <c r="HL97" s="200" t="str">
        <f t="shared" si="238"/>
        <v>2026//2//2</v>
      </c>
      <c r="HM97" s="200">
        <v>145554.25</v>
      </c>
      <c r="HN97" s="200">
        <v>145654.25</v>
      </c>
      <c r="HO97" s="346">
        <f t="shared" si="341"/>
        <v>-100</v>
      </c>
      <c r="HP97" s="347">
        <f t="shared" si="342"/>
        <v>-0.000686557378174684</v>
      </c>
      <c r="HQ97" s="192"/>
      <c r="HR97" s="192"/>
      <c r="HS97" s="351"/>
      <c r="HT97" s="200" t="str">
        <f t="shared" si="239"/>
        <v>2026//2//2</v>
      </c>
      <c r="HU97" s="257">
        <v>241868.82</v>
      </c>
      <c r="HV97" s="257">
        <v>235368.82</v>
      </c>
      <c r="HW97" s="348">
        <f t="shared" si="344"/>
        <v>6500</v>
      </c>
      <c r="HX97" s="349">
        <f t="shared" si="345"/>
        <v>0.0276162322605008</v>
      </c>
      <c r="HY97" s="192"/>
      <c r="HZ97" s="192"/>
      <c r="IA97" s="351"/>
      <c r="IB97" s="200" t="str">
        <f t="shared" si="240"/>
        <v>2026//2//2</v>
      </c>
      <c r="IC97" s="200">
        <v>431709.79</v>
      </c>
      <c r="ID97" s="200">
        <v>431159.79</v>
      </c>
      <c r="IE97" s="348">
        <f t="shared" si="347"/>
        <v>550</v>
      </c>
      <c r="IF97" s="349">
        <f t="shared" si="348"/>
        <v>0.00127562915827564</v>
      </c>
      <c r="IG97" s="201"/>
      <c r="IH97" s="192"/>
      <c r="II97" s="351"/>
      <c r="IJ97" s="200" t="str">
        <f t="shared" si="241"/>
        <v>2026//2//2</v>
      </c>
      <c r="IK97" s="257">
        <v>401356.29</v>
      </c>
      <c r="IL97" s="257">
        <v>400876.29</v>
      </c>
      <c r="IM97" s="348">
        <f t="shared" si="350"/>
        <v>480</v>
      </c>
      <c r="IN97" s="349">
        <f t="shared" si="351"/>
        <v>0.00119737687654214</v>
      </c>
      <c r="IO97" s="192"/>
      <c r="IP97" s="192"/>
      <c r="IQ97" s="351"/>
      <c r="IR97" s="200" t="str">
        <f t="shared" si="242"/>
        <v>2026//2//2</v>
      </c>
      <c r="IS97" s="200">
        <v>155089</v>
      </c>
      <c r="IT97" s="200">
        <v>154389</v>
      </c>
      <c r="IU97" s="348">
        <f t="shared" si="353"/>
        <v>700</v>
      </c>
      <c r="IV97" s="349">
        <f t="shared" si="354"/>
        <v>0.00453400177473784</v>
      </c>
      <c r="IW97" s="192"/>
      <c r="IX97" s="192"/>
      <c r="IY97" s="351"/>
      <c r="IZ97" s="200" t="str">
        <f t="shared" si="243"/>
        <v>2026//2//2</v>
      </c>
      <c r="JA97" s="200">
        <v>4741429.15</v>
      </c>
      <c r="JB97" s="200">
        <v>4686429.15</v>
      </c>
      <c r="JC97" s="348">
        <f t="shared" si="356"/>
        <v>55000</v>
      </c>
      <c r="JD97" s="349">
        <f t="shared" si="357"/>
        <v>0.0117360144023515</v>
      </c>
      <c r="JE97" s="192"/>
      <c r="JF97" s="192"/>
      <c r="JG97" s="351"/>
      <c r="JH97" s="200" t="str">
        <f t="shared" si="244"/>
        <v>2026//2//2</v>
      </c>
      <c r="JI97" s="200">
        <v>1599387.99</v>
      </c>
      <c r="JJ97" s="200">
        <v>1573347.99</v>
      </c>
      <c r="JK97" s="348">
        <f t="shared" si="359"/>
        <v>26040</v>
      </c>
      <c r="JL97" s="349">
        <f t="shared" si="360"/>
        <v>0.0165506932766984</v>
      </c>
      <c r="JM97" s="192"/>
      <c r="JN97" s="192"/>
      <c r="JP97" s="200" t="str">
        <f t="shared" si="245"/>
        <v>2026//2//2</v>
      </c>
      <c r="JQ97" s="257">
        <v>1262490.41</v>
      </c>
      <c r="JR97" s="257">
        <v>1264390.41</v>
      </c>
      <c r="JS97" s="346">
        <f t="shared" si="362"/>
        <v>-1900</v>
      </c>
      <c r="JT97" s="347">
        <f t="shared" si="363"/>
        <v>-0.0015027004198806</v>
      </c>
      <c r="JU97" s="192"/>
      <c r="JV97" s="201"/>
      <c r="JX97" s="200" t="str">
        <f t="shared" si="246"/>
        <v>2026//2//2</v>
      </c>
      <c r="JY97" s="200">
        <v>1322598.8</v>
      </c>
      <c r="JZ97" s="200">
        <v>1316848.8</v>
      </c>
      <c r="KA97" s="348">
        <f t="shared" si="365"/>
        <v>5750</v>
      </c>
      <c r="KB97" s="349">
        <f t="shared" si="366"/>
        <v>0.00436648459564986</v>
      </c>
      <c r="KC97" s="192"/>
      <c r="KD97" s="201"/>
      <c r="KF97" s="200" t="str">
        <f t="shared" si="247"/>
        <v>2026//2//2</v>
      </c>
      <c r="KG97" s="257">
        <v>814755.92</v>
      </c>
      <c r="KH97" s="257">
        <v>814755.92</v>
      </c>
      <c r="KI97" s="346">
        <f t="shared" si="368"/>
        <v>0</v>
      </c>
      <c r="KJ97" s="347">
        <f t="shared" si="369"/>
        <v>0</v>
      </c>
      <c r="KK97" s="201"/>
      <c r="KL97" s="201"/>
      <c r="KM97" s="351"/>
      <c r="KN97" s="200" t="str">
        <f t="shared" si="248"/>
        <v>2026//2//2</v>
      </c>
      <c r="KO97" s="200">
        <v>7011075.95</v>
      </c>
      <c r="KP97" s="200">
        <v>6978475.95</v>
      </c>
      <c r="KQ97" s="348">
        <f t="shared" si="371"/>
        <v>32600</v>
      </c>
      <c r="KR97" s="349">
        <f t="shared" si="372"/>
        <v>0.00467150710750819</v>
      </c>
      <c r="KS97" s="192"/>
      <c r="KT97" s="192"/>
      <c r="KU97" s="351"/>
      <c r="KV97" s="200" t="str">
        <f t="shared" si="249"/>
        <v>2026//2//2</v>
      </c>
      <c r="KW97" s="257">
        <v>1025772.97</v>
      </c>
      <c r="KX97" s="200">
        <f t="shared" si="373"/>
        <v>1026172.97</v>
      </c>
      <c r="KY97" s="346">
        <f t="shared" si="374"/>
        <v>-400</v>
      </c>
      <c r="KZ97" s="347">
        <f t="shared" si="375"/>
        <v>-0.00038979783301055</v>
      </c>
      <c r="LA97" s="201"/>
      <c r="LB97" s="192"/>
      <c r="LC97" s="351"/>
      <c r="LD97" s="200" t="str">
        <f t="shared" si="250"/>
        <v>2026//2//2</v>
      </c>
      <c r="LE97" s="200">
        <v>465057.7</v>
      </c>
      <c r="LF97" s="200">
        <v>464307.7</v>
      </c>
      <c r="LG97" s="348">
        <f t="shared" si="377"/>
        <v>750</v>
      </c>
      <c r="LH97" s="349">
        <f t="shared" si="378"/>
        <v>0.0016153081243322</v>
      </c>
      <c r="LI97" s="192"/>
      <c r="LJ97" s="192"/>
      <c r="LK97" s="351"/>
      <c r="LL97" s="200" t="str">
        <f t="shared" si="251"/>
        <v>2026//2//2</v>
      </c>
      <c r="LM97" s="198">
        <v>3528835.02</v>
      </c>
      <c r="LN97" s="200">
        <v>3509035.02</v>
      </c>
      <c r="LO97" s="348">
        <f t="shared" si="380"/>
        <v>19800</v>
      </c>
      <c r="LP97" s="349">
        <f t="shared" si="381"/>
        <v>0.00564257691563306</v>
      </c>
      <c r="LQ97" s="192"/>
      <c r="LR97" s="192"/>
      <c r="LS97" s="351"/>
      <c r="LT97" s="200" t="str">
        <f t="shared" si="252"/>
        <v>2026//2//2</v>
      </c>
      <c r="LU97" s="257">
        <v>2943062.9</v>
      </c>
      <c r="LV97" s="257">
        <v>2929062.9</v>
      </c>
      <c r="LW97" s="348">
        <f t="shared" si="383"/>
        <v>14000</v>
      </c>
      <c r="LX97" s="349">
        <f t="shared" si="384"/>
        <v>0.00477968568035872</v>
      </c>
      <c r="LY97" s="192"/>
      <c r="LZ97" s="192"/>
      <c r="MA97" s="351"/>
      <c r="MB97" s="200" t="str">
        <f t="shared" si="253"/>
        <v>2026//2//2</v>
      </c>
      <c r="MC97" s="200">
        <v>827567.69</v>
      </c>
      <c r="MD97" s="200">
        <v>827367.69</v>
      </c>
      <c r="ME97" s="348">
        <f t="shared" si="386"/>
        <v>200</v>
      </c>
      <c r="MF97" s="349">
        <f t="shared" si="387"/>
        <v>0.00024173049348833</v>
      </c>
      <c r="MG97" s="192"/>
      <c r="MH97" s="192"/>
      <c r="MI97" s="342"/>
      <c r="MJ97" s="341">
        <v>1.0726</v>
      </c>
      <c r="MK97" s="341" t="str">
        <f t="shared" si="254"/>
        <v>2026//2//2</v>
      </c>
      <c r="ML97" s="341">
        <v>260986</v>
      </c>
      <c r="MM97" s="12">
        <f t="shared" si="388"/>
        <v>268906</v>
      </c>
      <c r="MN97" s="341">
        <v>-7920</v>
      </c>
      <c r="MO97" s="350">
        <v>-0.0295</v>
      </c>
      <c r="MP97" s="192"/>
      <c r="MQ97" s="352"/>
      <c r="MR97" s="352"/>
      <c r="MS97" s="204">
        <v>1.3907</v>
      </c>
      <c r="MT97" s="295" t="str">
        <f t="shared" si="255"/>
        <v>2026//2//2</v>
      </c>
      <c r="MU97" s="204">
        <v>161715</v>
      </c>
      <c r="MV97" s="204">
        <f t="shared" si="391"/>
        <v>165615</v>
      </c>
      <c r="MW97" s="204">
        <v>-3900</v>
      </c>
      <c r="MX97" s="296">
        <v>-0.0235</v>
      </c>
      <c r="MY97" s="192"/>
      <c r="MZ97" s="192"/>
      <c r="NA97" s="192"/>
      <c r="NB97" s="204">
        <v>1.399</v>
      </c>
      <c r="NC97" s="204" t="str">
        <f t="shared" si="256"/>
        <v>2026//2//2</v>
      </c>
      <c r="ND97" s="204">
        <v>44291</v>
      </c>
      <c r="NE97" s="204">
        <f t="shared" si="392"/>
        <v>44891</v>
      </c>
      <c r="NF97" s="204">
        <v>-600</v>
      </c>
      <c r="NG97" s="296">
        <v>-0.0134</v>
      </c>
      <c r="NH97" s="192"/>
      <c r="NI97" s="192"/>
      <c r="NJ97" s="192"/>
      <c r="NK97" s="192"/>
      <c r="NL97" s="205">
        <v>1.1522</v>
      </c>
      <c r="NM97" s="204" t="str">
        <f t="shared" si="257"/>
        <v>2026//2//2</v>
      </c>
      <c r="NN97" s="205">
        <v>2498811</v>
      </c>
      <c r="NO97" s="8">
        <f t="shared" si="393"/>
        <v>2484411</v>
      </c>
      <c r="NP97" s="205">
        <v>14400</v>
      </c>
      <c r="NQ97" s="292">
        <v>0.0058</v>
      </c>
      <c r="NR97" s="293"/>
      <c r="NS97" s="205">
        <v>1.0345</v>
      </c>
      <c r="NT97" s="294"/>
      <c r="NU97" s="204" t="str">
        <f t="shared" si="258"/>
        <v>2026//2//2</v>
      </c>
      <c r="NV97" s="205">
        <v>242176</v>
      </c>
      <c r="NW97" s="205">
        <f t="shared" si="394"/>
        <v>239026</v>
      </c>
      <c r="NX97" s="205">
        <v>3150</v>
      </c>
      <c r="NY97" s="292">
        <v>0.0132</v>
      </c>
      <c r="NZ97" s="201"/>
      <c r="OA97" s="351"/>
      <c r="OB97" s="351"/>
      <c r="OC97" s="200" t="str">
        <f t="shared" si="259"/>
        <v>2026//2//2</v>
      </c>
      <c r="OD97" s="200">
        <v>11457.97</v>
      </c>
      <c r="OE97" s="8">
        <f t="shared" si="395"/>
        <v>11704.97</v>
      </c>
      <c r="OF97" s="346">
        <f t="shared" si="396"/>
        <v>-247</v>
      </c>
      <c r="OG97" s="347">
        <f t="shared" si="397"/>
        <v>-0.0211021472075537</v>
      </c>
      <c r="OH97" s="192"/>
      <c r="OI97" s="192"/>
      <c r="OJ97" s="351"/>
      <c r="OK97" s="200" t="str">
        <f t="shared" si="260"/>
        <v>2026//2//2</v>
      </c>
      <c r="OL97" s="200">
        <v>10793.65</v>
      </c>
      <c r="OM97" s="8">
        <f t="shared" si="398"/>
        <v>10793.65</v>
      </c>
      <c r="ON97" s="8">
        <f t="shared" si="399"/>
        <v>0</v>
      </c>
      <c r="OO97" s="192">
        <f t="shared" si="400"/>
        <v>0</v>
      </c>
      <c r="OP97" s="192"/>
      <c r="OQ97" s="192"/>
      <c r="OT97" s="234" t="str">
        <f t="shared" si="211"/>
        <v>2026//2//2</v>
      </c>
      <c r="OU97" s="206">
        <v>139512.4066</v>
      </c>
      <c r="OV97" s="8">
        <f t="shared" si="401"/>
        <v>139392.4066</v>
      </c>
      <c r="OW97" s="191">
        <f t="shared" si="402"/>
        <v>120</v>
      </c>
      <c r="OX97" s="192">
        <f t="shared" si="403"/>
        <v>0.000860879031555511</v>
      </c>
    </row>
    <row r="98" s="11" customFormat="1" ht="17" customHeight="1" spans="1:414">
      <c r="A98" s="100"/>
      <c r="B98" s="100"/>
      <c r="C98" s="356" t="s">
        <v>526</v>
      </c>
      <c r="D98" s="357">
        <v>4868778.77</v>
      </c>
      <c r="E98" s="357">
        <v>4926018.77</v>
      </c>
      <c r="F98" s="358">
        <f t="shared" si="262"/>
        <v>-57240</v>
      </c>
      <c r="G98" s="359">
        <f t="shared" si="263"/>
        <v>-0.0116199313629493</v>
      </c>
      <c r="H98" s="87">
        <f>(D98-D103)/D103</f>
        <v>-0.244157905677363</v>
      </c>
      <c r="I98" s="360">
        <f>(D98-D118)/D118</f>
        <v>-0.451896741840191</v>
      </c>
      <c r="J98" s="360"/>
      <c r="K98" s="361" t="str">
        <f t="shared" si="212"/>
        <v>2026//1//30</v>
      </c>
      <c r="L98" s="357">
        <v>3247534.4</v>
      </c>
      <c r="M98" s="357">
        <v>3300094.4</v>
      </c>
      <c r="N98" s="358">
        <f t="shared" si="265"/>
        <v>-52560</v>
      </c>
      <c r="O98" s="359">
        <f t="shared" si="266"/>
        <v>-0.0159268171237768</v>
      </c>
      <c r="P98" s="87">
        <f>(L98-L103)/L103</f>
        <v>-0.335336669133587</v>
      </c>
      <c r="Q98" s="360">
        <f>(L98-L118)/L118</f>
        <v>-0.506855748596433</v>
      </c>
      <c r="R98" s="362"/>
      <c r="S98" s="361" t="str">
        <f t="shared" si="213"/>
        <v>2026//1//30</v>
      </c>
      <c r="T98" s="357">
        <v>2555616.68</v>
      </c>
      <c r="U98" s="357">
        <v>2592696.68</v>
      </c>
      <c r="V98" s="358">
        <f t="shared" si="268"/>
        <v>-37080</v>
      </c>
      <c r="W98" s="359">
        <f t="shared" si="269"/>
        <v>-0.0143017115291712</v>
      </c>
      <c r="X98" s="87">
        <f>(T98-T103)/T103</f>
        <v>-0.342169554716356</v>
      </c>
      <c r="Y98" s="360">
        <f>(T98-T118)/T118</f>
        <v>-0.548992929809703</v>
      </c>
      <c r="Z98" s="362"/>
      <c r="AA98" s="361" t="str">
        <f t="shared" si="214"/>
        <v>2026//1//30</v>
      </c>
      <c r="AB98" s="357">
        <v>1260656.86</v>
      </c>
      <c r="AC98" s="357">
        <v>1336056.86</v>
      </c>
      <c r="AD98" s="358">
        <f t="shared" si="271"/>
        <v>-75400</v>
      </c>
      <c r="AE98" s="359">
        <f t="shared" si="272"/>
        <v>-0.0564347238934127</v>
      </c>
      <c r="AF98" s="87">
        <f>(AB98-AB103)/AB103</f>
        <v>-0.229209207740332</v>
      </c>
      <c r="AG98" s="360">
        <f>(AB98-AB118)/AB118</f>
        <v>-0.338743617086564</v>
      </c>
      <c r="AH98" s="362"/>
      <c r="AI98" s="361" t="str">
        <f t="shared" si="215"/>
        <v>2026//1//30</v>
      </c>
      <c r="AJ98" s="357">
        <v>1071121.76</v>
      </c>
      <c r="AK98" s="362">
        <v>1065121.76</v>
      </c>
      <c r="AL98" s="363">
        <f t="shared" si="274"/>
        <v>6000</v>
      </c>
      <c r="AM98" s="364">
        <f t="shared" si="275"/>
        <v>0.00563315878552702</v>
      </c>
      <c r="AN98" s="87">
        <f>(AJ98-AJ103)/AJ103</f>
        <v>-0.328417464929319</v>
      </c>
      <c r="AO98" s="87">
        <f>(AJ98-AJ118)/AJ118</f>
        <v>-0.582428531664381</v>
      </c>
      <c r="AP98" s="362"/>
      <c r="AQ98" s="361" t="str">
        <f t="shared" si="216"/>
        <v>2026//1//30</v>
      </c>
      <c r="AR98" s="365">
        <v>1892445.49</v>
      </c>
      <c r="AS98" s="85">
        <v>1942345.49</v>
      </c>
      <c r="AT98" s="358">
        <f t="shared" si="277"/>
        <v>-49900</v>
      </c>
      <c r="AU98" s="359">
        <f t="shared" si="278"/>
        <v>-0.0256905891649585</v>
      </c>
      <c r="AV98" s="87">
        <f>(AR98-AR103)/AR103</f>
        <v>-0.131246202966013</v>
      </c>
      <c r="AW98" s="87">
        <f>(AR98-AR118)/AR118</f>
        <v>-0.399270377383346</v>
      </c>
      <c r="AX98" s="85"/>
      <c r="AY98" s="253">
        <v>4.9139</v>
      </c>
      <c r="AZ98" s="252" t="str">
        <f t="shared" si="217"/>
        <v>2026//1//30</v>
      </c>
      <c r="BA98" s="253">
        <v>2077312</v>
      </c>
      <c r="BB98" s="253">
        <f t="shared" si="279"/>
        <v>2099182</v>
      </c>
      <c r="BC98" s="253">
        <v>-21870</v>
      </c>
      <c r="BD98" s="298">
        <v>-0.0104</v>
      </c>
      <c r="BE98" s="87">
        <f>(BA98-BA103)/BA103</f>
        <v>-0.284507593344475</v>
      </c>
      <c r="BF98" s="87">
        <f>(BA98-BA118)/BA118</f>
        <v>-0.491089649333322</v>
      </c>
      <c r="BG98" s="299"/>
      <c r="BH98" s="366" t="str">
        <f t="shared" si="218"/>
        <v>2026//1//30</v>
      </c>
      <c r="BI98" s="300">
        <v>976326.55</v>
      </c>
      <c r="BJ98" s="367">
        <v>987226.55</v>
      </c>
      <c r="BK98" s="368">
        <f t="shared" si="281"/>
        <v>-10900</v>
      </c>
      <c r="BL98" s="369">
        <f t="shared" si="282"/>
        <v>-0.0110410320711087</v>
      </c>
      <c r="BM98" s="303"/>
      <c r="BN98" s="304">
        <f>(BI98-BI118)/BI118</f>
        <v>2.72179207630172</v>
      </c>
      <c r="BO98" s="370"/>
      <c r="BP98" s="371" t="str">
        <f t="shared" si="219"/>
        <v>2026//1//30</v>
      </c>
      <c r="BQ98" s="372">
        <v>1612862.39</v>
      </c>
      <c r="BR98" s="11">
        <v>1549762.39</v>
      </c>
      <c r="BS98" s="373">
        <f t="shared" si="284"/>
        <v>63100</v>
      </c>
      <c r="BT98" s="374">
        <f t="shared" si="285"/>
        <v>0.0407159190384018</v>
      </c>
      <c r="BU98" s="304"/>
      <c r="BV98" s="304">
        <f>(BQ98-BQ118)/BQ118</f>
        <v>1.31181057589492</v>
      </c>
      <c r="BW98" s="370"/>
      <c r="BX98" s="371" t="str">
        <f t="shared" si="220"/>
        <v>2026//1//30</v>
      </c>
      <c r="BY98" s="375">
        <v>3656610.7</v>
      </c>
      <c r="BZ98" s="11">
        <v>3671760.7</v>
      </c>
      <c r="CA98" s="376">
        <f t="shared" si="287"/>
        <v>-15150</v>
      </c>
      <c r="CB98" s="377">
        <f t="shared" si="288"/>
        <v>-0.0041260858857169</v>
      </c>
      <c r="CC98" s="304"/>
      <c r="CD98" s="304">
        <f>(BY98-BY118)/BY118</f>
        <v>0.775087343886608</v>
      </c>
      <c r="CE98" s="370"/>
      <c r="CF98" s="371" t="str">
        <f t="shared" si="221"/>
        <v>2026//1//30</v>
      </c>
      <c r="CG98" s="310">
        <v>1888453.9</v>
      </c>
      <c r="CH98" s="306">
        <f t="shared" si="289"/>
        <v>1846054</v>
      </c>
      <c r="CI98" s="306">
        <f t="shared" si="290"/>
        <v>42399.8999999999</v>
      </c>
      <c r="CJ98" s="307">
        <f t="shared" si="291"/>
        <v>0.0229678546781405</v>
      </c>
      <c r="CK98" s="304"/>
      <c r="CL98" s="378">
        <f>(CG98-CG118)/CG118</f>
        <v>0.766967796143921</v>
      </c>
      <c r="CM98" s="370"/>
      <c r="CN98" s="371" t="str">
        <f t="shared" si="222"/>
        <v>2026//1//30</v>
      </c>
      <c r="CO98" s="310">
        <v>1014346.48</v>
      </c>
      <c r="CP98" s="310">
        <v>966646.48</v>
      </c>
      <c r="CQ98" s="306">
        <f t="shared" si="293"/>
        <v>47700</v>
      </c>
      <c r="CR98" s="307">
        <f t="shared" si="294"/>
        <v>0.0493458580638498</v>
      </c>
      <c r="CS98" s="378"/>
      <c r="CT98" s="378">
        <f>(CO98-CO118)/CO118</f>
        <v>1.91272973702498</v>
      </c>
      <c r="CU98" s="370"/>
      <c r="CV98" s="371" t="str">
        <f t="shared" si="223"/>
        <v>2026//1//30</v>
      </c>
      <c r="CW98" s="310">
        <v>728990.4</v>
      </c>
      <c r="CX98" s="310">
        <v>728740.4</v>
      </c>
      <c r="CY98" s="373">
        <f t="shared" si="296"/>
        <v>250</v>
      </c>
      <c r="CZ98" s="374">
        <f t="shared" si="297"/>
        <v>0.000343057692423804</v>
      </c>
      <c r="DA98" s="304"/>
      <c r="DB98" s="304">
        <f>(CW98-CW118)/CW118</f>
        <v>0.191472280334728</v>
      </c>
      <c r="DC98" s="277"/>
      <c r="DD98" s="371" t="str">
        <f t="shared" si="224"/>
        <v>2026//1//30</v>
      </c>
      <c r="DE98" s="375">
        <v>2256317.98</v>
      </c>
      <c r="DF98" s="12">
        <f t="shared" si="298"/>
        <v>2259517.98</v>
      </c>
      <c r="DG98" s="376">
        <f t="shared" si="299"/>
        <v>-3200</v>
      </c>
      <c r="DH98" s="377">
        <f t="shared" si="300"/>
        <v>-0.00141623126185524</v>
      </c>
      <c r="DI98" s="304"/>
      <c r="DJ98" s="304">
        <f>(DE98-DE118)/DE118</f>
        <v>0.927623479519324</v>
      </c>
      <c r="DK98" s="370"/>
      <c r="DL98" s="371" t="str">
        <f t="shared" si="225"/>
        <v>2026//1//30</v>
      </c>
      <c r="DM98" s="310">
        <v>1326500.36</v>
      </c>
      <c r="DN98" s="310">
        <v>1327100.36</v>
      </c>
      <c r="DO98" s="376">
        <f t="shared" si="302"/>
        <v>-600</v>
      </c>
      <c r="DP98" s="377">
        <f t="shared" si="303"/>
        <v>-0.000452113508581973</v>
      </c>
      <c r="DQ98" s="304"/>
      <c r="DR98" s="304">
        <f>(DM98-DM118)/DM118</f>
        <v>-0.0374425948770045</v>
      </c>
      <c r="DS98" s="370"/>
      <c r="DT98" s="371" t="str">
        <f t="shared" si="226"/>
        <v>2026//1//30</v>
      </c>
      <c r="DU98" s="310">
        <v>1832789.48</v>
      </c>
      <c r="DV98" s="310">
        <v>1841489.48</v>
      </c>
      <c r="DW98" s="376">
        <f t="shared" si="305"/>
        <v>-8700</v>
      </c>
      <c r="DX98" s="377">
        <f t="shared" si="306"/>
        <v>-0.00472443643826844</v>
      </c>
      <c r="DY98" s="304"/>
      <c r="DZ98" s="304">
        <f>(DU98-DU118)/DU118</f>
        <v>0.0820009339454947</v>
      </c>
      <c r="EA98" s="370"/>
      <c r="EB98" s="371" t="str">
        <f t="shared" si="227"/>
        <v>2026//1//30</v>
      </c>
      <c r="EC98" s="310">
        <v>5039366.82</v>
      </c>
      <c r="ED98" s="310">
        <v>5070416.82</v>
      </c>
      <c r="EE98" s="376">
        <f t="shared" si="308"/>
        <v>-31050</v>
      </c>
      <c r="EF98" s="377">
        <f t="shared" si="309"/>
        <v>-0.00612375690249465</v>
      </c>
      <c r="EG98" s="304"/>
      <c r="EH98" s="304">
        <f>(EC98-EC118)/EC118</f>
        <v>-0.0617481158596221</v>
      </c>
      <c r="EI98" s="370"/>
      <c r="EJ98" s="371" t="str">
        <f t="shared" si="228"/>
        <v>2026//1//30</v>
      </c>
      <c r="EK98" s="375">
        <v>1562922.96</v>
      </c>
      <c r="EL98" s="11">
        <v>1585722.96</v>
      </c>
      <c r="EM98" s="376">
        <f t="shared" si="311"/>
        <v>-22800</v>
      </c>
      <c r="EN98" s="377">
        <f t="shared" si="312"/>
        <v>-0.0143782997251929</v>
      </c>
      <c r="EO98" s="304"/>
      <c r="EP98" s="304">
        <f>(EK98-EK118)/EK118</f>
        <v>0.0979260328073378</v>
      </c>
      <c r="EQ98" s="379"/>
      <c r="ER98" s="380" t="str">
        <f t="shared" si="229"/>
        <v>2026//1//30</v>
      </c>
      <c r="ES98" s="380">
        <v>522347</v>
      </c>
      <c r="ET98" s="380">
        <v>524747</v>
      </c>
      <c r="EU98" s="380">
        <v>-2400</v>
      </c>
      <c r="EV98" s="381">
        <v>-0.0046</v>
      </c>
      <c r="EW98" s="304"/>
      <c r="EX98" s="304">
        <f>(ES98-ES118)/ES118</f>
        <v>0.143499191106772</v>
      </c>
      <c r="EY98" s="370"/>
      <c r="EZ98" s="371" t="str">
        <f t="shared" si="230"/>
        <v>2026//1//30</v>
      </c>
      <c r="FA98" s="310">
        <v>674708</v>
      </c>
      <c r="FB98" s="310">
        <v>679708</v>
      </c>
      <c r="FC98" s="376">
        <f t="shared" si="317"/>
        <v>-5000</v>
      </c>
      <c r="FD98" s="377">
        <f t="shared" si="318"/>
        <v>-0.00735609997234106</v>
      </c>
      <c r="FE98" s="304"/>
      <c r="FF98" s="304">
        <f>(FA98-FA118)/FA118</f>
        <v>-0.131211628002802</v>
      </c>
      <c r="FH98" s="371" t="str">
        <f t="shared" si="231"/>
        <v>2026//1//30</v>
      </c>
      <c r="FI98" s="382">
        <v>914995</v>
      </c>
      <c r="FJ98" s="371">
        <v>870595</v>
      </c>
      <c r="FK98" s="373">
        <f t="shared" si="320"/>
        <v>44400</v>
      </c>
      <c r="FL98" s="374">
        <f t="shared" si="321"/>
        <v>0.0509996037192954</v>
      </c>
      <c r="FM98" s="378"/>
      <c r="FN98" s="378">
        <f>(FI98-FI118)/FI118</f>
        <v>1.30538303581552</v>
      </c>
      <c r="FO98" s="370"/>
      <c r="FP98" s="371" t="str">
        <f t="shared" si="232"/>
        <v>2026//1//30</v>
      </c>
      <c r="FQ98" s="310">
        <v>2315668.73</v>
      </c>
      <c r="FR98" s="310">
        <v>2315968.73</v>
      </c>
      <c r="FS98" s="376">
        <f t="shared" si="323"/>
        <v>-300</v>
      </c>
      <c r="FT98" s="377">
        <f t="shared" si="324"/>
        <v>-0.000129535427708473</v>
      </c>
      <c r="FU98" s="304"/>
      <c r="FV98" s="304">
        <f>(FQ98-FQ118)/FQ118</f>
        <v>-0.108970582972824</v>
      </c>
      <c r="FW98" s="370"/>
      <c r="FX98" s="371" t="str">
        <f t="shared" si="233"/>
        <v>2026//1//30</v>
      </c>
      <c r="FY98" s="310">
        <v>7652182.05</v>
      </c>
      <c r="FZ98" s="310">
        <v>7521182.05</v>
      </c>
      <c r="GA98" s="373">
        <f t="shared" si="326"/>
        <v>131000</v>
      </c>
      <c r="GB98" s="374">
        <f t="shared" si="327"/>
        <v>0.0174174749566127</v>
      </c>
      <c r="GC98" s="304"/>
      <c r="GD98" s="304">
        <f>(FY98-FY118)/FY118</f>
        <v>0.0281899061348907</v>
      </c>
      <c r="GE98" s="370"/>
      <c r="GF98" s="371" t="str">
        <f t="shared" si="234"/>
        <v>2026//1//30</v>
      </c>
      <c r="GG98" s="310">
        <v>4740569.49</v>
      </c>
      <c r="GH98" s="310">
        <v>4731769.49</v>
      </c>
      <c r="GI98" s="373">
        <f t="shared" si="329"/>
        <v>8800</v>
      </c>
      <c r="GJ98" s="374">
        <f t="shared" si="330"/>
        <v>0.00185976937773442</v>
      </c>
      <c r="GK98" s="304"/>
      <c r="GL98" s="304">
        <f>(GG98-GG118)/GG118</f>
        <v>0.0573440989555186</v>
      </c>
      <c r="GM98" s="370"/>
      <c r="GN98" s="371" t="str">
        <f t="shared" si="235"/>
        <v>2026//1//30</v>
      </c>
      <c r="GO98" s="375">
        <v>1843798.12</v>
      </c>
      <c r="GP98" s="11">
        <v>1819438.12</v>
      </c>
      <c r="GQ98" s="373">
        <f t="shared" si="332"/>
        <v>24360</v>
      </c>
      <c r="GR98" s="374">
        <f t="shared" si="333"/>
        <v>0.0133887488297761</v>
      </c>
      <c r="GS98" s="304"/>
      <c r="GT98" s="304">
        <f>(GO98-GO118)/GO118</f>
        <v>0.235476615173904</v>
      </c>
      <c r="GU98" s="370"/>
      <c r="GV98" s="371" t="str">
        <f t="shared" si="236"/>
        <v>2026//1//30</v>
      </c>
      <c r="GW98" s="310">
        <v>990549.4</v>
      </c>
      <c r="GX98" s="310">
        <v>989349.4</v>
      </c>
      <c r="GY98" s="373">
        <f t="shared" si="335"/>
        <v>1200</v>
      </c>
      <c r="GZ98" s="374">
        <f t="shared" si="336"/>
        <v>0.00121291830772829</v>
      </c>
      <c r="HA98" s="304"/>
      <c r="HB98" s="304">
        <f>(GW98-GW118)/GW118</f>
        <v>-0.153194916174325</v>
      </c>
      <c r="HC98" s="370"/>
      <c r="HD98" s="371" t="str">
        <f t="shared" si="237"/>
        <v>2026//1//30</v>
      </c>
      <c r="HE98" s="375">
        <v>1250964.67</v>
      </c>
      <c r="HF98" s="375">
        <v>1272964.67</v>
      </c>
      <c r="HG98" s="376">
        <f t="shared" si="338"/>
        <v>-22000</v>
      </c>
      <c r="HH98" s="377">
        <f t="shared" si="339"/>
        <v>-0.0172824906444576</v>
      </c>
      <c r="HI98" s="304"/>
      <c r="HJ98" s="304">
        <f>(HE98-HE118)/HE118</f>
        <v>-0.0504759746938249</v>
      </c>
      <c r="HK98" s="370"/>
      <c r="HL98" s="371" t="str">
        <f t="shared" si="238"/>
        <v>2026//1//30</v>
      </c>
      <c r="HM98" s="310">
        <v>145654.25</v>
      </c>
      <c r="HN98" s="310">
        <v>145504.25</v>
      </c>
      <c r="HO98" s="373">
        <f t="shared" si="341"/>
        <v>150</v>
      </c>
      <c r="HP98" s="374">
        <f t="shared" si="342"/>
        <v>0.00103089772291875</v>
      </c>
      <c r="HQ98" s="304"/>
      <c r="HR98" s="304">
        <f>(HM98-HM118)/HM118</f>
        <v>-0.127317200306763</v>
      </c>
      <c r="HS98" s="370"/>
      <c r="HT98" s="371" t="str">
        <f t="shared" si="239"/>
        <v>2026//1//30</v>
      </c>
      <c r="HU98" s="375">
        <v>235368.82</v>
      </c>
      <c r="HV98" s="11">
        <v>220668.82</v>
      </c>
      <c r="HW98" s="373">
        <f t="shared" si="344"/>
        <v>14700</v>
      </c>
      <c r="HX98" s="374">
        <f t="shared" si="345"/>
        <v>0.066615664143217</v>
      </c>
      <c r="HY98" s="304"/>
      <c r="HZ98" s="304">
        <f>(HU98-HU118)/HU118</f>
        <v>1.50741799742194</v>
      </c>
      <c r="IA98" s="370"/>
      <c r="IB98" s="371" t="str">
        <f t="shared" si="240"/>
        <v>2026//1//30</v>
      </c>
      <c r="IC98" s="310">
        <v>431159.79</v>
      </c>
      <c r="ID98" s="310">
        <v>415484.79</v>
      </c>
      <c r="IE98" s="373">
        <f t="shared" si="347"/>
        <v>15675</v>
      </c>
      <c r="IF98" s="374">
        <f t="shared" si="348"/>
        <v>0.0377270128227799</v>
      </c>
      <c r="IG98" s="304"/>
      <c r="IH98" s="304">
        <f>(IC98-IC118)/IC118</f>
        <v>0.37955774459541</v>
      </c>
      <c r="II98" s="370"/>
      <c r="IJ98" s="371" t="str">
        <f t="shared" si="241"/>
        <v>2026//1//30</v>
      </c>
      <c r="IK98" s="375">
        <v>400876.29</v>
      </c>
      <c r="IL98" s="11">
        <v>401516.29</v>
      </c>
      <c r="IM98" s="376">
        <f t="shared" si="350"/>
        <v>-640</v>
      </c>
      <c r="IN98" s="377">
        <f t="shared" si="351"/>
        <v>-0.00159395774452887</v>
      </c>
      <c r="IO98" s="304"/>
      <c r="IP98" s="304">
        <f>(IK98-IK118)/IK118</f>
        <v>0.0865151671201986</v>
      </c>
      <c r="IQ98" s="370"/>
      <c r="IR98" s="371" t="str">
        <f t="shared" si="242"/>
        <v>2026//1//30</v>
      </c>
      <c r="IS98" s="310">
        <v>154389</v>
      </c>
      <c r="IT98" s="310">
        <v>156389</v>
      </c>
      <c r="IU98" s="376">
        <f t="shared" si="353"/>
        <v>-2000</v>
      </c>
      <c r="IV98" s="377">
        <f t="shared" si="354"/>
        <v>-0.012788623240765</v>
      </c>
      <c r="IW98" s="304"/>
      <c r="IX98" s="304">
        <f>(IS98-IS118)/IS118</f>
        <v>0.494728383467746</v>
      </c>
      <c r="IY98" s="370"/>
      <c r="IZ98" s="371" t="str">
        <f t="shared" si="243"/>
        <v>2026//1//30</v>
      </c>
      <c r="JA98" s="310">
        <v>4686429.15</v>
      </c>
      <c r="JB98" s="310">
        <v>4645929.15</v>
      </c>
      <c r="JC98" s="373">
        <f t="shared" si="356"/>
        <v>40500</v>
      </c>
      <c r="JD98" s="374">
        <f t="shared" si="357"/>
        <v>0.00871730900158045</v>
      </c>
      <c r="JE98" s="304"/>
      <c r="JF98" s="304">
        <f>(JA98-JA118)/JA118</f>
        <v>-0.00363553621121495</v>
      </c>
      <c r="JG98" s="370"/>
      <c r="JH98" s="371" t="str">
        <f t="shared" si="244"/>
        <v>2026//1//30</v>
      </c>
      <c r="JI98" s="310">
        <v>1573347.99</v>
      </c>
      <c r="JJ98" s="310">
        <v>1533987.99</v>
      </c>
      <c r="JK98" s="373">
        <f t="shared" si="359"/>
        <v>39360</v>
      </c>
      <c r="JL98" s="374">
        <f t="shared" si="360"/>
        <v>0.0256586102737349</v>
      </c>
      <c r="JM98" s="304"/>
      <c r="JN98" s="304">
        <f>(JI98-JI118)/JI118</f>
        <v>0.0132537442811804</v>
      </c>
      <c r="JP98" s="371" t="str">
        <f t="shared" si="245"/>
        <v>2026//1//30</v>
      </c>
      <c r="JQ98" s="375">
        <v>1264390.41</v>
      </c>
      <c r="JR98" s="375">
        <v>1264890.41</v>
      </c>
      <c r="JS98" s="376">
        <f t="shared" si="362"/>
        <v>-500</v>
      </c>
      <c r="JT98" s="377">
        <f t="shared" si="363"/>
        <v>-0.000395291162022487</v>
      </c>
      <c r="JU98" s="304"/>
      <c r="JV98" s="378">
        <f>(JQ98-JQ118)/JQ118</f>
        <v>0.0608281049425701</v>
      </c>
      <c r="JX98" s="371" t="str">
        <f t="shared" si="246"/>
        <v>2026//1//30</v>
      </c>
      <c r="JY98" s="310">
        <v>1316848.8</v>
      </c>
      <c r="JZ98" s="310">
        <v>1318848.8</v>
      </c>
      <c r="KA98" s="376">
        <f t="shared" si="365"/>
        <v>-2000</v>
      </c>
      <c r="KB98" s="377">
        <f t="shared" si="366"/>
        <v>-0.00151647406435067</v>
      </c>
      <c r="KC98" s="304"/>
      <c r="KD98" s="304">
        <f>(JY98-JY118)/JY118</f>
        <v>-0.111347512465845</v>
      </c>
      <c r="KF98" s="371" t="str">
        <f t="shared" si="247"/>
        <v>2026//1//30</v>
      </c>
      <c r="KG98" s="375">
        <v>814755.92</v>
      </c>
      <c r="KH98" s="375">
        <v>814755.92</v>
      </c>
      <c r="KI98" s="376">
        <f t="shared" si="368"/>
        <v>0</v>
      </c>
      <c r="KJ98" s="377">
        <f t="shared" si="369"/>
        <v>0</v>
      </c>
      <c r="KK98" s="304"/>
      <c r="KL98" s="304">
        <f>(KG98-KG118)/KG118</f>
        <v>-0.0734629433358048</v>
      </c>
      <c r="KM98" s="370"/>
      <c r="KN98" s="371" t="str">
        <f t="shared" si="248"/>
        <v>2026//1//30</v>
      </c>
      <c r="KO98" s="310">
        <v>6978475.95</v>
      </c>
      <c r="KP98" s="310">
        <v>6978475.95</v>
      </c>
      <c r="KQ98" s="376">
        <f t="shared" si="371"/>
        <v>0</v>
      </c>
      <c r="KR98" s="377">
        <f t="shared" si="372"/>
        <v>0</v>
      </c>
      <c r="KS98" s="304"/>
      <c r="KT98" s="304">
        <f>(KO98-KO118)/KO118</f>
        <v>0.0476971376908637</v>
      </c>
      <c r="KU98" s="370"/>
      <c r="KV98" s="371" t="str">
        <f t="shared" si="249"/>
        <v>2026//1//30</v>
      </c>
      <c r="KW98" s="375">
        <v>1026172.97</v>
      </c>
      <c r="KX98" s="375">
        <v>1026172.97</v>
      </c>
      <c r="KY98" s="11">
        <f t="shared" si="374"/>
        <v>0</v>
      </c>
      <c r="KZ98" s="304">
        <f t="shared" si="375"/>
        <v>0</v>
      </c>
      <c r="LA98" s="304"/>
      <c r="LB98" s="304">
        <f>(KW98-KW118)/KW118</f>
        <v>-0.0219220567056148</v>
      </c>
      <c r="LC98" s="370"/>
      <c r="LD98" s="371" t="str">
        <f t="shared" si="250"/>
        <v>2026//1//30</v>
      </c>
      <c r="LE98" s="310">
        <v>464307.7</v>
      </c>
      <c r="LF98" s="310">
        <v>463007.7</v>
      </c>
      <c r="LG98" s="373">
        <f t="shared" si="377"/>
        <v>1300</v>
      </c>
      <c r="LH98" s="374">
        <f t="shared" si="378"/>
        <v>0.00280772868356185</v>
      </c>
      <c r="LI98" s="304"/>
      <c r="LJ98" s="304">
        <f>(LE98-LE118)/LE118</f>
        <v>0.0902876076062913</v>
      </c>
      <c r="LK98" s="370"/>
      <c r="LL98" s="371" t="str">
        <f t="shared" si="251"/>
        <v>2026//1//30</v>
      </c>
      <c r="LM98" s="372">
        <v>3509035.02</v>
      </c>
      <c r="LN98" s="310">
        <v>3523255.02</v>
      </c>
      <c r="LO98" s="376">
        <f t="shared" si="380"/>
        <v>-14220</v>
      </c>
      <c r="LP98" s="377">
        <f t="shared" si="381"/>
        <v>-0.00403604051346814</v>
      </c>
      <c r="LQ98" s="304"/>
      <c r="LR98" s="304">
        <f>(LM98-LM118)/LM118</f>
        <v>-0.00362880503376809</v>
      </c>
      <c r="LS98" s="370"/>
      <c r="LT98" s="371" t="str">
        <f t="shared" si="252"/>
        <v>2026//1//30</v>
      </c>
      <c r="LU98" s="375">
        <v>2929062.9</v>
      </c>
      <c r="LV98" s="11">
        <v>2953462.9</v>
      </c>
      <c r="LW98" s="376">
        <f t="shared" si="383"/>
        <v>-24400</v>
      </c>
      <c r="LX98" s="377">
        <f t="shared" si="384"/>
        <v>-0.00826148857329476</v>
      </c>
      <c r="LY98" s="304"/>
      <c r="LZ98" s="304">
        <f>(LU98-LU118)/LU118</f>
        <v>0.110644975491637</v>
      </c>
      <c r="MA98" s="370"/>
      <c r="MB98" s="371" t="str">
        <f t="shared" si="253"/>
        <v>2026//1//30</v>
      </c>
      <c r="MC98" s="310">
        <v>827367.69</v>
      </c>
      <c r="MD98" s="310">
        <v>815317.69</v>
      </c>
      <c r="ME98" s="373">
        <f t="shared" si="386"/>
        <v>12050</v>
      </c>
      <c r="MF98" s="374">
        <f t="shared" si="387"/>
        <v>0.0147795149642834</v>
      </c>
      <c r="MG98" s="304"/>
      <c r="MH98" s="304">
        <f>(MC98-MC118)/MC118</f>
        <v>-0.0161137114439221</v>
      </c>
      <c r="MI98" s="383"/>
      <c r="MJ98" s="380">
        <v>1.1051</v>
      </c>
      <c r="MK98" s="380" t="str">
        <f t="shared" si="254"/>
        <v>2026//1//30</v>
      </c>
      <c r="ML98" s="380">
        <v>268906</v>
      </c>
      <c r="MM98" s="306">
        <f t="shared" si="388"/>
        <v>271666</v>
      </c>
      <c r="MN98" s="380">
        <v>-2760</v>
      </c>
      <c r="MO98" s="381">
        <v>-0.0102</v>
      </c>
      <c r="MP98" s="304"/>
      <c r="MQ98" s="384">
        <f>(ML98-ML118)/ML118</f>
        <v>0.136994410289802</v>
      </c>
      <c r="MR98" s="384"/>
      <c r="MS98" s="311">
        <v>1.4607</v>
      </c>
      <c r="MT98" s="312" t="str">
        <f t="shared" si="255"/>
        <v>2026//1//30</v>
      </c>
      <c r="MU98" s="311">
        <v>165615</v>
      </c>
      <c r="MV98" s="311">
        <f t="shared" si="391"/>
        <v>161815</v>
      </c>
      <c r="MW98" s="311">
        <v>3800</v>
      </c>
      <c r="MX98" s="313">
        <v>0.0235</v>
      </c>
      <c r="MY98" s="304"/>
      <c r="MZ98" s="304">
        <f>(MU98-MU118)/MU118</f>
        <v>6.99493120926865</v>
      </c>
      <c r="NA98" s="304"/>
      <c r="NB98" s="311">
        <v>1.507</v>
      </c>
      <c r="NC98" s="311" t="str">
        <f t="shared" si="256"/>
        <v>2026//1//30</v>
      </c>
      <c r="ND98" s="311">
        <v>44891</v>
      </c>
      <c r="NE98" s="311">
        <f t="shared" si="392"/>
        <v>44691</v>
      </c>
      <c r="NF98" s="311">
        <v>200</v>
      </c>
      <c r="NG98" s="313">
        <v>0.0045</v>
      </c>
      <c r="NH98" s="304"/>
      <c r="NI98" s="304">
        <f>(ND98-ND118)/ND118</f>
        <v>0.733845737901201</v>
      </c>
      <c r="NJ98" s="304"/>
      <c r="NK98" s="304"/>
      <c r="NL98" s="205">
        <v>1.1659</v>
      </c>
      <c r="NM98" s="204" t="str">
        <f t="shared" si="257"/>
        <v>2026//1//30</v>
      </c>
      <c r="NN98" s="205">
        <v>2484411</v>
      </c>
      <c r="NO98" s="8">
        <f t="shared" si="393"/>
        <v>2460211</v>
      </c>
      <c r="NP98" s="205">
        <v>24200</v>
      </c>
      <c r="NQ98" s="292">
        <v>0.0098</v>
      </c>
      <c r="NR98" s="293"/>
      <c r="NS98" s="205">
        <v>1.0471</v>
      </c>
      <c r="NT98" s="294"/>
      <c r="NU98" s="204" t="str">
        <f t="shared" si="258"/>
        <v>2026//1//30</v>
      </c>
      <c r="NV98" s="205">
        <v>239026</v>
      </c>
      <c r="NW98" s="205">
        <f t="shared" si="394"/>
        <v>238776</v>
      </c>
      <c r="NX98" s="205">
        <v>250</v>
      </c>
      <c r="NY98" s="292">
        <v>0.001</v>
      </c>
      <c r="NZ98" s="378"/>
      <c r="OA98" s="370"/>
      <c r="OB98" s="370"/>
      <c r="OC98" s="371" t="str">
        <f t="shared" si="259"/>
        <v>2026//1//30</v>
      </c>
      <c r="OD98" s="11">
        <v>11704.97</v>
      </c>
      <c r="OE98" s="11">
        <f t="shared" si="395"/>
        <v>11968.97</v>
      </c>
      <c r="OF98" s="376">
        <f t="shared" si="396"/>
        <v>-264</v>
      </c>
      <c r="OG98" s="377">
        <f t="shared" si="397"/>
        <v>-0.0220570358184539</v>
      </c>
      <c r="OH98" s="304"/>
      <c r="OI98" s="304">
        <f>(OD98-OD118)/OD118</f>
        <v>-0.142367379835873</v>
      </c>
      <c r="OJ98" s="370"/>
      <c r="OK98" s="371" t="str">
        <f t="shared" si="260"/>
        <v>2026//1//30</v>
      </c>
      <c r="OL98" s="310">
        <v>10793.65</v>
      </c>
      <c r="OM98" s="11">
        <f t="shared" si="398"/>
        <v>10793.65</v>
      </c>
      <c r="ON98" s="11">
        <f t="shared" si="399"/>
        <v>0</v>
      </c>
      <c r="OO98" s="304">
        <f t="shared" si="400"/>
        <v>0</v>
      </c>
      <c r="OP98" s="304"/>
      <c r="OQ98" s="304">
        <f>(OL98-OL118)/OL118</f>
        <v>-0.115176679386653</v>
      </c>
      <c r="OT98" s="234" t="str">
        <f t="shared" si="211"/>
        <v>2026//1//30</v>
      </c>
      <c r="OU98" s="206">
        <v>139392.4066</v>
      </c>
      <c r="OV98" s="8">
        <f t="shared" si="401"/>
        <v>139272.4066</v>
      </c>
      <c r="OW98" s="191">
        <f t="shared" si="402"/>
        <v>120</v>
      </c>
      <c r="OX98" s="192">
        <f t="shared" si="403"/>
        <v>0.000861620782820594</v>
      </c>
    </row>
    <row r="99" s="8" customFormat="1" ht="17" customHeight="1" spans="1:414">
      <c r="A99" s="15"/>
      <c r="B99" s="15"/>
      <c r="C99" s="385" t="s">
        <v>527</v>
      </c>
      <c r="D99" s="334">
        <v>4926018.77</v>
      </c>
      <c r="E99" s="334">
        <v>5150478.77</v>
      </c>
      <c r="F99" s="332">
        <f t="shared" si="262"/>
        <v>-224460</v>
      </c>
      <c r="G99" s="333">
        <f t="shared" si="263"/>
        <v>-0.043580414564062</v>
      </c>
      <c r="H99" s="18"/>
      <c r="I99" s="122"/>
      <c r="J99" s="122"/>
      <c r="K99" s="386" t="str">
        <f t="shared" si="212"/>
        <v>2026//1//29</v>
      </c>
      <c r="L99" s="334">
        <v>3300094.4</v>
      </c>
      <c r="M99" s="334">
        <v>3496564.4</v>
      </c>
      <c r="N99" s="332">
        <f t="shared" si="265"/>
        <v>-196470</v>
      </c>
      <c r="O99" s="333">
        <f t="shared" si="266"/>
        <v>-0.0561894412698362</v>
      </c>
      <c r="P99" s="18"/>
      <c r="Q99" s="122"/>
      <c r="R99" s="125"/>
      <c r="S99" s="386" t="str">
        <f t="shared" si="213"/>
        <v>2026//1//29</v>
      </c>
      <c r="T99" s="334">
        <v>2592696.68</v>
      </c>
      <c r="U99" s="334">
        <v>2825796.68</v>
      </c>
      <c r="V99" s="332">
        <f t="shared" si="268"/>
        <v>-233100</v>
      </c>
      <c r="W99" s="333">
        <f t="shared" si="269"/>
        <v>-0.0824900112771029</v>
      </c>
      <c r="X99" s="18"/>
      <c r="Y99" s="122"/>
      <c r="Z99" s="125"/>
      <c r="AA99" s="386" t="str">
        <f t="shared" si="214"/>
        <v>2026//1//29</v>
      </c>
      <c r="AB99" s="334">
        <v>1336056.86</v>
      </c>
      <c r="AC99" s="334">
        <v>1403176.86</v>
      </c>
      <c r="AD99" s="332">
        <f t="shared" si="271"/>
        <v>-67120</v>
      </c>
      <c r="AE99" s="333">
        <f t="shared" si="272"/>
        <v>-0.047834312204949</v>
      </c>
      <c r="AF99" s="18"/>
      <c r="AG99" s="122"/>
      <c r="AH99" s="125"/>
      <c r="AI99" s="386" t="str">
        <f t="shared" si="215"/>
        <v>2026//1//29</v>
      </c>
      <c r="AJ99" s="334">
        <v>1065121.76</v>
      </c>
      <c r="AK99" s="125">
        <v>1105921.76</v>
      </c>
      <c r="AL99" s="332">
        <f t="shared" si="274"/>
        <v>-40800</v>
      </c>
      <c r="AM99" s="333">
        <f t="shared" si="275"/>
        <v>-0.036892302399403</v>
      </c>
      <c r="AN99" s="18"/>
      <c r="AO99" s="18"/>
      <c r="AP99" s="125"/>
      <c r="AQ99" s="386" t="str">
        <f t="shared" si="216"/>
        <v>2026//1//29</v>
      </c>
      <c r="AR99" s="21">
        <v>1942345.49</v>
      </c>
      <c r="AS99" s="125">
        <v>1992745.49</v>
      </c>
      <c r="AT99" s="332">
        <f t="shared" si="277"/>
        <v>-50400</v>
      </c>
      <c r="AU99" s="333">
        <f t="shared" si="278"/>
        <v>-0.0252917395888825</v>
      </c>
      <c r="AV99" s="18"/>
      <c r="AW99" s="18"/>
      <c r="AX99" s="17"/>
      <c r="AY99" s="205">
        <v>4.9634</v>
      </c>
      <c r="AZ99" s="204" t="str">
        <f t="shared" si="217"/>
        <v>2026//1//29</v>
      </c>
      <c r="BA99" s="205">
        <v>2099182</v>
      </c>
      <c r="BB99" s="205">
        <f t="shared" si="279"/>
        <v>2207092</v>
      </c>
      <c r="BC99" s="205">
        <v>-107910</v>
      </c>
      <c r="BD99" s="292">
        <v>-0.0489</v>
      </c>
      <c r="BE99" s="18"/>
      <c r="BF99" s="18"/>
      <c r="BG99" s="74"/>
      <c r="BH99" s="387" t="str">
        <f t="shared" si="218"/>
        <v>2026//1//29</v>
      </c>
      <c r="BI99" s="388">
        <v>987226.55</v>
      </c>
      <c r="BJ99" s="388">
        <v>1000626.55</v>
      </c>
      <c r="BK99" s="344">
        <f t="shared" si="281"/>
        <v>-13400</v>
      </c>
      <c r="BL99" s="345">
        <f t="shared" si="282"/>
        <v>-0.0133916094870759</v>
      </c>
      <c r="BM99" s="197"/>
      <c r="BN99" s="192"/>
      <c r="BO99" s="389"/>
      <c r="BP99" s="390" t="str">
        <f t="shared" si="219"/>
        <v>2026//1//29</v>
      </c>
      <c r="BQ99" s="191">
        <v>1549762.39</v>
      </c>
      <c r="BR99" s="258">
        <v>1556862.39</v>
      </c>
      <c r="BS99" s="346">
        <f t="shared" si="284"/>
        <v>-7100</v>
      </c>
      <c r="BT99" s="347">
        <f t="shared" si="285"/>
        <v>-0.00456045444067796</v>
      </c>
      <c r="BU99" s="192"/>
      <c r="BV99" s="192"/>
      <c r="BW99" s="389"/>
      <c r="BX99" s="390" t="str">
        <f t="shared" si="220"/>
        <v>2026//1//29</v>
      </c>
      <c r="BY99" s="8">
        <v>3671760.7</v>
      </c>
      <c r="BZ99" s="8">
        <v>3538960.7</v>
      </c>
      <c r="CA99" s="348">
        <f t="shared" si="287"/>
        <v>132800</v>
      </c>
      <c r="CB99" s="349">
        <f t="shared" si="288"/>
        <v>0.03752514120883</v>
      </c>
      <c r="CC99" s="192"/>
      <c r="CD99" s="192"/>
      <c r="CE99" s="389"/>
      <c r="CF99" s="390" t="str">
        <f t="shared" si="221"/>
        <v>2026//1//29</v>
      </c>
      <c r="CG99" s="390">
        <v>1846054</v>
      </c>
      <c r="CH99" s="12">
        <f t="shared" si="289"/>
        <v>1779404</v>
      </c>
      <c r="CI99" s="12">
        <f t="shared" si="290"/>
        <v>66650</v>
      </c>
      <c r="CJ99" s="199">
        <f t="shared" si="291"/>
        <v>0.0374563617930498</v>
      </c>
      <c r="CK99" s="192"/>
      <c r="CL99" s="391"/>
      <c r="CM99" s="389"/>
      <c r="CN99" s="390" t="str">
        <f t="shared" si="222"/>
        <v>2026//1//29</v>
      </c>
      <c r="CO99" s="200">
        <v>966646.48</v>
      </c>
      <c r="CP99" s="8">
        <v>907746.48</v>
      </c>
      <c r="CQ99" s="12">
        <f t="shared" si="293"/>
        <v>58900</v>
      </c>
      <c r="CR99" s="199">
        <f t="shared" si="294"/>
        <v>0.0648859580265186</v>
      </c>
      <c r="CS99" s="391"/>
      <c r="CT99" s="391"/>
      <c r="CU99" s="389"/>
      <c r="CV99" s="390" t="str">
        <f t="shared" si="223"/>
        <v>2026//1//29</v>
      </c>
      <c r="CW99" s="200">
        <v>728740.4</v>
      </c>
      <c r="CX99" s="200">
        <v>703740.4</v>
      </c>
      <c r="CY99" s="348">
        <f t="shared" si="296"/>
        <v>25000</v>
      </c>
      <c r="CZ99" s="349">
        <f t="shared" si="297"/>
        <v>0.0355244632821989</v>
      </c>
      <c r="DA99" s="192"/>
      <c r="DB99" s="192"/>
      <c r="DC99" s="277"/>
      <c r="DD99" s="390" t="str">
        <f t="shared" si="224"/>
        <v>2026//1//29</v>
      </c>
      <c r="DE99" s="8">
        <v>2259517.98</v>
      </c>
      <c r="DF99" s="12">
        <f t="shared" si="298"/>
        <v>2117917.98</v>
      </c>
      <c r="DG99" s="348">
        <f t="shared" si="299"/>
        <v>141600</v>
      </c>
      <c r="DH99" s="349">
        <f t="shared" si="300"/>
        <v>0.0668581131739578</v>
      </c>
      <c r="DI99" s="192"/>
      <c r="DJ99" s="192"/>
      <c r="DK99" s="389"/>
      <c r="DL99" s="390" t="str">
        <f t="shared" si="225"/>
        <v>2026//1//29</v>
      </c>
      <c r="DM99" s="200">
        <v>1327100.36</v>
      </c>
      <c r="DN99" s="200">
        <v>1281100.36</v>
      </c>
      <c r="DO99" s="348">
        <f t="shared" si="302"/>
        <v>46000</v>
      </c>
      <c r="DP99" s="349">
        <f t="shared" si="303"/>
        <v>0.0359066326388356</v>
      </c>
      <c r="DQ99" s="192"/>
      <c r="DR99" s="192"/>
      <c r="DS99" s="389"/>
      <c r="DT99" s="390" t="str">
        <f t="shared" si="226"/>
        <v>2026//1//29</v>
      </c>
      <c r="DU99" s="200">
        <v>1841489.48</v>
      </c>
      <c r="DV99" s="200">
        <v>1807589.48</v>
      </c>
      <c r="DW99" s="348">
        <f t="shared" si="305"/>
        <v>33900</v>
      </c>
      <c r="DX99" s="349">
        <f t="shared" si="306"/>
        <v>0.0187542582954178</v>
      </c>
      <c r="DY99" s="192"/>
      <c r="DZ99" s="192"/>
      <c r="EA99" s="389"/>
      <c r="EB99" s="390" t="str">
        <f t="shared" si="227"/>
        <v>2026//1//29</v>
      </c>
      <c r="EC99" s="200">
        <v>5070416.82</v>
      </c>
      <c r="ED99" s="200">
        <v>4992566.82</v>
      </c>
      <c r="EE99" s="348">
        <f t="shared" si="308"/>
        <v>77850</v>
      </c>
      <c r="EF99" s="349">
        <f t="shared" si="309"/>
        <v>0.0155931813848012</v>
      </c>
      <c r="EG99" s="192"/>
      <c r="EH99" s="192"/>
      <c r="EI99" s="389"/>
      <c r="EJ99" s="390" t="str">
        <f t="shared" si="228"/>
        <v>2026//1//29</v>
      </c>
      <c r="EK99" s="8">
        <v>1585722.96</v>
      </c>
      <c r="EL99" s="8">
        <v>1582322.96</v>
      </c>
      <c r="EM99" s="348">
        <f t="shared" si="311"/>
        <v>3400</v>
      </c>
      <c r="EN99" s="349">
        <f t="shared" si="312"/>
        <v>0.00214873959738283</v>
      </c>
      <c r="EO99" s="192"/>
      <c r="EP99" s="192"/>
      <c r="EQ99" s="340"/>
      <c r="ER99" s="341" t="str">
        <f t="shared" si="229"/>
        <v>2026//1//29</v>
      </c>
      <c r="ES99" s="341">
        <v>524747</v>
      </c>
      <c r="ET99" s="341">
        <v>520247</v>
      </c>
      <c r="EU99" s="341">
        <v>4500</v>
      </c>
      <c r="EV99" s="350">
        <v>0.0086</v>
      </c>
      <c r="EW99" s="192"/>
      <c r="EX99" s="192"/>
      <c r="EY99" s="389"/>
      <c r="EZ99" s="390" t="str">
        <f t="shared" si="230"/>
        <v>2026//1//29</v>
      </c>
      <c r="FA99" s="200">
        <v>679708</v>
      </c>
      <c r="FB99" s="200">
        <v>683508</v>
      </c>
      <c r="FC99" s="346">
        <f t="shared" si="317"/>
        <v>-3800</v>
      </c>
      <c r="FD99" s="347">
        <f t="shared" si="318"/>
        <v>-0.00555955453337781</v>
      </c>
      <c r="FE99" s="192"/>
      <c r="FF99" s="192"/>
      <c r="FH99" s="390" t="str">
        <f t="shared" si="231"/>
        <v>2026//1//29</v>
      </c>
      <c r="FI99" s="392">
        <v>870595</v>
      </c>
      <c r="FJ99" s="390">
        <v>843695</v>
      </c>
      <c r="FK99" s="348">
        <f t="shared" si="320"/>
        <v>26900</v>
      </c>
      <c r="FL99" s="349">
        <f t="shared" si="321"/>
        <v>0.0318835598172325</v>
      </c>
      <c r="FM99" s="391"/>
      <c r="FN99" s="391"/>
      <c r="FO99" s="389"/>
      <c r="FP99" s="390" t="str">
        <f t="shared" si="232"/>
        <v>2026//1//29</v>
      </c>
      <c r="FQ99" s="200">
        <v>2315968.73</v>
      </c>
      <c r="FR99" s="200">
        <v>2355268.73</v>
      </c>
      <c r="FS99" s="346">
        <f t="shared" si="323"/>
        <v>-39300</v>
      </c>
      <c r="FT99" s="347">
        <f t="shared" si="324"/>
        <v>-0.0166859940436606</v>
      </c>
      <c r="FU99" s="192"/>
      <c r="FV99" s="192"/>
      <c r="FW99" s="389"/>
      <c r="FX99" s="390" t="str">
        <f t="shared" si="233"/>
        <v>2026//1//29</v>
      </c>
      <c r="FY99" s="200">
        <v>7521182.05</v>
      </c>
      <c r="FZ99" s="200">
        <v>7511682.05</v>
      </c>
      <c r="GA99" s="348">
        <f t="shared" si="326"/>
        <v>9500</v>
      </c>
      <c r="GB99" s="349">
        <f t="shared" si="327"/>
        <v>0.00126469676655177</v>
      </c>
      <c r="GC99" s="192"/>
      <c r="GD99" s="192"/>
      <c r="GE99" s="389"/>
      <c r="GF99" s="390" t="str">
        <f t="shared" si="234"/>
        <v>2026//1//29</v>
      </c>
      <c r="GG99" s="200">
        <v>4731769.49</v>
      </c>
      <c r="GH99" s="200">
        <v>4718069.49</v>
      </c>
      <c r="GI99" s="348">
        <f t="shared" si="329"/>
        <v>13700</v>
      </c>
      <c r="GJ99" s="349">
        <f t="shared" si="330"/>
        <v>0.00290373001691418</v>
      </c>
      <c r="GK99" s="192"/>
      <c r="GL99" s="192"/>
      <c r="GM99" s="389"/>
      <c r="GN99" s="390" t="str">
        <f t="shared" si="235"/>
        <v>2026//1//29</v>
      </c>
      <c r="GO99" s="8">
        <v>1819438.12</v>
      </c>
      <c r="GP99" s="8">
        <v>1805638.12</v>
      </c>
      <c r="GQ99" s="348">
        <f t="shared" si="332"/>
        <v>13800</v>
      </c>
      <c r="GR99" s="349">
        <f t="shared" si="333"/>
        <v>0.00764272743643671</v>
      </c>
      <c r="GS99" s="192"/>
      <c r="GT99" s="192"/>
      <c r="GU99" s="389"/>
      <c r="GV99" s="390" t="str">
        <f t="shared" si="236"/>
        <v>2026//1//29</v>
      </c>
      <c r="GW99" s="200">
        <v>989349.4</v>
      </c>
      <c r="GX99" s="200">
        <v>988749.4</v>
      </c>
      <c r="GY99" s="348">
        <f t="shared" si="335"/>
        <v>600</v>
      </c>
      <c r="GZ99" s="349">
        <f t="shared" si="336"/>
        <v>0.000606827169756058</v>
      </c>
      <c r="HA99" s="192"/>
      <c r="HB99" s="192"/>
      <c r="HC99" s="389"/>
      <c r="HD99" s="390" t="str">
        <f t="shared" si="237"/>
        <v>2026//1//29</v>
      </c>
      <c r="HE99" s="257">
        <v>1272964.67</v>
      </c>
      <c r="HF99" s="8">
        <v>1291064.67</v>
      </c>
      <c r="HG99" s="346">
        <f t="shared" si="338"/>
        <v>-18100</v>
      </c>
      <c r="HH99" s="347">
        <f t="shared" si="339"/>
        <v>-0.0140194371518198</v>
      </c>
      <c r="HI99" s="192"/>
      <c r="HJ99" s="192"/>
      <c r="HK99" s="389"/>
      <c r="HL99" s="390" t="str">
        <f t="shared" si="238"/>
        <v>2026//1//29</v>
      </c>
      <c r="HM99" s="200">
        <v>145504.25</v>
      </c>
      <c r="HN99" s="200">
        <v>146104.25</v>
      </c>
      <c r="HO99" s="346">
        <f t="shared" si="341"/>
        <v>-600</v>
      </c>
      <c r="HP99" s="347">
        <f t="shared" si="342"/>
        <v>-0.0041066567194315</v>
      </c>
      <c r="HQ99" s="192"/>
      <c r="HR99" s="192"/>
      <c r="HS99" s="389"/>
      <c r="HT99" s="390" t="str">
        <f t="shared" si="239"/>
        <v>2026//1//29</v>
      </c>
      <c r="HU99" s="8">
        <v>220668.82</v>
      </c>
      <c r="HV99" s="8">
        <v>179468.82</v>
      </c>
      <c r="HW99" s="348">
        <f t="shared" si="344"/>
        <v>41200</v>
      </c>
      <c r="HX99" s="349">
        <f t="shared" si="345"/>
        <v>0.229566339155737</v>
      </c>
      <c r="HY99" s="192"/>
      <c r="HZ99" s="192"/>
      <c r="IA99" s="389"/>
      <c r="IB99" s="390" t="str">
        <f t="shared" si="240"/>
        <v>2026//1//29</v>
      </c>
      <c r="IC99" s="200">
        <v>415484.79</v>
      </c>
      <c r="ID99" s="200">
        <v>369059.79</v>
      </c>
      <c r="IE99" s="348">
        <f t="shared" si="347"/>
        <v>46425</v>
      </c>
      <c r="IF99" s="349">
        <f t="shared" si="348"/>
        <v>0.125792625633912</v>
      </c>
      <c r="IG99" s="391"/>
      <c r="IH99" s="192"/>
      <c r="II99" s="389"/>
      <c r="IJ99" s="390" t="str">
        <f t="shared" si="241"/>
        <v>2026//1//29</v>
      </c>
      <c r="IK99" s="8">
        <v>401516.29</v>
      </c>
      <c r="IL99" s="8">
        <v>405436.29</v>
      </c>
      <c r="IM99" s="346">
        <f t="shared" si="350"/>
        <v>-3920</v>
      </c>
      <c r="IN99" s="347">
        <f t="shared" si="351"/>
        <v>-0.00966859676029494</v>
      </c>
      <c r="IO99" s="192"/>
      <c r="IP99" s="192"/>
      <c r="IQ99" s="389"/>
      <c r="IR99" s="390" t="str">
        <f t="shared" si="242"/>
        <v>2026//1//29</v>
      </c>
      <c r="IS99" s="200">
        <v>156389</v>
      </c>
      <c r="IT99" s="200">
        <v>153989</v>
      </c>
      <c r="IU99" s="348">
        <f t="shared" si="353"/>
        <v>2400</v>
      </c>
      <c r="IV99" s="349">
        <f t="shared" si="354"/>
        <v>0.0155855288364753</v>
      </c>
      <c r="IW99" s="192"/>
      <c r="IX99" s="192"/>
      <c r="IY99" s="389"/>
      <c r="IZ99" s="390" t="str">
        <f t="shared" si="243"/>
        <v>2026//1//29</v>
      </c>
      <c r="JA99" s="200">
        <v>4645929.15</v>
      </c>
      <c r="JB99" s="200">
        <v>4650929.15</v>
      </c>
      <c r="JC99" s="346">
        <f t="shared" si="356"/>
        <v>-5000</v>
      </c>
      <c r="JD99" s="347">
        <f t="shared" si="357"/>
        <v>-0.00107505400291896</v>
      </c>
      <c r="JE99" s="192"/>
      <c r="JF99" s="192"/>
      <c r="JG99" s="389"/>
      <c r="JH99" s="390" t="str">
        <f t="shared" si="244"/>
        <v>2026//1//29</v>
      </c>
      <c r="JI99" s="200">
        <v>1533987.99</v>
      </c>
      <c r="JJ99" s="200">
        <v>1526667.99</v>
      </c>
      <c r="JK99" s="348">
        <f t="shared" si="359"/>
        <v>7320</v>
      </c>
      <c r="JL99" s="349">
        <f t="shared" si="360"/>
        <v>0.00479475566917467</v>
      </c>
      <c r="JM99" s="192"/>
      <c r="JN99" s="192"/>
      <c r="JP99" s="390" t="str">
        <f t="shared" si="245"/>
        <v>2026//1//29</v>
      </c>
      <c r="JQ99" s="257">
        <v>1264890.41</v>
      </c>
      <c r="JR99" s="8">
        <v>1253590.41</v>
      </c>
      <c r="JS99" s="348">
        <f t="shared" si="362"/>
        <v>11300</v>
      </c>
      <c r="JT99" s="349">
        <f t="shared" si="363"/>
        <v>0.00901410852369236</v>
      </c>
      <c r="JU99" s="192"/>
      <c r="JV99" s="391"/>
      <c r="JX99" s="390" t="str">
        <f t="shared" si="246"/>
        <v>2026//1//29</v>
      </c>
      <c r="JY99" s="200">
        <v>1318848.8</v>
      </c>
      <c r="JZ99" s="200">
        <v>1326998.8</v>
      </c>
      <c r="KA99" s="346">
        <f t="shared" si="365"/>
        <v>-8150</v>
      </c>
      <c r="KB99" s="347">
        <f t="shared" si="366"/>
        <v>-0.00614167850038749</v>
      </c>
      <c r="KC99" s="192"/>
      <c r="KD99" s="192"/>
      <c r="KF99" s="390" t="str">
        <f t="shared" si="247"/>
        <v>2026//1//29</v>
      </c>
      <c r="KG99" s="257">
        <v>814755.92</v>
      </c>
      <c r="KH99" s="8">
        <v>814755.92</v>
      </c>
      <c r="KI99" s="346">
        <f t="shared" si="368"/>
        <v>0</v>
      </c>
      <c r="KJ99" s="347">
        <f t="shared" si="369"/>
        <v>0</v>
      </c>
      <c r="KK99" s="192"/>
      <c r="KL99" s="192"/>
      <c r="KM99" s="389"/>
      <c r="KN99" s="390" t="str">
        <f t="shared" si="248"/>
        <v>2026//1//29</v>
      </c>
      <c r="KO99" s="200">
        <v>6978475.95</v>
      </c>
      <c r="KP99" s="200">
        <v>6978475.95</v>
      </c>
      <c r="KQ99" s="346">
        <f t="shared" si="371"/>
        <v>0</v>
      </c>
      <c r="KR99" s="347">
        <f t="shared" si="372"/>
        <v>0</v>
      </c>
      <c r="KS99" s="192"/>
      <c r="KT99" s="192"/>
      <c r="KU99" s="389"/>
      <c r="KV99" s="390" t="str">
        <f t="shared" si="249"/>
        <v>2026//1//29</v>
      </c>
      <c r="KW99" s="257">
        <v>1026172.97</v>
      </c>
      <c r="KX99" s="393">
        <v>1026172.97</v>
      </c>
      <c r="KY99" s="8">
        <f t="shared" si="374"/>
        <v>0</v>
      </c>
      <c r="KZ99" s="192">
        <f t="shared" si="375"/>
        <v>0</v>
      </c>
      <c r="LA99" s="192"/>
      <c r="LB99" s="192"/>
      <c r="LC99" s="389"/>
      <c r="LD99" s="390" t="str">
        <f t="shared" si="250"/>
        <v>2026//1//29</v>
      </c>
      <c r="LE99" s="200">
        <v>463007.7</v>
      </c>
      <c r="LF99" s="200">
        <v>448507.7</v>
      </c>
      <c r="LG99" s="348">
        <f t="shared" si="377"/>
        <v>14500</v>
      </c>
      <c r="LH99" s="349">
        <f t="shared" si="378"/>
        <v>0.0323294338090517</v>
      </c>
      <c r="LI99" s="192"/>
      <c r="LJ99" s="192"/>
      <c r="LK99" s="389"/>
      <c r="LL99" s="390" t="str">
        <f t="shared" si="251"/>
        <v>2026//1//29</v>
      </c>
      <c r="LM99" s="198">
        <v>3523255.02</v>
      </c>
      <c r="LN99" s="200">
        <v>3580855.02</v>
      </c>
      <c r="LO99" s="346">
        <f t="shared" si="380"/>
        <v>-57600</v>
      </c>
      <c r="LP99" s="347">
        <f t="shared" si="381"/>
        <v>-0.0160855437258111</v>
      </c>
      <c r="LQ99" s="192"/>
      <c r="LR99" s="192"/>
      <c r="LS99" s="389"/>
      <c r="LT99" s="390" t="str">
        <f t="shared" si="252"/>
        <v>2026//1//29</v>
      </c>
      <c r="LU99" s="8">
        <v>2953462.9</v>
      </c>
      <c r="LV99" s="8">
        <v>3004262.9</v>
      </c>
      <c r="LW99" s="346">
        <f t="shared" si="383"/>
        <v>-50800</v>
      </c>
      <c r="LX99" s="347">
        <f t="shared" si="384"/>
        <v>-0.0169093057734728</v>
      </c>
      <c r="LY99" s="192"/>
      <c r="LZ99" s="192"/>
      <c r="MA99" s="389"/>
      <c r="MB99" s="390" t="str">
        <f t="shared" si="253"/>
        <v>2026//1//29</v>
      </c>
      <c r="MC99" s="200">
        <v>815317.69</v>
      </c>
      <c r="MD99" s="200">
        <v>786917.69</v>
      </c>
      <c r="ME99" s="348">
        <f t="shared" si="386"/>
        <v>28400</v>
      </c>
      <c r="MF99" s="349">
        <f t="shared" si="387"/>
        <v>0.0360901786310078</v>
      </c>
      <c r="MG99" s="192"/>
      <c r="MH99" s="192"/>
      <c r="MI99" s="342"/>
      <c r="MJ99" s="341">
        <v>1.1261</v>
      </c>
      <c r="MK99" s="341" t="str">
        <f t="shared" si="254"/>
        <v>2026//1//29</v>
      </c>
      <c r="ML99" s="341">
        <v>271666</v>
      </c>
      <c r="MM99" s="12">
        <f t="shared" si="388"/>
        <v>274666</v>
      </c>
      <c r="MN99" s="341">
        <v>-3000</v>
      </c>
      <c r="MO99" s="350">
        <v>-0.0109</v>
      </c>
      <c r="MP99" s="192"/>
      <c r="MQ99" s="394"/>
      <c r="MR99" s="394"/>
      <c r="MS99" s="204">
        <v>1.4757</v>
      </c>
      <c r="MT99" s="295" t="str">
        <f t="shared" si="255"/>
        <v>2026//1//29</v>
      </c>
      <c r="MU99" s="204">
        <v>161815</v>
      </c>
      <c r="MV99" s="204">
        <f t="shared" si="391"/>
        <v>104315</v>
      </c>
      <c r="MW99" s="204">
        <v>57500</v>
      </c>
      <c r="MX99" s="296">
        <v>0.5512</v>
      </c>
      <c r="MY99" s="192"/>
      <c r="MZ99" s="192"/>
      <c r="NA99" s="192"/>
      <c r="NB99" s="204">
        <v>1.584</v>
      </c>
      <c r="NC99" s="204" t="str">
        <f t="shared" si="256"/>
        <v>2026//1//29</v>
      </c>
      <c r="ND99" s="204">
        <v>44691</v>
      </c>
      <c r="NE99" s="204">
        <f t="shared" si="392"/>
        <v>39891</v>
      </c>
      <c r="NF99" s="204">
        <v>4800</v>
      </c>
      <c r="NG99" s="296">
        <v>0.1203</v>
      </c>
      <c r="NH99" s="192"/>
      <c r="NI99" s="192"/>
      <c r="NJ99" s="192"/>
      <c r="NK99" s="192"/>
      <c r="NL99" s="205">
        <v>1.1671</v>
      </c>
      <c r="NM99" s="204" t="str">
        <f t="shared" si="257"/>
        <v>2026//1//29</v>
      </c>
      <c r="NN99" s="205">
        <v>2460211</v>
      </c>
      <c r="NO99" s="8">
        <f t="shared" si="393"/>
        <v>2465211</v>
      </c>
      <c r="NP99" s="205">
        <v>-5000</v>
      </c>
      <c r="NQ99" s="292">
        <v>-0.002</v>
      </c>
      <c r="NR99" s="293"/>
      <c r="NS99" s="205">
        <v>1.0587</v>
      </c>
      <c r="NT99" s="294"/>
      <c r="NU99" s="204" t="str">
        <f t="shared" si="258"/>
        <v>2026//1//29</v>
      </c>
      <c r="NV99" s="205">
        <v>238776</v>
      </c>
      <c r="NW99" s="205">
        <f t="shared" si="394"/>
        <v>237876</v>
      </c>
      <c r="NX99" s="205">
        <v>900</v>
      </c>
      <c r="NY99" s="292">
        <v>0.0038</v>
      </c>
      <c r="NZ99" s="391"/>
      <c r="OA99" s="389"/>
      <c r="OB99" s="389"/>
      <c r="OC99" s="390" t="str">
        <f t="shared" si="259"/>
        <v>2026//1//29</v>
      </c>
      <c r="OD99" s="200">
        <v>11968.97</v>
      </c>
      <c r="OE99" s="8">
        <f t="shared" si="395"/>
        <v>12184.97</v>
      </c>
      <c r="OF99" s="346">
        <f t="shared" si="396"/>
        <v>-216</v>
      </c>
      <c r="OG99" s="347">
        <f t="shared" si="397"/>
        <v>-0.017726756815979</v>
      </c>
      <c r="OH99" s="192"/>
      <c r="OI99" s="192"/>
      <c r="OJ99" s="389"/>
      <c r="OK99" s="390" t="str">
        <f t="shared" si="260"/>
        <v>2026//1//29</v>
      </c>
      <c r="OL99" s="200">
        <v>10793.65</v>
      </c>
      <c r="OM99" s="8">
        <f t="shared" si="398"/>
        <v>10793.65</v>
      </c>
      <c r="ON99" s="8">
        <f t="shared" si="399"/>
        <v>0</v>
      </c>
      <c r="OO99" s="192">
        <f t="shared" si="400"/>
        <v>0</v>
      </c>
      <c r="OP99" s="192"/>
      <c r="OQ99" s="192"/>
      <c r="OT99" s="234" t="str">
        <f t="shared" si="211"/>
        <v>2026//1//29</v>
      </c>
      <c r="OU99" s="206">
        <v>139272.4066</v>
      </c>
      <c r="OV99" s="8">
        <f t="shared" si="401"/>
        <v>139152.4066</v>
      </c>
      <c r="OW99" s="191">
        <f t="shared" si="402"/>
        <v>120</v>
      </c>
      <c r="OX99" s="192">
        <f t="shared" si="403"/>
        <v>0.000862363813404575</v>
      </c>
    </row>
    <row r="100" s="8" customFormat="1" ht="17" customHeight="1" spans="1:414">
      <c r="A100" s="15"/>
      <c r="B100" s="15"/>
      <c r="C100" s="385" t="s">
        <v>528</v>
      </c>
      <c r="D100" s="334">
        <v>5150478.77</v>
      </c>
      <c r="E100" s="395">
        <v>5753299</v>
      </c>
      <c r="F100" s="332">
        <f t="shared" si="262"/>
        <v>-602820.23</v>
      </c>
      <c r="G100" s="333">
        <f t="shared" si="263"/>
        <v>-0.104778185524514</v>
      </c>
      <c r="H100" s="18"/>
      <c r="I100" s="122"/>
      <c r="J100" s="122"/>
      <c r="K100" s="386" t="str">
        <f t="shared" si="212"/>
        <v>2026//1//28</v>
      </c>
      <c r="L100" s="334">
        <v>3496564.4</v>
      </c>
      <c r="M100" s="395">
        <v>4123234</v>
      </c>
      <c r="N100" s="332">
        <f t="shared" si="265"/>
        <v>-626669.6</v>
      </c>
      <c r="O100" s="333">
        <f t="shared" si="266"/>
        <v>-0.15198497102032</v>
      </c>
      <c r="P100" s="18"/>
      <c r="Q100" s="122"/>
      <c r="R100" s="125"/>
      <c r="S100" s="386" t="str">
        <f t="shared" si="213"/>
        <v>2026//1//28</v>
      </c>
      <c r="T100" s="334">
        <v>2825796.68</v>
      </c>
      <c r="U100" s="395">
        <v>3315757</v>
      </c>
      <c r="V100" s="332">
        <f t="shared" si="268"/>
        <v>-489960.32</v>
      </c>
      <c r="W100" s="333">
        <f t="shared" si="269"/>
        <v>-0.147767257974574</v>
      </c>
      <c r="X100" s="18"/>
      <c r="Y100" s="122"/>
      <c r="Z100" s="125"/>
      <c r="AA100" s="386" t="str">
        <f t="shared" si="214"/>
        <v>2026//1//28</v>
      </c>
      <c r="AB100" s="334">
        <v>1403176.86</v>
      </c>
      <c r="AC100" s="395">
        <v>1505817</v>
      </c>
      <c r="AD100" s="332">
        <f t="shared" si="271"/>
        <v>-102640.14</v>
      </c>
      <c r="AE100" s="333">
        <f t="shared" si="272"/>
        <v>-0.0681624261115394</v>
      </c>
      <c r="AF100" s="18"/>
      <c r="AG100" s="122"/>
      <c r="AH100" s="125"/>
      <c r="AI100" s="386" t="str">
        <f t="shared" si="215"/>
        <v>2026//1//28</v>
      </c>
      <c r="AJ100" s="334">
        <v>1105921.76</v>
      </c>
      <c r="AK100" s="386">
        <v>1275322</v>
      </c>
      <c r="AL100" s="332">
        <f t="shared" si="274"/>
        <v>-169400.24</v>
      </c>
      <c r="AM100" s="333">
        <f t="shared" si="275"/>
        <v>-0.13282938740177</v>
      </c>
      <c r="AN100" s="18"/>
      <c r="AO100" s="18"/>
      <c r="AP100" s="125"/>
      <c r="AQ100" s="386" t="str">
        <f t="shared" si="216"/>
        <v>2026//1//28</v>
      </c>
      <c r="AR100" s="396">
        <v>1992745.49</v>
      </c>
      <c r="AS100" s="397">
        <v>2069045.49</v>
      </c>
      <c r="AT100" s="332">
        <f t="shared" si="277"/>
        <v>-76300</v>
      </c>
      <c r="AU100" s="333">
        <f t="shared" si="278"/>
        <v>-0.0368769079117734</v>
      </c>
      <c r="AV100" s="18"/>
      <c r="AW100" s="18"/>
      <c r="AX100" s="17"/>
      <c r="AY100" s="205">
        <v>4.926</v>
      </c>
      <c r="AZ100" s="204" t="str">
        <f t="shared" si="217"/>
        <v>2026//1//28</v>
      </c>
      <c r="BA100" s="205">
        <v>2207092</v>
      </c>
      <c r="BB100" s="205">
        <f t="shared" si="279"/>
        <v>2521642</v>
      </c>
      <c r="BC100" s="205">
        <v>-314550</v>
      </c>
      <c r="BD100" s="292">
        <v>-0.1247</v>
      </c>
      <c r="BE100" s="18"/>
      <c r="BF100" s="18"/>
      <c r="BG100" s="74"/>
      <c r="BH100" s="387" t="str">
        <f t="shared" si="218"/>
        <v>2026//1//28</v>
      </c>
      <c r="BI100" s="398">
        <v>1000626.55</v>
      </c>
      <c r="BJ100" s="398">
        <v>992726.55</v>
      </c>
      <c r="BK100" s="354">
        <f t="shared" si="281"/>
        <v>7900</v>
      </c>
      <c r="BL100" s="399">
        <f t="shared" si="282"/>
        <v>0.00795788125138791</v>
      </c>
      <c r="BM100" s="197"/>
      <c r="BN100" s="192"/>
      <c r="BO100" s="389"/>
      <c r="BP100" s="390" t="str">
        <f t="shared" si="219"/>
        <v>2026//1//28</v>
      </c>
      <c r="BQ100" s="191">
        <v>1556862.39</v>
      </c>
      <c r="BR100" s="8">
        <v>1543662.39</v>
      </c>
      <c r="BS100" s="348">
        <f t="shared" si="284"/>
        <v>13200</v>
      </c>
      <c r="BT100" s="400">
        <f t="shared" si="285"/>
        <v>0.0085510925740699</v>
      </c>
      <c r="BU100" s="192"/>
      <c r="BV100" s="192"/>
      <c r="BW100" s="389"/>
      <c r="BX100" s="390" t="str">
        <f t="shared" si="220"/>
        <v>2026//1//28</v>
      </c>
      <c r="BY100" s="8">
        <v>3538960.7</v>
      </c>
      <c r="BZ100" s="390">
        <v>3409611</v>
      </c>
      <c r="CA100" s="348">
        <f t="shared" si="287"/>
        <v>129349.7</v>
      </c>
      <c r="CB100" s="349">
        <f t="shared" si="288"/>
        <v>0.0379367910298272</v>
      </c>
      <c r="CC100" s="192"/>
      <c r="CD100" s="192"/>
      <c r="CE100" s="389"/>
      <c r="CF100" s="390" t="str">
        <f t="shared" si="221"/>
        <v>2026//1//28</v>
      </c>
      <c r="CG100" s="390">
        <v>1779404</v>
      </c>
      <c r="CH100" s="12">
        <f t="shared" si="289"/>
        <v>1737054</v>
      </c>
      <c r="CI100" s="12">
        <f t="shared" si="290"/>
        <v>42350</v>
      </c>
      <c r="CJ100" s="199">
        <f t="shared" si="291"/>
        <v>0.0243803589295439</v>
      </c>
      <c r="CK100" s="192"/>
      <c r="CL100" s="391"/>
      <c r="CM100" s="389"/>
      <c r="CN100" s="390" t="str">
        <f t="shared" si="222"/>
        <v>2026//1//28</v>
      </c>
      <c r="CO100" s="8">
        <v>907746.48</v>
      </c>
      <c r="CP100" s="200">
        <v>850046.48</v>
      </c>
      <c r="CQ100" s="12">
        <f t="shared" si="293"/>
        <v>57700</v>
      </c>
      <c r="CR100" s="199">
        <f t="shared" si="294"/>
        <v>0.0678786411773624</v>
      </c>
      <c r="CS100" s="391"/>
      <c r="CT100" s="391"/>
      <c r="CU100" s="389"/>
      <c r="CV100" s="390" t="str">
        <f t="shared" si="223"/>
        <v>2026//1//28</v>
      </c>
      <c r="CW100" s="200">
        <v>703740.4</v>
      </c>
      <c r="CX100" s="390">
        <v>689190</v>
      </c>
      <c r="CY100" s="348">
        <f t="shared" si="296"/>
        <v>14550.4</v>
      </c>
      <c r="CZ100" s="349">
        <f t="shared" si="297"/>
        <v>0.0211123202600154</v>
      </c>
      <c r="DA100" s="192"/>
      <c r="DB100" s="192"/>
      <c r="DC100" s="277"/>
      <c r="DD100" s="390" t="str">
        <f t="shared" si="224"/>
        <v>2026//1//28</v>
      </c>
      <c r="DE100" s="8">
        <v>2117917.98</v>
      </c>
      <c r="DF100" s="12">
        <f t="shared" si="298"/>
        <v>2070917.98</v>
      </c>
      <c r="DG100" s="348">
        <f t="shared" si="299"/>
        <v>47000</v>
      </c>
      <c r="DH100" s="349">
        <f t="shared" si="300"/>
        <v>0.0226952493792149</v>
      </c>
      <c r="DI100" s="192"/>
      <c r="DJ100" s="192"/>
      <c r="DK100" s="389"/>
      <c r="DL100" s="390" t="str">
        <f t="shared" si="225"/>
        <v>2026//1//28</v>
      </c>
      <c r="DM100" s="200">
        <v>1281100.36</v>
      </c>
      <c r="DN100" s="200">
        <v>1262500.36</v>
      </c>
      <c r="DO100" s="348">
        <f t="shared" si="302"/>
        <v>18600</v>
      </c>
      <c r="DP100" s="349">
        <f t="shared" si="303"/>
        <v>0.014732669066328</v>
      </c>
      <c r="DQ100" s="192"/>
      <c r="DR100" s="192"/>
      <c r="DS100" s="389"/>
      <c r="DT100" s="390" t="str">
        <f t="shared" si="226"/>
        <v>2026//1//28</v>
      </c>
      <c r="DU100" s="200">
        <v>1807589.48</v>
      </c>
      <c r="DV100" s="200">
        <v>1785989.48</v>
      </c>
      <c r="DW100" s="348">
        <f t="shared" si="305"/>
        <v>21600</v>
      </c>
      <c r="DX100" s="349">
        <f t="shared" si="306"/>
        <v>0.0120941361871852</v>
      </c>
      <c r="DY100" s="192"/>
      <c r="DZ100" s="192"/>
      <c r="EA100" s="389"/>
      <c r="EB100" s="390" t="str">
        <f t="shared" si="227"/>
        <v>2026//1//28</v>
      </c>
      <c r="EC100" s="200">
        <v>4992566.82</v>
      </c>
      <c r="ED100" s="200">
        <v>5028116.82</v>
      </c>
      <c r="EE100" s="346">
        <f t="shared" si="308"/>
        <v>-35550</v>
      </c>
      <c r="EF100" s="347">
        <f t="shared" si="309"/>
        <v>-0.00707024145870978</v>
      </c>
      <c r="EG100" s="192"/>
      <c r="EH100" s="192"/>
      <c r="EI100" s="389"/>
      <c r="EJ100" s="390" t="str">
        <f t="shared" si="228"/>
        <v>2026//1//28</v>
      </c>
      <c r="EK100" s="8">
        <v>1582322.96</v>
      </c>
      <c r="EL100" s="8">
        <v>1576322.96</v>
      </c>
      <c r="EM100" s="348">
        <f t="shared" si="311"/>
        <v>6000</v>
      </c>
      <c r="EN100" s="349">
        <f t="shared" si="312"/>
        <v>0.00380632659185526</v>
      </c>
      <c r="EO100" s="192"/>
      <c r="EP100" s="192"/>
      <c r="EQ100" s="340"/>
      <c r="ER100" s="341" t="str">
        <f t="shared" si="229"/>
        <v>2026//1//28</v>
      </c>
      <c r="ES100" s="341">
        <v>520247</v>
      </c>
      <c r="ET100" s="341">
        <v>522047</v>
      </c>
      <c r="EU100" s="341">
        <v>-1800</v>
      </c>
      <c r="EV100" s="350">
        <v>-0.0034</v>
      </c>
      <c r="EW100" s="192"/>
      <c r="EX100" s="192"/>
      <c r="EY100" s="389"/>
      <c r="EZ100" s="390" t="str">
        <f t="shared" si="230"/>
        <v>2026//1//28</v>
      </c>
      <c r="FA100" s="200">
        <v>683508</v>
      </c>
      <c r="FB100" s="390">
        <v>680608</v>
      </c>
      <c r="FC100" s="348">
        <f t="shared" si="317"/>
        <v>2900</v>
      </c>
      <c r="FD100" s="349">
        <f t="shared" si="318"/>
        <v>0.00426089613992195</v>
      </c>
      <c r="FE100" s="192"/>
      <c r="FF100" s="192"/>
      <c r="FH100" s="390" t="str">
        <f t="shared" si="231"/>
        <v>2026//1//28</v>
      </c>
      <c r="FI100" s="392">
        <v>843695</v>
      </c>
      <c r="FJ100" s="390">
        <v>803195</v>
      </c>
      <c r="FK100" s="348">
        <f t="shared" si="320"/>
        <v>40500</v>
      </c>
      <c r="FL100" s="349">
        <f t="shared" si="321"/>
        <v>0.0504236206649693</v>
      </c>
      <c r="FM100" s="391"/>
      <c r="FN100" s="391"/>
      <c r="FO100" s="389"/>
      <c r="FP100" s="390" t="str">
        <f t="shared" si="232"/>
        <v>2026//1//28</v>
      </c>
      <c r="FQ100" s="200">
        <v>2355268.73</v>
      </c>
      <c r="FR100" s="390">
        <v>2311319</v>
      </c>
      <c r="FS100" s="348">
        <f t="shared" si="323"/>
        <v>43949.73</v>
      </c>
      <c r="FT100" s="349">
        <f t="shared" si="324"/>
        <v>0.0190149996603671</v>
      </c>
      <c r="FU100" s="192"/>
      <c r="FV100" s="192"/>
      <c r="FW100" s="389"/>
      <c r="FX100" s="390" t="str">
        <f t="shared" si="233"/>
        <v>2026//1//28</v>
      </c>
      <c r="FY100" s="200">
        <v>7511682.05</v>
      </c>
      <c r="FZ100" s="390">
        <v>7372382</v>
      </c>
      <c r="GA100" s="348">
        <f t="shared" si="326"/>
        <v>139300.05</v>
      </c>
      <c r="GB100" s="349">
        <f t="shared" si="327"/>
        <v>0.0188948497242818</v>
      </c>
      <c r="GC100" s="192"/>
      <c r="GD100" s="192"/>
      <c r="GE100" s="389"/>
      <c r="GF100" s="390" t="str">
        <f t="shared" si="234"/>
        <v>2026//1//28</v>
      </c>
      <c r="GG100" s="200">
        <v>4718069.49</v>
      </c>
      <c r="GH100" s="390">
        <v>4609469</v>
      </c>
      <c r="GI100" s="348">
        <f t="shared" si="329"/>
        <v>108600.49</v>
      </c>
      <c r="GJ100" s="349">
        <f t="shared" si="330"/>
        <v>0.0235603038007198</v>
      </c>
      <c r="GK100" s="192"/>
      <c r="GL100" s="192"/>
      <c r="GM100" s="389"/>
      <c r="GN100" s="390" t="str">
        <f t="shared" si="235"/>
        <v>2026//1//28</v>
      </c>
      <c r="GO100" s="8">
        <v>1805638.12</v>
      </c>
      <c r="GP100" s="390">
        <v>1777438</v>
      </c>
      <c r="GQ100" s="348">
        <f t="shared" si="332"/>
        <v>28200.1200000001</v>
      </c>
      <c r="GR100" s="349">
        <f t="shared" si="333"/>
        <v>0.0158655998127643</v>
      </c>
      <c r="GS100" s="192"/>
      <c r="GT100" s="192"/>
      <c r="GU100" s="389"/>
      <c r="GV100" s="390" t="str">
        <f t="shared" si="236"/>
        <v>2026//1//28</v>
      </c>
      <c r="GW100" s="200">
        <v>988749.4</v>
      </c>
      <c r="GX100" s="390">
        <v>976149</v>
      </c>
      <c r="GY100" s="348">
        <f t="shared" si="335"/>
        <v>12600.4</v>
      </c>
      <c r="GZ100" s="349">
        <f t="shared" si="336"/>
        <v>0.0129082752735495</v>
      </c>
      <c r="HA100" s="192"/>
      <c r="HB100" s="192"/>
      <c r="HC100" s="389"/>
      <c r="HD100" s="390" t="str">
        <f t="shared" si="237"/>
        <v>2026//1//28</v>
      </c>
      <c r="HE100" s="8">
        <v>1291064.67</v>
      </c>
      <c r="HF100" s="390">
        <v>1293465</v>
      </c>
      <c r="HG100" s="346">
        <f t="shared" si="338"/>
        <v>-2400.33000000007</v>
      </c>
      <c r="HH100" s="347">
        <f t="shared" si="339"/>
        <v>-0.00185573633612048</v>
      </c>
      <c r="HI100" s="192"/>
      <c r="HJ100" s="192"/>
      <c r="HK100" s="389"/>
      <c r="HL100" s="390" t="str">
        <f t="shared" si="238"/>
        <v>2026//1//28</v>
      </c>
      <c r="HM100" s="200">
        <v>146104.25</v>
      </c>
      <c r="HN100" s="390">
        <v>142404</v>
      </c>
      <c r="HO100" s="348">
        <f t="shared" si="341"/>
        <v>3700.25</v>
      </c>
      <c r="HP100" s="349">
        <f t="shared" si="342"/>
        <v>0.0259841717929272</v>
      </c>
      <c r="HQ100" s="192"/>
      <c r="HR100" s="192"/>
      <c r="HS100" s="389"/>
      <c r="HT100" s="390" t="str">
        <f t="shared" si="239"/>
        <v>2026//1//28</v>
      </c>
      <c r="HU100" s="8">
        <v>179468.82</v>
      </c>
      <c r="HV100" s="390">
        <v>173669</v>
      </c>
      <c r="HW100" s="348">
        <f t="shared" si="344"/>
        <v>5799.82000000001</v>
      </c>
      <c r="HX100" s="349">
        <f t="shared" si="345"/>
        <v>0.0333958276952133</v>
      </c>
      <c r="HY100" s="192"/>
      <c r="HZ100" s="192"/>
      <c r="IA100" s="389"/>
      <c r="IB100" s="390" t="str">
        <f t="shared" si="240"/>
        <v>2026//1//28</v>
      </c>
      <c r="IC100" s="200">
        <v>369059.79</v>
      </c>
      <c r="ID100" s="200">
        <v>365459.79</v>
      </c>
      <c r="IE100" s="348">
        <f t="shared" si="347"/>
        <v>3600</v>
      </c>
      <c r="IF100" s="349">
        <f t="shared" si="348"/>
        <v>0.00985060490512513</v>
      </c>
      <c r="IG100" s="349"/>
      <c r="IH100" s="192"/>
      <c r="II100" s="389"/>
      <c r="IJ100" s="390" t="str">
        <f t="shared" si="241"/>
        <v>2026//1//28</v>
      </c>
      <c r="IK100" s="8">
        <v>405436.29</v>
      </c>
      <c r="IL100" s="390">
        <v>406236</v>
      </c>
      <c r="IM100" s="346">
        <f t="shared" si="350"/>
        <v>-799.710000000021</v>
      </c>
      <c r="IN100" s="347">
        <f t="shared" si="351"/>
        <v>-0.00196858476353652</v>
      </c>
      <c r="IO100" s="192"/>
      <c r="IP100" s="192"/>
      <c r="IQ100" s="389"/>
      <c r="IR100" s="390" t="str">
        <f t="shared" si="242"/>
        <v>2026//1//28</v>
      </c>
      <c r="IS100" s="200">
        <v>153989</v>
      </c>
      <c r="IT100" s="200">
        <v>154489</v>
      </c>
      <c r="IU100" s="346">
        <f t="shared" si="353"/>
        <v>-500</v>
      </c>
      <c r="IV100" s="347">
        <f t="shared" si="354"/>
        <v>-0.00323647638343183</v>
      </c>
      <c r="IW100" s="192"/>
      <c r="IX100" s="192"/>
      <c r="IY100" s="389"/>
      <c r="IZ100" s="390" t="str">
        <f t="shared" si="243"/>
        <v>2026//1//28</v>
      </c>
      <c r="JA100" s="200">
        <v>4650929.15</v>
      </c>
      <c r="JB100" s="200">
        <v>4658529.15</v>
      </c>
      <c r="JC100" s="346">
        <f t="shared" si="356"/>
        <v>-7600</v>
      </c>
      <c r="JD100" s="347">
        <f t="shared" si="357"/>
        <v>-0.00163141621642531</v>
      </c>
      <c r="JE100" s="192"/>
      <c r="JF100" s="192"/>
      <c r="JG100" s="389"/>
      <c r="JH100" s="390" t="str">
        <f t="shared" si="244"/>
        <v>2026//1//28</v>
      </c>
      <c r="JI100" s="200">
        <v>1526667.99</v>
      </c>
      <c r="JJ100" s="390">
        <v>1518268</v>
      </c>
      <c r="JK100" s="348">
        <f t="shared" si="359"/>
        <v>8399.98999999999</v>
      </c>
      <c r="JL100" s="349">
        <f t="shared" si="360"/>
        <v>0.00553261347798939</v>
      </c>
      <c r="JM100" s="192"/>
      <c r="JN100" s="192"/>
      <c r="JP100" s="390" t="str">
        <f t="shared" si="245"/>
        <v>2026//1//28</v>
      </c>
      <c r="JQ100" s="8">
        <v>1253590.41</v>
      </c>
      <c r="JR100" s="390">
        <v>1249590</v>
      </c>
      <c r="JS100" s="348">
        <f t="shared" si="362"/>
        <v>4000.40999999992</v>
      </c>
      <c r="JT100" s="349">
        <f t="shared" si="363"/>
        <v>0.00320137805200099</v>
      </c>
      <c r="JU100" s="192"/>
      <c r="JV100" s="391"/>
      <c r="JX100" s="390" t="str">
        <f t="shared" si="246"/>
        <v>2026//1//28</v>
      </c>
      <c r="JY100" s="200">
        <v>1326998.8</v>
      </c>
      <c r="JZ100" s="390">
        <v>1341899</v>
      </c>
      <c r="KA100" s="346">
        <f t="shared" si="365"/>
        <v>-14900.2</v>
      </c>
      <c r="KB100" s="347">
        <f t="shared" si="366"/>
        <v>-0.0111038163080828</v>
      </c>
      <c r="KC100" s="192"/>
      <c r="KD100" s="192"/>
      <c r="KF100" s="390" t="str">
        <f t="shared" si="247"/>
        <v>2026//1//28</v>
      </c>
      <c r="KG100" s="8">
        <v>814755.92</v>
      </c>
      <c r="KH100" s="390">
        <v>814956</v>
      </c>
      <c r="KI100" s="346">
        <f t="shared" si="368"/>
        <v>-200.079999999958</v>
      </c>
      <c r="KJ100" s="347">
        <f t="shared" si="369"/>
        <v>-0.000245510187052992</v>
      </c>
      <c r="KK100" s="192"/>
      <c r="KL100" s="192"/>
      <c r="KM100" s="389"/>
      <c r="KN100" s="390" t="str">
        <f t="shared" si="248"/>
        <v>2026//1//28</v>
      </c>
      <c r="KO100" s="200">
        <v>6978475.95</v>
      </c>
      <c r="KP100" s="200">
        <v>6977675.95</v>
      </c>
      <c r="KQ100" s="348">
        <f t="shared" si="371"/>
        <v>800</v>
      </c>
      <c r="KR100" s="349">
        <f t="shared" si="372"/>
        <v>0.000114651354653407</v>
      </c>
      <c r="KS100" s="192"/>
      <c r="KT100" s="192"/>
      <c r="KU100" s="389"/>
      <c r="KV100" s="390" t="str">
        <f t="shared" si="249"/>
        <v>2026//1//28</v>
      </c>
      <c r="KW100" s="393">
        <v>1026172.97</v>
      </c>
      <c r="KX100" s="257">
        <v>1032972.97</v>
      </c>
      <c r="KY100" s="346">
        <v>-6800</v>
      </c>
      <c r="KZ100" s="347">
        <v>-0.0066</v>
      </c>
      <c r="LA100" s="347"/>
      <c r="LB100" s="192"/>
      <c r="LC100" s="389"/>
      <c r="LD100" s="390" t="str">
        <f t="shared" si="250"/>
        <v>2026//1//28</v>
      </c>
      <c r="LE100" s="200">
        <v>448507.7</v>
      </c>
      <c r="LF100" s="200">
        <v>446207.7</v>
      </c>
      <c r="LG100" s="348">
        <f t="shared" si="377"/>
        <v>2300</v>
      </c>
      <c r="LH100" s="349">
        <f t="shared" si="378"/>
        <v>0.00515455022403244</v>
      </c>
      <c r="LI100" s="192"/>
      <c r="LJ100" s="192"/>
      <c r="LK100" s="389"/>
      <c r="LL100" s="390" t="str">
        <f t="shared" si="251"/>
        <v>2026//1//28</v>
      </c>
      <c r="LM100" s="198">
        <v>3580855.02</v>
      </c>
      <c r="LN100" s="390">
        <v>3569335</v>
      </c>
      <c r="LO100" s="348">
        <f t="shared" si="380"/>
        <v>11520.02</v>
      </c>
      <c r="LP100" s="349">
        <f t="shared" si="381"/>
        <v>0.00322749755906913</v>
      </c>
      <c r="LQ100" s="192"/>
      <c r="LR100" s="192"/>
      <c r="LS100" s="389"/>
      <c r="LT100" s="390" t="str">
        <f t="shared" si="252"/>
        <v>2026//1//28</v>
      </c>
      <c r="LU100" s="8">
        <v>3004262.9</v>
      </c>
      <c r="LV100" s="390">
        <v>3018863</v>
      </c>
      <c r="LW100" s="346">
        <f t="shared" si="383"/>
        <v>-14600.1000000001</v>
      </c>
      <c r="LX100" s="347">
        <f t="shared" si="384"/>
        <v>-0.00483629101419975</v>
      </c>
      <c r="LY100" s="192"/>
      <c r="LZ100" s="192"/>
      <c r="MA100" s="389"/>
      <c r="MB100" s="390" t="str">
        <f t="shared" si="253"/>
        <v>2026//1//28</v>
      </c>
      <c r="MC100" s="200">
        <v>786917.69</v>
      </c>
      <c r="MD100" s="390">
        <v>791918</v>
      </c>
      <c r="ME100" s="346">
        <f t="shared" si="386"/>
        <v>-5000.31000000006</v>
      </c>
      <c r="MF100" s="347">
        <f t="shared" si="387"/>
        <v>-0.00631417646776567</v>
      </c>
      <c r="MG100" s="192"/>
      <c r="MH100" s="192"/>
      <c r="MI100" s="342"/>
      <c r="MJ100" s="341">
        <v>1.1261</v>
      </c>
      <c r="MK100" s="341" t="str">
        <f t="shared" si="254"/>
        <v>2026//1//28</v>
      </c>
      <c r="ML100" s="341">
        <v>274666</v>
      </c>
      <c r="MM100" s="12">
        <f t="shared" si="388"/>
        <v>273586</v>
      </c>
      <c r="MN100" s="341">
        <v>1080</v>
      </c>
      <c r="MO100" s="350">
        <v>0.0039</v>
      </c>
      <c r="MP100" s="192"/>
      <c r="MQ100" s="394"/>
      <c r="MR100" s="394"/>
      <c r="MS100" s="204">
        <v>1.4504</v>
      </c>
      <c r="MT100" s="295" t="str">
        <f t="shared" si="255"/>
        <v>2026//1//28</v>
      </c>
      <c r="MU100" s="204">
        <v>104315</v>
      </c>
      <c r="MV100" s="204">
        <f t="shared" si="391"/>
        <v>72815</v>
      </c>
      <c r="MW100" s="204">
        <v>31500</v>
      </c>
      <c r="MX100" s="296">
        <v>0.4326</v>
      </c>
      <c r="MY100" s="192"/>
      <c r="MZ100" s="192"/>
      <c r="NA100" s="192"/>
      <c r="NB100" s="204">
        <v>1.561</v>
      </c>
      <c r="NC100" s="204" t="str">
        <f t="shared" si="256"/>
        <v>2026//1//28</v>
      </c>
      <c r="ND100" s="204">
        <v>39891</v>
      </c>
      <c r="NE100" s="204">
        <f t="shared" si="392"/>
        <v>36691</v>
      </c>
      <c r="NF100" s="204">
        <v>3200</v>
      </c>
      <c r="NG100" s="296">
        <v>0.0872</v>
      </c>
      <c r="NH100" s="192"/>
      <c r="NI100" s="192"/>
      <c r="NJ100" s="192"/>
      <c r="NK100" s="192"/>
      <c r="NL100" s="205">
        <v>1.1505</v>
      </c>
      <c r="NM100" s="204" t="str">
        <f t="shared" si="257"/>
        <v>2026//1//28</v>
      </c>
      <c r="NN100" s="205">
        <v>2465211</v>
      </c>
      <c r="NO100" s="8">
        <f t="shared" si="393"/>
        <v>2466311</v>
      </c>
      <c r="NP100" s="205">
        <v>-1100</v>
      </c>
      <c r="NQ100" s="292">
        <v>-0.0004</v>
      </c>
      <c r="NR100" s="293"/>
      <c r="NS100" s="205">
        <v>1.0464</v>
      </c>
      <c r="NT100" s="294"/>
      <c r="NU100" s="204" t="str">
        <f t="shared" si="258"/>
        <v>2026//1//28</v>
      </c>
      <c r="NV100" s="205">
        <v>237876</v>
      </c>
      <c r="NW100" s="205">
        <f t="shared" si="394"/>
        <v>236826</v>
      </c>
      <c r="NX100" s="205">
        <v>1050</v>
      </c>
      <c r="NY100" s="292">
        <v>0.0044</v>
      </c>
      <c r="NZ100" s="391"/>
      <c r="OA100" s="389"/>
      <c r="OB100" s="389"/>
      <c r="OC100" s="390" t="str">
        <f t="shared" si="259"/>
        <v>2026//1//28</v>
      </c>
      <c r="OD100" s="200">
        <v>12184.97</v>
      </c>
      <c r="OE100" s="200">
        <v>12211.97</v>
      </c>
      <c r="OF100" s="346">
        <f t="shared" si="396"/>
        <v>-27</v>
      </c>
      <c r="OG100" s="347">
        <f t="shared" si="397"/>
        <v>-0.00221094549036724</v>
      </c>
      <c r="OH100" s="192"/>
      <c r="OI100" s="192"/>
      <c r="OJ100" s="389"/>
      <c r="OK100" s="390" t="str">
        <f t="shared" si="260"/>
        <v>2026//1//28</v>
      </c>
      <c r="OL100" s="200">
        <v>10793.65</v>
      </c>
      <c r="OM100" s="8">
        <f t="shared" si="398"/>
        <v>10793.65</v>
      </c>
      <c r="ON100" s="8">
        <f t="shared" si="399"/>
        <v>0</v>
      </c>
      <c r="OO100" s="192">
        <f t="shared" si="400"/>
        <v>0</v>
      </c>
      <c r="OP100" s="192"/>
      <c r="OQ100" s="192"/>
      <c r="OT100" s="234" t="str">
        <f t="shared" si="211"/>
        <v>2026//1//28</v>
      </c>
      <c r="OU100" s="206">
        <v>139152.4066</v>
      </c>
      <c r="OV100" s="8">
        <f t="shared" si="401"/>
        <v>139032.4066</v>
      </c>
      <c r="OW100" s="191">
        <f t="shared" si="402"/>
        <v>120</v>
      </c>
      <c r="OX100" s="192">
        <f t="shared" si="403"/>
        <v>0.000863108126620028</v>
      </c>
    </row>
    <row r="101" s="8" customFormat="1" ht="17" customHeight="1" spans="1:414">
      <c r="A101" s="15"/>
      <c r="B101" s="15"/>
      <c r="C101" s="385" t="s">
        <v>529</v>
      </c>
      <c r="D101" s="395">
        <v>5753299</v>
      </c>
      <c r="E101" s="395">
        <v>6051739</v>
      </c>
      <c r="F101" s="401">
        <v>-298440</v>
      </c>
      <c r="G101" s="402">
        <v>-0.0493</v>
      </c>
      <c r="H101" s="18"/>
      <c r="I101" s="122"/>
      <c r="J101" s="122"/>
      <c r="K101" s="386" t="str">
        <f t="shared" si="212"/>
        <v>2026//1//27</v>
      </c>
      <c r="L101" s="395">
        <v>4123234</v>
      </c>
      <c r="M101" s="395">
        <v>4384954</v>
      </c>
      <c r="N101" s="401">
        <v>-261720</v>
      </c>
      <c r="O101" s="402">
        <v>-0.0597</v>
      </c>
      <c r="P101" s="18"/>
      <c r="Q101" s="122"/>
      <c r="R101" s="125"/>
      <c r="S101" s="386" t="str">
        <f t="shared" si="213"/>
        <v>2026//1//27</v>
      </c>
      <c r="T101" s="395">
        <v>3315757</v>
      </c>
      <c r="U101" s="395">
        <v>3480457</v>
      </c>
      <c r="V101" s="401">
        <v>-164700</v>
      </c>
      <c r="W101" s="402">
        <v>-0.0473</v>
      </c>
      <c r="X101" s="18"/>
      <c r="Y101" s="122"/>
      <c r="Z101" s="125"/>
      <c r="AA101" s="386" t="str">
        <f t="shared" si="214"/>
        <v>2026//1//27</v>
      </c>
      <c r="AB101" s="395">
        <v>1505817</v>
      </c>
      <c r="AC101" s="395">
        <v>1519057</v>
      </c>
      <c r="AD101" s="403">
        <v>-13240</v>
      </c>
      <c r="AE101" s="404">
        <v>-0.0087</v>
      </c>
      <c r="AF101" s="18"/>
      <c r="AG101" s="122"/>
      <c r="AH101" s="125"/>
      <c r="AI101" s="386" t="str">
        <f t="shared" si="215"/>
        <v>2026//1//27</v>
      </c>
      <c r="AJ101" s="395">
        <v>1275322</v>
      </c>
      <c r="AK101" s="386">
        <v>1350122</v>
      </c>
      <c r="AL101" s="401">
        <v>-74800</v>
      </c>
      <c r="AM101" s="402">
        <v>-0.0554</v>
      </c>
      <c r="AN101" s="18"/>
      <c r="AO101" s="18"/>
      <c r="AP101" s="125"/>
      <c r="AQ101" s="386" t="str">
        <f t="shared" si="216"/>
        <v>2026//1//27</v>
      </c>
      <c r="AR101" s="396">
        <v>2069045.49</v>
      </c>
      <c r="AS101" s="395">
        <v>2125345</v>
      </c>
      <c r="AT101" s="332">
        <f t="shared" si="277"/>
        <v>-56299.51</v>
      </c>
      <c r="AU101" s="333">
        <f t="shared" si="278"/>
        <v>-0.0264895863965615</v>
      </c>
      <c r="AV101" s="18"/>
      <c r="AW101" s="18"/>
      <c r="AX101" s="17"/>
      <c r="AY101" s="205">
        <v>4.9132</v>
      </c>
      <c r="AZ101" s="204" t="str">
        <f t="shared" si="217"/>
        <v>2026//1//27</v>
      </c>
      <c r="BA101" s="205">
        <v>2521642</v>
      </c>
      <c r="BB101" s="205">
        <f t="shared" si="279"/>
        <v>2626492</v>
      </c>
      <c r="BC101" s="205">
        <v>-104850</v>
      </c>
      <c r="BD101" s="292">
        <v>-0.0399</v>
      </c>
      <c r="BE101" s="18"/>
      <c r="BF101" s="18"/>
      <c r="BG101" s="74"/>
      <c r="BH101" s="387" t="str">
        <f t="shared" si="218"/>
        <v>2026//1//27</v>
      </c>
      <c r="BI101" s="405">
        <v>992726.55</v>
      </c>
      <c r="BJ101" s="387">
        <v>987227</v>
      </c>
      <c r="BK101" s="354">
        <f t="shared" si="281"/>
        <v>5499.55000000005</v>
      </c>
      <c r="BL101" s="399">
        <f t="shared" si="282"/>
        <v>0.00557070460998336</v>
      </c>
      <c r="BM101" s="197"/>
      <c r="BN101" s="192"/>
      <c r="BO101" s="389"/>
      <c r="BP101" s="390" t="str">
        <f t="shared" si="219"/>
        <v>2026//1//27</v>
      </c>
      <c r="BQ101" s="406">
        <v>1543662.39</v>
      </c>
      <c r="BR101" s="390">
        <v>1536762</v>
      </c>
      <c r="BS101" s="348">
        <f t="shared" si="284"/>
        <v>6900.3899999999</v>
      </c>
      <c r="BT101" s="400">
        <f t="shared" si="285"/>
        <v>0.00449021383922813</v>
      </c>
      <c r="BU101" s="192"/>
      <c r="BV101" s="192"/>
      <c r="BW101" s="389"/>
      <c r="BX101" s="390" t="str">
        <f t="shared" si="220"/>
        <v>2026//1//27</v>
      </c>
      <c r="BY101" s="390">
        <v>3409611</v>
      </c>
      <c r="BZ101" s="390">
        <v>3380861</v>
      </c>
      <c r="CA101" s="407">
        <v>28750</v>
      </c>
      <c r="CB101" s="408">
        <v>0.0085</v>
      </c>
      <c r="CC101" s="192"/>
      <c r="CD101" s="409"/>
      <c r="CE101" s="389"/>
      <c r="CF101" s="390" t="str">
        <f t="shared" si="221"/>
        <v>2026//1//27</v>
      </c>
      <c r="CG101" s="390">
        <v>1737054</v>
      </c>
      <c r="CH101" s="12">
        <f t="shared" si="289"/>
        <v>1707554</v>
      </c>
      <c r="CI101" s="12">
        <f t="shared" si="290"/>
        <v>29500</v>
      </c>
      <c r="CJ101" s="199">
        <f t="shared" si="291"/>
        <v>0.0172761739892267</v>
      </c>
      <c r="CK101" s="192"/>
      <c r="CL101" s="391"/>
      <c r="CM101" s="389"/>
      <c r="CN101" s="390" t="str">
        <f t="shared" si="222"/>
        <v>2026//1//27</v>
      </c>
      <c r="CO101" s="200">
        <v>850046.48</v>
      </c>
      <c r="CP101" s="390">
        <v>779646</v>
      </c>
      <c r="CQ101" s="12">
        <f t="shared" si="293"/>
        <v>70400.48</v>
      </c>
      <c r="CR101" s="199">
        <f t="shared" si="294"/>
        <v>0.0902980070442226</v>
      </c>
      <c r="CS101" s="391"/>
      <c r="CT101" s="391"/>
      <c r="CU101" s="389"/>
      <c r="CV101" s="390" t="str">
        <f t="shared" si="223"/>
        <v>2026//1//27</v>
      </c>
      <c r="CW101" s="390">
        <v>689190</v>
      </c>
      <c r="CX101" s="390">
        <v>689190</v>
      </c>
      <c r="CY101" s="410">
        <v>0</v>
      </c>
      <c r="CZ101" s="409">
        <v>0</v>
      </c>
      <c r="DA101" s="192"/>
      <c r="DB101" s="192"/>
      <c r="DC101" s="277"/>
      <c r="DD101" s="390" t="str">
        <f t="shared" si="224"/>
        <v>2026//1//27</v>
      </c>
      <c r="DE101" s="411">
        <v>2070917.98</v>
      </c>
      <c r="DF101" s="12">
        <f t="shared" si="298"/>
        <v>2144718</v>
      </c>
      <c r="DG101" s="346">
        <f t="shared" si="299"/>
        <v>-73800.02</v>
      </c>
      <c r="DH101" s="347">
        <f t="shared" si="300"/>
        <v>-0.0344101275785441</v>
      </c>
      <c r="DI101" s="192"/>
      <c r="DJ101" s="192"/>
      <c r="DK101" s="389"/>
      <c r="DL101" s="390" t="str">
        <f t="shared" si="225"/>
        <v>2026//1//27</v>
      </c>
      <c r="DM101" s="200">
        <v>1262500.36</v>
      </c>
      <c r="DN101" s="390">
        <v>1286900</v>
      </c>
      <c r="DO101" s="346">
        <f t="shared" si="302"/>
        <v>-24399.6399999999</v>
      </c>
      <c r="DP101" s="347">
        <f t="shared" si="303"/>
        <v>-0.0189600124329784</v>
      </c>
      <c r="DQ101" s="192"/>
      <c r="DR101" s="192"/>
      <c r="DS101" s="389"/>
      <c r="DT101" s="390" t="str">
        <f t="shared" si="226"/>
        <v>2026//1//27</v>
      </c>
      <c r="DU101" s="200">
        <v>1785989.48</v>
      </c>
      <c r="DV101" s="390">
        <v>1788089</v>
      </c>
      <c r="DW101" s="346">
        <f t="shared" si="305"/>
        <v>-2099.52000000002</v>
      </c>
      <c r="DX101" s="347">
        <f t="shared" si="306"/>
        <v>-0.00117416974211016</v>
      </c>
      <c r="DY101" s="192"/>
      <c r="DZ101" s="192"/>
      <c r="EA101" s="389"/>
      <c r="EB101" s="390" t="str">
        <f t="shared" si="227"/>
        <v>2026//1//27</v>
      </c>
      <c r="EC101" s="200">
        <v>5028116.82</v>
      </c>
      <c r="ED101" s="390">
        <v>5077167</v>
      </c>
      <c r="EE101" s="346">
        <f t="shared" si="308"/>
        <v>-49050.1799999997</v>
      </c>
      <c r="EF101" s="347">
        <f t="shared" si="309"/>
        <v>-0.00966093492689914</v>
      </c>
      <c r="EG101" s="192"/>
      <c r="EH101" s="192"/>
      <c r="EI101" s="389"/>
      <c r="EJ101" s="390" t="str">
        <f t="shared" si="228"/>
        <v>2026//1//27</v>
      </c>
      <c r="EK101" s="411">
        <v>1576322.96</v>
      </c>
      <c r="EL101" s="390">
        <v>1579723</v>
      </c>
      <c r="EM101" s="346">
        <f t="shared" si="311"/>
        <v>-3400.04000000004</v>
      </c>
      <c r="EN101" s="192">
        <f t="shared" si="312"/>
        <v>-0.00215230138448325</v>
      </c>
      <c r="EO101" s="192"/>
      <c r="EP101" s="192"/>
      <c r="EQ101" s="340"/>
      <c r="ER101" s="341" t="str">
        <f t="shared" si="229"/>
        <v>2026//1//27</v>
      </c>
      <c r="ES101" s="341">
        <v>522047</v>
      </c>
      <c r="ET101" s="341">
        <v>522197</v>
      </c>
      <c r="EU101" s="341">
        <v>-150</v>
      </c>
      <c r="EV101" s="350">
        <v>-0.0003</v>
      </c>
      <c r="EW101" s="192"/>
      <c r="EX101" s="192"/>
      <c r="EY101" s="389"/>
      <c r="EZ101" s="390" t="str">
        <f t="shared" si="230"/>
        <v>2026//1//27</v>
      </c>
      <c r="FA101" s="390">
        <v>680608</v>
      </c>
      <c r="FB101" s="390">
        <v>685908</v>
      </c>
      <c r="FC101" s="412">
        <v>-5300</v>
      </c>
      <c r="FD101" s="413">
        <v>-0.0077</v>
      </c>
      <c r="FE101" s="192"/>
      <c r="FF101" s="192"/>
      <c r="FH101" s="390" t="str">
        <f t="shared" si="231"/>
        <v>2026//1//27</v>
      </c>
      <c r="FI101" s="392">
        <v>803195</v>
      </c>
      <c r="FJ101" s="390">
        <v>790595</v>
      </c>
      <c r="FK101" s="348">
        <v>12600</v>
      </c>
      <c r="FL101" s="349">
        <v>0.0159</v>
      </c>
      <c r="FM101" s="391"/>
      <c r="FN101" s="391"/>
      <c r="FO101" s="389"/>
      <c r="FP101" s="390" t="str">
        <f t="shared" si="232"/>
        <v>2026//1//27</v>
      </c>
      <c r="FQ101" s="390">
        <v>2311319</v>
      </c>
      <c r="FR101" s="390">
        <v>2343269</v>
      </c>
      <c r="FS101" s="414">
        <v>-31950</v>
      </c>
      <c r="FT101" s="415">
        <v>-0.0136</v>
      </c>
      <c r="FU101" s="192"/>
      <c r="FV101" s="192"/>
      <c r="FW101" s="389"/>
      <c r="FX101" s="390" t="str">
        <f t="shared" si="233"/>
        <v>2026//1//27</v>
      </c>
      <c r="FY101" s="390">
        <v>7372382</v>
      </c>
      <c r="FZ101" s="390">
        <v>7308282</v>
      </c>
      <c r="GA101" s="416">
        <v>64100</v>
      </c>
      <c r="GB101" s="417">
        <v>0.0088</v>
      </c>
      <c r="GC101" s="192"/>
      <c r="GD101" s="192"/>
      <c r="GE101" s="389"/>
      <c r="GF101" s="390" t="str">
        <f t="shared" si="234"/>
        <v>2026//1//27</v>
      </c>
      <c r="GG101" s="390">
        <v>4609469</v>
      </c>
      <c r="GH101" s="390">
        <v>4550669</v>
      </c>
      <c r="GI101" s="416">
        <v>58800</v>
      </c>
      <c r="GJ101" s="417">
        <v>0.0129</v>
      </c>
      <c r="GK101" s="192"/>
      <c r="GL101" s="192"/>
      <c r="GM101" s="389"/>
      <c r="GN101" s="390" t="str">
        <f t="shared" si="235"/>
        <v>2026//1//27</v>
      </c>
      <c r="GO101" s="390">
        <v>1777438</v>
      </c>
      <c r="GP101" s="390">
        <v>1752538</v>
      </c>
      <c r="GQ101" s="416">
        <v>24900</v>
      </c>
      <c r="GR101" s="417">
        <v>0.0142</v>
      </c>
      <c r="GS101" s="192"/>
      <c r="GT101" s="192"/>
      <c r="GU101" s="389"/>
      <c r="GV101" s="390" t="str">
        <f t="shared" si="236"/>
        <v>2026//1//27</v>
      </c>
      <c r="GW101" s="390">
        <v>976149</v>
      </c>
      <c r="GX101" s="390">
        <v>982349</v>
      </c>
      <c r="GY101" s="412">
        <v>-6200</v>
      </c>
      <c r="GZ101" s="413">
        <v>-0.0063</v>
      </c>
      <c r="HA101" s="192"/>
      <c r="HB101" s="192"/>
      <c r="HC101" s="389"/>
      <c r="HD101" s="390" t="str">
        <f t="shared" si="237"/>
        <v>2026//1//27</v>
      </c>
      <c r="HE101" s="390">
        <v>1293465</v>
      </c>
      <c r="HF101" s="390">
        <v>1288665</v>
      </c>
      <c r="HG101" s="416">
        <v>4800</v>
      </c>
      <c r="HH101" s="417">
        <v>0.0037</v>
      </c>
      <c r="HI101" s="192"/>
      <c r="HJ101" s="192"/>
      <c r="HK101" s="389"/>
      <c r="HL101" s="390" t="str">
        <f t="shared" si="238"/>
        <v>2026//1//27</v>
      </c>
      <c r="HM101" s="390">
        <v>142404</v>
      </c>
      <c r="HN101" s="390">
        <v>142204</v>
      </c>
      <c r="HO101" s="407">
        <v>200</v>
      </c>
      <c r="HP101" s="408">
        <v>0.0014</v>
      </c>
      <c r="HQ101" s="192"/>
      <c r="HR101" s="192"/>
      <c r="HS101" s="389"/>
      <c r="HT101" s="390" t="str">
        <f t="shared" si="239"/>
        <v>2026//1//27</v>
      </c>
      <c r="HU101" s="390">
        <v>173669</v>
      </c>
      <c r="HV101" s="390">
        <v>171969</v>
      </c>
      <c r="HW101" s="407">
        <v>1700</v>
      </c>
      <c r="HX101" s="408">
        <v>0.0099</v>
      </c>
      <c r="HY101" s="192"/>
      <c r="HZ101" s="192"/>
      <c r="IA101" s="389"/>
      <c r="IB101" s="390" t="str">
        <f t="shared" si="240"/>
        <v>2026//1//27</v>
      </c>
      <c r="IC101" s="200">
        <v>365459.79</v>
      </c>
      <c r="ID101" s="200">
        <v>359684.79</v>
      </c>
      <c r="IE101" s="348">
        <f t="shared" si="347"/>
        <v>5775</v>
      </c>
      <c r="IF101" s="349">
        <f t="shared" si="348"/>
        <v>0.0160557247916989</v>
      </c>
      <c r="IG101" s="349"/>
      <c r="IH101" s="192"/>
      <c r="II101" s="389"/>
      <c r="IJ101" s="390" t="str">
        <f t="shared" si="241"/>
        <v>2026//1//27</v>
      </c>
      <c r="IK101" s="390">
        <v>406236</v>
      </c>
      <c r="IL101" s="390">
        <v>406476</v>
      </c>
      <c r="IM101" s="412">
        <v>-240</v>
      </c>
      <c r="IN101" s="413">
        <v>-0.0006</v>
      </c>
      <c r="IO101" s="192"/>
      <c r="IP101" s="192"/>
      <c r="IQ101" s="389"/>
      <c r="IR101" s="390" t="str">
        <f t="shared" si="242"/>
        <v>2026//1//27</v>
      </c>
      <c r="IS101" s="200">
        <v>154489</v>
      </c>
      <c r="IT101" s="390">
        <v>152389</v>
      </c>
      <c r="IU101" s="348">
        <f t="shared" si="353"/>
        <v>2100</v>
      </c>
      <c r="IV101" s="349">
        <f t="shared" si="354"/>
        <v>0.0137805222161705</v>
      </c>
      <c r="IW101" s="192"/>
      <c r="IX101" s="192"/>
      <c r="IY101" s="389"/>
      <c r="IZ101" s="390" t="str">
        <f t="shared" si="243"/>
        <v>2026//1//27</v>
      </c>
      <c r="JA101" s="200">
        <v>4658529.15</v>
      </c>
      <c r="JB101" s="390">
        <v>4601529</v>
      </c>
      <c r="JC101" s="348">
        <f t="shared" si="356"/>
        <v>57000.1500000004</v>
      </c>
      <c r="JD101" s="349">
        <f t="shared" si="357"/>
        <v>0.0123872195524575</v>
      </c>
      <c r="JE101" s="192"/>
      <c r="JF101" s="192"/>
      <c r="JG101" s="389"/>
      <c r="JH101" s="390" t="str">
        <f t="shared" si="244"/>
        <v>2026//1//27</v>
      </c>
      <c r="JI101" s="390">
        <v>1518268</v>
      </c>
      <c r="JJ101" s="390">
        <v>1485988</v>
      </c>
      <c r="JK101" s="407">
        <v>32280</v>
      </c>
      <c r="JL101" s="408">
        <v>0.0217</v>
      </c>
      <c r="JM101" s="192"/>
      <c r="JN101" s="192"/>
      <c r="JP101" s="390" t="str">
        <f t="shared" si="245"/>
        <v>2026//1//27</v>
      </c>
      <c r="JQ101" s="390">
        <v>1249590</v>
      </c>
      <c r="JR101" s="390">
        <v>1250390</v>
      </c>
      <c r="JS101" s="414">
        <v>-800</v>
      </c>
      <c r="JT101" s="415">
        <v>-0.0006</v>
      </c>
      <c r="JU101" s="192"/>
      <c r="JV101" s="391"/>
      <c r="JX101" s="390" t="str">
        <f t="shared" si="246"/>
        <v>2026//1//27</v>
      </c>
      <c r="JY101" s="390">
        <v>1341899</v>
      </c>
      <c r="JZ101" s="390">
        <v>1358599</v>
      </c>
      <c r="KA101" s="412">
        <v>-16700</v>
      </c>
      <c r="KB101" s="413">
        <v>-0.0123</v>
      </c>
      <c r="KC101" s="192"/>
      <c r="KD101" s="192"/>
      <c r="KF101" s="390" t="str">
        <f t="shared" si="247"/>
        <v>2026//1//27</v>
      </c>
      <c r="KG101" s="390">
        <v>814956</v>
      </c>
      <c r="KH101" s="390">
        <v>830956</v>
      </c>
      <c r="KI101" s="414">
        <v>-16000</v>
      </c>
      <c r="KJ101" s="415">
        <v>-0.0193</v>
      </c>
      <c r="KK101" s="192"/>
      <c r="KL101" s="192"/>
      <c r="KM101" s="389"/>
      <c r="KN101" s="390" t="str">
        <f t="shared" si="248"/>
        <v>2026//1//27</v>
      </c>
      <c r="KO101" s="200">
        <v>6977675.95</v>
      </c>
      <c r="KP101" s="390">
        <v>6976876</v>
      </c>
      <c r="KQ101" s="348">
        <f t="shared" si="371"/>
        <v>799.950000000186</v>
      </c>
      <c r="KR101" s="349">
        <f t="shared" si="372"/>
        <v>0.000114657333740801</v>
      </c>
      <c r="KS101" s="192"/>
      <c r="KT101" s="192"/>
      <c r="KU101" s="389"/>
      <c r="KV101" s="390" t="str">
        <f t="shared" si="249"/>
        <v>2026//1//27</v>
      </c>
      <c r="KW101" s="257">
        <v>1032972.97</v>
      </c>
      <c r="KX101" s="390">
        <v>1033673</v>
      </c>
      <c r="KY101" s="346">
        <v>-700</v>
      </c>
      <c r="KZ101" s="347">
        <v>-0.0007</v>
      </c>
      <c r="LA101" s="391"/>
      <c r="LB101" s="192"/>
      <c r="LC101" s="389"/>
      <c r="LD101" s="390" t="str">
        <f t="shared" si="250"/>
        <v>2026//1//27</v>
      </c>
      <c r="LE101" s="200">
        <v>446207.7</v>
      </c>
      <c r="LF101" s="200">
        <v>449607.7</v>
      </c>
      <c r="LG101" s="346">
        <f t="shared" si="377"/>
        <v>-3400</v>
      </c>
      <c r="LH101" s="347">
        <f t="shared" si="378"/>
        <v>-0.00756214806819367</v>
      </c>
      <c r="LI101" s="192"/>
      <c r="LJ101" s="192"/>
      <c r="LK101" s="389"/>
      <c r="LL101" s="390" t="str">
        <f t="shared" si="251"/>
        <v>2026//1//27</v>
      </c>
      <c r="LM101" s="392">
        <v>3569335</v>
      </c>
      <c r="LN101" s="390">
        <v>3513355</v>
      </c>
      <c r="LO101" s="407">
        <v>55980</v>
      </c>
      <c r="LP101" s="408">
        <v>0.0159</v>
      </c>
      <c r="LQ101" s="192"/>
      <c r="LR101" s="192"/>
      <c r="LS101" s="389"/>
      <c r="LT101" s="390" t="str">
        <f t="shared" si="252"/>
        <v>2026//1//27</v>
      </c>
      <c r="LU101" s="390">
        <v>3018863</v>
      </c>
      <c r="LV101" s="390">
        <v>2992463</v>
      </c>
      <c r="LW101" s="407">
        <v>26400</v>
      </c>
      <c r="LX101" s="408">
        <v>0.0088</v>
      </c>
      <c r="LY101" s="192"/>
      <c r="LZ101" s="192"/>
      <c r="MA101" s="389"/>
      <c r="MB101" s="390" t="str">
        <f t="shared" si="253"/>
        <v>2026//1//27</v>
      </c>
      <c r="MC101" s="390">
        <v>791918</v>
      </c>
      <c r="MD101" s="390">
        <v>779168</v>
      </c>
      <c r="ME101" s="416">
        <v>12750</v>
      </c>
      <c r="MF101" s="417">
        <v>0.0164</v>
      </c>
      <c r="MG101" s="192"/>
      <c r="MH101" s="192"/>
      <c r="MI101" s="342"/>
      <c r="MJ101" s="341">
        <v>1.1319</v>
      </c>
      <c r="MK101" s="341" t="str">
        <f t="shared" si="254"/>
        <v>2026//1//27</v>
      </c>
      <c r="ML101" s="341">
        <v>273586</v>
      </c>
      <c r="MM101" s="12">
        <f t="shared" si="388"/>
        <v>274786</v>
      </c>
      <c r="MN101" s="341">
        <v>-1200</v>
      </c>
      <c r="MO101" s="350">
        <v>-0.0044</v>
      </c>
      <c r="MP101" s="192"/>
      <c r="MQ101" s="394"/>
      <c r="MR101" s="394"/>
      <c r="MS101" s="204">
        <v>1.4023</v>
      </c>
      <c r="MT101" s="295" t="str">
        <f t="shared" si="255"/>
        <v>2026//1//27</v>
      </c>
      <c r="MU101" s="204">
        <v>72815</v>
      </c>
      <c r="MV101" s="204">
        <f t="shared" si="391"/>
        <v>57915</v>
      </c>
      <c r="MW101" s="204">
        <v>14900</v>
      </c>
      <c r="MX101" s="296">
        <v>0.2573</v>
      </c>
      <c r="MY101" s="192"/>
      <c r="MZ101" s="192"/>
      <c r="NA101" s="192"/>
      <c r="NB101" s="204">
        <v>1.488</v>
      </c>
      <c r="NC101" s="204" t="str">
        <f t="shared" si="256"/>
        <v>2026//1//27</v>
      </c>
      <c r="ND101" s="204">
        <v>36691</v>
      </c>
      <c r="NE101" s="204">
        <f t="shared" si="392"/>
        <v>35291</v>
      </c>
      <c r="NF101" s="204">
        <v>1400</v>
      </c>
      <c r="NG101" s="296">
        <v>0.0397</v>
      </c>
      <c r="NH101" s="192"/>
      <c r="NI101" s="192"/>
      <c r="NJ101" s="192"/>
      <c r="NK101" s="192"/>
      <c r="NL101" s="205">
        <v>1.148</v>
      </c>
      <c r="NM101" s="204" t="str">
        <f t="shared" si="257"/>
        <v>2026//1//27</v>
      </c>
      <c r="NN101" s="205">
        <v>2466311</v>
      </c>
      <c r="NO101" s="8">
        <f t="shared" si="393"/>
        <v>2429511</v>
      </c>
      <c r="NP101" s="205">
        <v>36800</v>
      </c>
      <c r="NQ101" s="292">
        <v>0.0151</v>
      </c>
      <c r="NR101" s="293"/>
      <c r="NS101" s="205">
        <v>1.0599</v>
      </c>
      <c r="NT101" s="294"/>
      <c r="NU101" s="204" t="str">
        <f t="shared" si="258"/>
        <v>2026//1//27</v>
      </c>
      <c r="NV101" s="205">
        <v>236826</v>
      </c>
      <c r="NW101" s="205">
        <f t="shared" si="394"/>
        <v>232326</v>
      </c>
      <c r="NX101" s="205">
        <v>4500</v>
      </c>
      <c r="NY101" s="292">
        <v>0.0194</v>
      </c>
      <c r="NZ101" s="391"/>
      <c r="OA101" s="389"/>
      <c r="OB101" s="389"/>
      <c r="OC101" s="390" t="str">
        <f t="shared" si="259"/>
        <v>2026//1//27</v>
      </c>
      <c r="OD101" s="200">
        <v>12211.97</v>
      </c>
      <c r="OE101" s="390">
        <v>12314</v>
      </c>
      <c r="OF101" s="346">
        <f t="shared" si="396"/>
        <v>-102.030000000001</v>
      </c>
      <c r="OG101" s="347">
        <f t="shared" si="397"/>
        <v>-0.00828569108331985</v>
      </c>
      <c r="OH101" s="192"/>
      <c r="OI101" s="192"/>
      <c r="OJ101" s="389"/>
      <c r="OK101" s="390" t="str">
        <f t="shared" si="260"/>
        <v>2026//1//27</v>
      </c>
      <c r="OL101" s="200">
        <v>10793.65</v>
      </c>
      <c r="OM101" s="8">
        <f t="shared" si="398"/>
        <v>10793.65</v>
      </c>
      <c r="ON101" s="8">
        <f t="shared" si="399"/>
        <v>0</v>
      </c>
      <c r="OO101" s="192">
        <f t="shared" si="400"/>
        <v>0</v>
      </c>
      <c r="OP101" s="192"/>
      <c r="OQ101" s="192"/>
      <c r="OT101" s="234" t="str">
        <f t="shared" si="211"/>
        <v>2026//1//27</v>
      </c>
      <c r="OU101" s="206">
        <v>139032.4066</v>
      </c>
      <c r="OV101" s="8">
        <f t="shared" si="401"/>
        <v>138912.4066</v>
      </c>
      <c r="OW101" s="191">
        <f t="shared" si="402"/>
        <v>120</v>
      </c>
      <c r="OX101" s="192">
        <f t="shared" si="403"/>
        <v>0.000863853725790969</v>
      </c>
    </row>
    <row r="102" s="8" customFormat="1" ht="17" customHeight="1" spans="1:414">
      <c r="A102" s="15"/>
      <c r="B102" s="15"/>
      <c r="C102" s="385" t="s">
        <v>530</v>
      </c>
      <c r="D102" s="395">
        <v>6051739</v>
      </c>
      <c r="E102" s="395">
        <v>6441529</v>
      </c>
      <c r="F102" s="401">
        <v>-389790</v>
      </c>
      <c r="G102" s="402">
        <v>-0.0605</v>
      </c>
      <c r="H102" s="18"/>
      <c r="I102" s="122"/>
      <c r="J102" s="122"/>
      <c r="K102" s="386" t="str">
        <f t="shared" si="212"/>
        <v>2026//1//26</v>
      </c>
      <c r="L102" s="395">
        <v>4384954</v>
      </c>
      <c r="M102" s="395">
        <v>4885984</v>
      </c>
      <c r="N102" s="401">
        <v>-501030</v>
      </c>
      <c r="O102" s="402">
        <v>-0.1025</v>
      </c>
      <c r="P102" s="18"/>
      <c r="Q102" s="122"/>
      <c r="R102" s="125"/>
      <c r="S102" s="386" t="str">
        <f t="shared" si="213"/>
        <v>2026//1//26</v>
      </c>
      <c r="T102" s="395">
        <v>3480457</v>
      </c>
      <c r="U102" s="395">
        <v>3884917</v>
      </c>
      <c r="V102" s="401">
        <v>-404460</v>
      </c>
      <c r="W102" s="402">
        <v>-0.1041</v>
      </c>
      <c r="X102" s="18"/>
      <c r="Y102" s="122"/>
      <c r="Z102" s="125"/>
      <c r="AA102" s="386" t="str">
        <f t="shared" si="214"/>
        <v>2026//1//26</v>
      </c>
      <c r="AB102" s="395">
        <v>1519057</v>
      </c>
      <c r="AC102" s="395">
        <v>1635537</v>
      </c>
      <c r="AD102" s="401">
        <v>-116480</v>
      </c>
      <c r="AE102" s="402">
        <v>-0.0712</v>
      </c>
      <c r="AF102" s="18"/>
      <c r="AG102" s="122"/>
      <c r="AH102" s="125"/>
      <c r="AI102" s="386" t="str">
        <f t="shared" si="215"/>
        <v>2026//1//26</v>
      </c>
      <c r="AJ102" s="395">
        <v>1350122</v>
      </c>
      <c r="AK102" s="386">
        <v>1594922</v>
      </c>
      <c r="AL102" s="401">
        <v>-244800</v>
      </c>
      <c r="AM102" s="402">
        <v>-0.1535</v>
      </c>
      <c r="AN102" s="18"/>
      <c r="AO102" s="18"/>
      <c r="AP102" s="125"/>
      <c r="AQ102" s="386" t="str">
        <f t="shared" si="216"/>
        <v>2026//1//26</v>
      </c>
      <c r="AR102" s="418">
        <v>2125345</v>
      </c>
      <c r="AS102" s="395">
        <v>2178345</v>
      </c>
      <c r="AT102" s="419">
        <v>-53000</v>
      </c>
      <c r="AU102" s="420">
        <v>-0.0243</v>
      </c>
      <c r="AV102" s="18"/>
      <c r="AW102" s="18"/>
      <c r="AX102" s="17"/>
      <c r="AY102" s="205">
        <v>4.9145</v>
      </c>
      <c r="AZ102" s="204" t="str">
        <f t="shared" si="217"/>
        <v>2026//1//26</v>
      </c>
      <c r="BA102" s="205">
        <v>2626492</v>
      </c>
      <c r="BB102" s="205">
        <f t="shared" si="279"/>
        <v>2903332</v>
      </c>
      <c r="BC102" s="205">
        <v>-276840</v>
      </c>
      <c r="BD102" s="292">
        <v>-0.0954</v>
      </c>
      <c r="BE102" s="18"/>
      <c r="BF102" s="18"/>
      <c r="BG102" s="74"/>
      <c r="BH102" s="387" t="str">
        <f t="shared" si="218"/>
        <v>2026//1//26</v>
      </c>
      <c r="BI102" s="387">
        <v>987227</v>
      </c>
      <c r="BJ102" s="387">
        <v>946827</v>
      </c>
      <c r="BK102" s="421">
        <v>40400</v>
      </c>
      <c r="BL102" s="422">
        <v>0.0427</v>
      </c>
      <c r="BM102" s="197"/>
      <c r="BN102" s="192"/>
      <c r="BO102" s="389"/>
      <c r="BP102" s="390" t="str">
        <f t="shared" si="219"/>
        <v>2026//1//26</v>
      </c>
      <c r="BQ102" s="392">
        <v>1536762</v>
      </c>
      <c r="BR102" s="390">
        <v>1546362</v>
      </c>
      <c r="BS102" s="412">
        <v>-9600</v>
      </c>
      <c r="BT102" s="413">
        <v>-0.0062</v>
      </c>
      <c r="BU102" s="192"/>
      <c r="BV102" s="192"/>
      <c r="BW102" s="389"/>
      <c r="BX102" s="390" t="str">
        <f t="shared" si="220"/>
        <v>2026//1//26</v>
      </c>
      <c r="BY102" s="390">
        <v>3380861</v>
      </c>
      <c r="BZ102" s="390">
        <v>3225011</v>
      </c>
      <c r="CA102" s="407">
        <v>155850</v>
      </c>
      <c r="CB102" s="408">
        <v>0.0483</v>
      </c>
      <c r="CC102" s="192"/>
      <c r="CD102" s="409"/>
      <c r="CE102" s="389"/>
      <c r="CF102" s="390" t="str">
        <f t="shared" si="221"/>
        <v>2026//1//26</v>
      </c>
      <c r="CG102" s="390">
        <v>1707554</v>
      </c>
      <c r="CH102" s="12">
        <f t="shared" si="289"/>
        <v>1659804</v>
      </c>
      <c r="CI102" s="12">
        <f t="shared" si="290"/>
        <v>47750</v>
      </c>
      <c r="CJ102" s="199">
        <f t="shared" si="291"/>
        <v>0.0287684569985372</v>
      </c>
      <c r="CK102" s="192"/>
      <c r="CL102" s="391"/>
      <c r="CM102" s="389"/>
      <c r="CN102" s="390" t="str">
        <f t="shared" si="222"/>
        <v>2026//1//26</v>
      </c>
      <c r="CO102" s="390">
        <v>779646</v>
      </c>
      <c r="CP102" s="390">
        <v>746746</v>
      </c>
      <c r="CQ102" s="12">
        <f t="shared" si="293"/>
        <v>32900</v>
      </c>
      <c r="CR102" s="199">
        <f t="shared" si="294"/>
        <v>0.0440578188567465</v>
      </c>
      <c r="CS102" s="391"/>
      <c r="CT102" s="391"/>
      <c r="CU102" s="389"/>
      <c r="CV102" s="390" t="str">
        <f t="shared" si="223"/>
        <v>2026//1//26</v>
      </c>
      <c r="CW102" s="390">
        <v>689190</v>
      </c>
      <c r="CX102" s="390">
        <v>680190</v>
      </c>
      <c r="CY102" s="416">
        <v>9000</v>
      </c>
      <c r="CZ102" s="417">
        <v>0.0132</v>
      </c>
      <c r="DA102" s="192"/>
      <c r="DB102" s="192"/>
      <c r="DC102" s="277"/>
      <c r="DD102" s="390" t="str">
        <f t="shared" si="224"/>
        <v>2026//1//26</v>
      </c>
      <c r="DE102" s="390">
        <v>2144718</v>
      </c>
      <c r="DF102" s="12">
        <f t="shared" si="298"/>
        <v>2024518</v>
      </c>
      <c r="DG102" s="407">
        <v>60100</v>
      </c>
      <c r="DH102" s="408">
        <v>0.0594</v>
      </c>
      <c r="DI102" s="192"/>
      <c r="DJ102" s="192"/>
      <c r="DK102" s="389"/>
      <c r="DL102" s="390" t="str">
        <f t="shared" si="225"/>
        <v>2026//1//26</v>
      </c>
      <c r="DM102" s="390">
        <v>1286900</v>
      </c>
      <c r="DN102" s="390">
        <v>1290100</v>
      </c>
      <c r="DO102" s="412">
        <v>-3200</v>
      </c>
      <c r="DP102" s="413">
        <v>-0.0025</v>
      </c>
      <c r="DQ102" s="192"/>
      <c r="DR102" s="192"/>
      <c r="DS102" s="389"/>
      <c r="DT102" s="390" t="str">
        <f t="shared" si="226"/>
        <v>2026//1//26</v>
      </c>
      <c r="DU102" s="390">
        <v>1788089</v>
      </c>
      <c r="DV102" s="390">
        <v>1776089</v>
      </c>
      <c r="DW102" s="407">
        <v>12000</v>
      </c>
      <c r="DX102" s="408">
        <v>0.0068</v>
      </c>
      <c r="DY102" s="192"/>
      <c r="DZ102" s="192"/>
      <c r="EA102" s="389"/>
      <c r="EB102" s="390" t="str">
        <f t="shared" si="227"/>
        <v>2026//1//26</v>
      </c>
      <c r="EC102" s="390">
        <v>5077167</v>
      </c>
      <c r="ED102" s="390">
        <v>5096517</v>
      </c>
      <c r="EE102" s="414">
        <v>-19350</v>
      </c>
      <c r="EF102" s="415">
        <v>-0.0038</v>
      </c>
      <c r="EG102" s="192"/>
      <c r="EH102" s="192"/>
      <c r="EI102" s="389"/>
      <c r="EJ102" s="390" t="str">
        <f t="shared" si="228"/>
        <v>2026//1//26</v>
      </c>
      <c r="EK102" s="390">
        <v>1579723</v>
      </c>
      <c r="EL102" s="390">
        <v>1572923</v>
      </c>
      <c r="EM102" s="416">
        <v>6800</v>
      </c>
      <c r="EN102" s="417">
        <v>0.0043</v>
      </c>
      <c r="EO102" s="192"/>
      <c r="EP102" s="192"/>
      <c r="EQ102" s="340"/>
      <c r="ER102" s="341" t="str">
        <f t="shared" si="229"/>
        <v>2026//1//26</v>
      </c>
      <c r="ES102" s="341">
        <v>522197</v>
      </c>
      <c r="ET102" s="341">
        <v>517847</v>
      </c>
      <c r="EU102" s="341">
        <v>4350</v>
      </c>
      <c r="EV102" s="350">
        <v>0.0084</v>
      </c>
      <c r="EW102" s="192"/>
      <c r="EX102" s="192"/>
      <c r="EY102" s="389"/>
      <c r="EZ102" s="390" t="str">
        <f t="shared" si="230"/>
        <v>2026//1//26</v>
      </c>
      <c r="FA102" s="390">
        <v>685908</v>
      </c>
      <c r="FB102" s="390">
        <v>679608</v>
      </c>
      <c r="FC102" s="407">
        <v>6300</v>
      </c>
      <c r="FD102" s="408">
        <v>0.0093</v>
      </c>
      <c r="FE102" s="192"/>
      <c r="FF102" s="192"/>
      <c r="FH102" s="390" t="str">
        <f t="shared" si="231"/>
        <v>2026//1//26</v>
      </c>
      <c r="FI102" s="392">
        <v>790595</v>
      </c>
      <c r="FJ102" s="390">
        <v>773195</v>
      </c>
      <c r="FK102" s="348">
        <v>17400</v>
      </c>
      <c r="FL102" s="349">
        <v>0.0225</v>
      </c>
      <c r="FM102" s="391"/>
      <c r="FN102" s="391"/>
      <c r="FO102" s="389"/>
      <c r="FP102" s="390" t="str">
        <f t="shared" si="232"/>
        <v>2026//1//26</v>
      </c>
      <c r="FQ102" s="390">
        <v>2343269</v>
      </c>
      <c r="FR102" s="390">
        <v>2348969</v>
      </c>
      <c r="FS102" s="423">
        <v>-5700</v>
      </c>
      <c r="FT102" s="424">
        <v>-0.0024</v>
      </c>
      <c r="FU102" s="192"/>
      <c r="FV102" s="192"/>
      <c r="FW102" s="389"/>
      <c r="FX102" s="390" t="str">
        <f t="shared" si="233"/>
        <v>2026//1//26</v>
      </c>
      <c r="FY102" s="390">
        <v>7308282</v>
      </c>
      <c r="FZ102" s="390">
        <v>7238482</v>
      </c>
      <c r="GA102" s="416">
        <v>69800</v>
      </c>
      <c r="GB102" s="417">
        <v>0.0096</v>
      </c>
      <c r="GC102" s="192"/>
      <c r="GD102" s="192"/>
      <c r="GE102" s="389"/>
      <c r="GF102" s="390" t="str">
        <f t="shared" si="234"/>
        <v>2026//1//26</v>
      </c>
      <c r="GG102" s="390">
        <v>4550669</v>
      </c>
      <c r="GH102" s="390">
        <v>4475569</v>
      </c>
      <c r="GI102" s="416">
        <v>75100</v>
      </c>
      <c r="GJ102" s="417">
        <v>0.0168</v>
      </c>
      <c r="GK102" s="192"/>
      <c r="GL102" s="192"/>
      <c r="GM102" s="389"/>
      <c r="GN102" s="390" t="str">
        <f t="shared" si="235"/>
        <v>2026//1//26</v>
      </c>
      <c r="GO102" s="390">
        <v>1752538</v>
      </c>
      <c r="GP102" s="390">
        <v>1740358</v>
      </c>
      <c r="GQ102" s="416">
        <v>12180</v>
      </c>
      <c r="GR102" s="417">
        <v>0.007</v>
      </c>
      <c r="GS102" s="192"/>
      <c r="GT102" s="192"/>
      <c r="GU102" s="389"/>
      <c r="GV102" s="390" t="str">
        <f t="shared" si="236"/>
        <v>2026//1//26</v>
      </c>
      <c r="GW102" s="390">
        <v>982349</v>
      </c>
      <c r="GX102" s="390">
        <v>1031549</v>
      </c>
      <c r="GY102" s="412">
        <v>-49200</v>
      </c>
      <c r="GZ102" s="413">
        <v>-0.0477</v>
      </c>
      <c r="HA102" s="192"/>
      <c r="HB102" s="192"/>
      <c r="HC102" s="389"/>
      <c r="HD102" s="390" t="str">
        <f t="shared" si="237"/>
        <v>2026//1//26</v>
      </c>
      <c r="HE102" s="390">
        <v>1288665</v>
      </c>
      <c r="HF102" s="390">
        <v>1296465</v>
      </c>
      <c r="HG102" s="414">
        <v>-7800</v>
      </c>
      <c r="HH102" s="415">
        <v>-0.006</v>
      </c>
      <c r="HI102" s="192"/>
      <c r="HJ102" s="192"/>
      <c r="HK102" s="389"/>
      <c r="HL102" s="390" t="str">
        <f t="shared" si="238"/>
        <v>2026//1//26</v>
      </c>
      <c r="HM102" s="390">
        <v>142204</v>
      </c>
      <c r="HN102" s="390">
        <v>140954</v>
      </c>
      <c r="HO102" s="407">
        <v>1250</v>
      </c>
      <c r="HP102" s="408">
        <v>0.0089</v>
      </c>
      <c r="HQ102" s="192"/>
      <c r="HR102" s="192"/>
      <c r="HS102" s="389"/>
      <c r="HT102" s="390" t="str">
        <f t="shared" si="239"/>
        <v>2026//1//26</v>
      </c>
      <c r="HU102" s="390">
        <v>171969</v>
      </c>
      <c r="HV102" s="390">
        <v>165969</v>
      </c>
      <c r="HW102" s="407">
        <v>6000</v>
      </c>
      <c r="HX102" s="408">
        <v>0.0362</v>
      </c>
      <c r="HY102" s="192"/>
      <c r="HZ102" s="192"/>
      <c r="IA102" s="389"/>
      <c r="IB102" s="390" t="str">
        <f t="shared" si="240"/>
        <v>2026//1//26</v>
      </c>
      <c r="IC102" s="200">
        <v>359684.79</v>
      </c>
      <c r="ID102" s="200">
        <v>360334.79</v>
      </c>
      <c r="IE102" s="346">
        <f t="shared" si="347"/>
        <v>-650</v>
      </c>
      <c r="IF102" s="347">
        <f t="shared" si="348"/>
        <v>-0.00180387799912409</v>
      </c>
      <c r="IG102" s="391"/>
      <c r="IH102" s="192"/>
      <c r="II102" s="389"/>
      <c r="IJ102" s="390" t="str">
        <f t="shared" si="241"/>
        <v>2026//1//26</v>
      </c>
      <c r="IK102" s="390">
        <v>406476</v>
      </c>
      <c r="IL102" s="390">
        <v>410956</v>
      </c>
      <c r="IM102" s="414">
        <v>-4480</v>
      </c>
      <c r="IN102" s="415">
        <v>-0.0109</v>
      </c>
      <c r="IO102" s="192"/>
      <c r="IP102" s="192"/>
      <c r="IQ102" s="389"/>
      <c r="IR102" s="390" t="str">
        <f t="shared" si="242"/>
        <v>2026//1//26</v>
      </c>
      <c r="IS102" s="390">
        <v>152389</v>
      </c>
      <c r="IT102" s="390">
        <v>147689</v>
      </c>
      <c r="IU102" s="416">
        <v>4700</v>
      </c>
      <c r="IV102" s="417">
        <v>0.0318</v>
      </c>
      <c r="IW102" s="192"/>
      <c r="IX102" s="192"/>
      <c r="IY102" s="389"/>
      <c r="IZ102" s="390" t="str">
        <f t="shared" si="243"/>
        <v>2026//1//26</v>
      </c>
      <c r="JA102" s="390">
        <v>4601529</v>
      </c>
      <c r="JB102" s="390">
        <v>4716129</v>
      </c>
      <c r="JC102" s="412">
        <v>-114600</v>
      </c>
      <c r="JD102" s="413">
        <v>-0.0243</v>
      </c>
      <c r="JE102" s="192"/>
      <c r="JF102" s="192"/>
      <c r="JG102" s="389"/>
      <c r="JH102" s="390" t="str">
        <f t="shared" si="244"/>
        <v>2026//1//26</v>
      </c>
      <c r="JI102" s="390">
        <v>1485988</v>
      </c>
      <c r="JJ102" s="390">
        <v>1479808</v>
      </c>
      <c r="JK102" s="407">
        <v>6180</v>
      </c>
      <c r="JL102" s="408">
        <v>0.0042</v>
      </c>
      <c r="JM102" s="192"/>
      <c r="JN102" s="192"/>
      <c r="JP102" s="390" t="str">
        <f t="shared" si="245"/>
        <v>2026//1//26</v>
      </c>
      <c r="JQ102" s="390">
        <v>1250390</v>
      </c>
      <c r="JR102" s="390">
        <v>1242090</v>
      </c>
      <c r="JS102" s="416">
        <v>8300</v>
      </c>
      <c r="JT102" s="417">
        <v>0.0067</v>
      </c>
      <c r="JU102" s="192"/>
      <c r="JV102" s="391"/>
      <c r="JX102" s="390" t="str">
        <f t="shared" si="246"/>
        <v>2026//1//26</v>
      </c>
      <c r="JY102" s="390">
        <v>1358599</v>
      </c>
      <c r="JZ102" s="390">
        <v>1369799</v>
      </c>
      <c r="KA102" s="414">
        <v>-11200</v>
      </c>
      <c r="KB102" s="415">
        <v>-0.0082</v>
      </c>
      <c r="KC102" s="192"/>
      <c r="KD102" s="391"/>
      <c r="KF102" s="390" t="str">
        <f t="shared" si="247"/>
        <v>2026//1//26</v>
      </c>
      <c r="KG102" s="390">
        <v>830956</v>
      </c>
      <c r="KH102" s="390">
        <v>841756</v>
      </c>
      <c r="KI102" s="414">
        <v>-10800</v>
      </c>
      <c r="KJ102" s="415">
        <v>-0.0128</v>
      </c>
      <c r="KK102" s="192"/>
      <c r="KL102" s="192"/>
      <c r="KM102" s="389"/>
      <c r="KN102" s="390" t="str">
        <f t="shared" si="248"/>
        <v>2026//1//26</v>
      </c>
      <c r="KO102" s="390">
        <v>6976876</v>
      </c>
      <c r="KP102" s="390">
        <v>6976076</v>
      </c>
      <c r="KQ102" s="407">
        <v>800</v>
      </c>
      <c r="KR102" s="408">
        <v>0.0001</v>
      </c>
      <c r="KS102" s="192"/>
      <c r="KT102" s="192"/>
      <c r="KU102" s="389"/>
      <c r="KV102" s="390" t="str">
        <f t="shared" si="249"/>
        <v>2026//1//26</v>
      </c>
      <c r="KW102" s="390">
        <v>1033673</v>
      </c>
      <c r="KX102" s="390">
        <v>1033673</v>
      </c>
      <c r="KY102" s="390">
        <v>0</v>
      </c>
      <c r="KZ102" s="391">
        <v>0</v>
      </c>
      <c r="LA102" s="391"/>
      <c r="LB102" s="192"/>
      <c r="LC102" s="389"/>
      <c r="LD102" s="390" t="str">
        <f t="shared" si="250"/>
        <v>2026//1//26</v>
      </c>
      <c r="LE102" s="200">
        <v>449607.7</v>
      </c>
      <c r="LF102" s="390">
        <v>451558</v>
      </c>
      <c r="LG102" s="346">
        <f t="shared" si="377"/>
        <v>-1950.29999999999</v>
      </c>
      <c r="LH102" s="347">
        <f t="shared" si="378"/>
        <v>-0.00431904650122462</v>
      </c>
      <c r="LI102" s="192"/>
      <c r="LJ102" s="192"/>
      <c r="LK102" s="389"/>
      <c r="LL102" s="390" t="str">
        <f t="shared" si="251"/>
        <v>2026//1//26</v>
      </c>
      <c r="LM102" s="392">
        <v>3513355</v>
      </c>
      <c r="LN102" s="390">
        <v>3478435</v>
      </c>
      <c r="LO102" s="416">
        <v>34920</v>
      </c>
      <c r="LP102" s="417">
        <v>0.01</v>
      </c>
      <c r="LQ102" s="192"/>
      <c r="LR102" s="192"/>
      <c r="LS102" s="389"/>
      <c r="LT102" s="390" t="str">
        <f t="shared" si="252"/>
        <v>2026//1//26</v>
      </c>
      <c r="LU102" s="390">
        <v>2992463</v>
      </c>
      <c r="LV102" s="390">
        <v>2966463</v>
      </c>
      <c r="LW102" s="416">
        <v>26000</v>
      </c>
      <c r="LX102" s="417">
        <v>0.0088</v>
      </c>
      <c r="LY102" s="192"/>
      <c r="LZ102" s="192"/>
      <c r="MA102" s="389"/>
      <c r="MB102" s="390" t="str">
        <f t="shared" si="253"/>
        <v>2026//1//26</v>
      </c>
      <c r="MC102" s="390">
        <v>779168</v>
      </c>
      <c r="MD102" s="390">
        <v>774868</v>
      </c>
      <c r="ME102" s="416">
        <v>4300</v>
      </c>
      <c r="MF102" s="417">
        <v>0.0055</v>
      </c>
      <c r="MG102" s="192"/>
      <c r="MH102" s="192"/>
      <c r="MI102" s="342"/>
      <c r="MJ102" s="341">
        <v>1.1299</v>
      </c>
      <c r="MK102" s="341" t="str">
        <f t="shared" si="254"/>
        <v>2026//1//26</v>
      </c>
      <c r="ML102" s="341">
        <v>274786</v>
      </c>
      <c r="MM102" s="12">
        <f t="shared" si="388"/>
        <v>281986</v>
      </c>
      <c r="MN102" s="341">
        <v>-7200</v>
      </c>
      <c r="MO102" s="350">
        <v>-0.0255</v>
      </c>
      <c r="MP102" s="192"/>
      <c r="MQ102" s="394"/>
      <c r="MR102" s="394"/>
      <c r="MS102" s="204">
        <v>1.4122</v>
      </c>
      <c r="MT102" s="295" t="str">
        <f t="shared" si="255"/>
        <v>2026//1//26</v>
      </c>
      <c r="MU102" s="204">
        <v>57915</v>
      </c>
      <c r="MV102" s="204">
        <f t="shared" si="391"/>
        <v>46115</v>
      </c>
      <c r="MW102" s="204">
        <v>11800</v>
      </c>
      <c r="MX102" s="296">
        <v>0.2559</v>
      </c>
      <c r="MY102" s="192"/>
      <c r="MZ102" s="192"/>
      <c r="NA102" s="192"/>
      <c r="NB102" s="204">
        <v>1.499</v>
      </c>
      <c r="NC102" s="204" t="str">
        <f t="shared" si="256"/>
        <v>2026//1//26</v>
      </c>
      <c r="ND102" s="204">
        <v>35291</v>
      </c>
      <c r="NE102" s="204">
        <f t="shared" si="392"/>
        <v>32691</v>
      </c>
      <c r="NF102" s="204">
        <v>2600</v>
      </c>
      <c r="NG102" s="296">
        <v>0.0795</v>
      </c>
      <c r="NH102" s="192"/>
      <c r="NI102" s="192"/>
      <c r="NJ102" s="192"/>
      <c r="NK102" s="192"/>
      <c r="NL102" s="205">
        <v>1.1536</v>
      </c>
      <c r="NM102" s="204" t="str">
        <f t="shared" si="257"/>
        <v>2026//1//26</v>
      </c>
      <c r="NN102" s="205">
        <v>2429511</v>
      </c>
      <c r="NO102" s="8">
        <f t="shared" si="393"/>
        <v>2425911</v>
      </c>
      <c r="NP102" s="205">
        <v>3600</v>
      </c>
      <c r="NQ102" s="292">
        <v>0.0015</v>
      </c>
      <c r="NR102" s="293"/>
      <c r="NS102" s="205">
        <v>1.0767</v>
      </c>
      <c r="NT102" s="294"/>
      <c r="NU102" s="204" t="str">
        <f t="shared" si="258"/>
        <v>2026//1//26</v>
      </c>
      <c r="NV102" s="205">
        <v>232326</v>
      </c>
      <c r="NW102" s="205">
        <f t="shared" si="394"/>
        <v>228676</v>
      </c>
      <c r="NX102" s="205">
        <v>3650</v>
      </c>
      <c r="NY102" s="292">
        <v>0.016</v>
      </c>
      <c r="NZ102" s="391"/>
      <c r="OA102" s="389"/>
      <c r="OB102" s="389"/>
      <c r="OC102" s="390" t="str">
        <f t="shared" si="259"/>
        <v>2026//1//26</v>
      </c>
      <c r="OD102" s="390">
        <v>12314</v>
      </c>
      <c r="OE102" s="390">
        <v>12500</v>
      </c>
      <c r="OF102" s="414">
        <v>-186</v>
      </c>
      <c r="OG102" s="415">
        <v>-0.0149</v>
      </c>
      <c r="OH102" s="192"/>
      <c r="OI102" s="192"/>
      <c r="OJ102" s="389"/>
      <c r="OK102" s="390" t="str">
        <f t="shared" si="260"/>
        <v>2026//1//26</v>
      </c>
      <c r="OL102" s="200">
        <v>10793.65</v>
      </c>
      <c r="OM102" s="8">
        <f t="shared" si="398"/>
        <v>10793.65</v>
      </c>
      <c r="ON102" s="8">
        <f t="shared" si="399"/>
        <v>0</v>
      </c>
      <c r="OO102" s="192">
        <f t="shared" si="400"/>
        <v>0</v>
      </c>
      <c r="OP102" s="192"/>
      <c r="OQ102" s="192"/>
      <c r="OT102" s="234" t="str">
        <f t="shared" si="211"/>
        <v>2026//1//26</v>
      </c>
      <c r="OU102" s="206">
        <v>138912.4066</v>
      </c>
      <c r="OV102" s="8">
        <f t="shared" si="401"/>
        <v>138792.4066</v>
      </c>
      <c r="OW102" s="191">
        <f t="shared" si="402"/>
        <v>120</v>
      </c>
      <c r="OX102" s="192">
        <f t="shared" si="403"/>
        <v>0.000864600614252913</v>
      </c>
    </row>
    <row r="103" s="9" customFormat="1" ht="17" customHeight="1" spans="1:414">
      <c r="A103" s="212"/>
      <c r="B103" s="212"/>
      <c r="C103" s="425" t="s">
        <v>531</v>
      </c>
      <c r="D103" s="426">
        <v>6441529</v>
      </c>
      <c r="E103" s="426">
        <v>6853459</v>
      </c>
      <c r="F103" s="427">
        <v>-411930</v>
      </c>
      <c r="G103" s="428">
        <v>-0.0601</v>
      </c>
      <c r="H103" s="216">
        <f>(D103-D108)/D108</f>
        <v>-0.192388969498481</v>
      </c>
      <c r="I103" s="429"/>
      <c r="J103" s="429"/>
      <c r="K103" s="430" t="str">
        <f t="shared" si="212"/>
        <v>2026//1//23</v>
      </c>
      <c r="L103" s="426">
        <v>4885984</v>
      </c>
      <c r="M103" s="426">
        <v>5335534</v>
      </c>
      <c r="N103" s="427">
        <v>-449550</v>
      </c>
      <c r="O103" s="428">
        <v>-0.0843</v>
      </c>
      <c r="P103" s="216">
        <f>(L103-L108)/L108</f>
        <v>-0.21717466098553</v>
      </c>
      <c r="Q103" s="429"/>
      <c r="R103" s="431"/>
      <c r="S103" s="430" t="str">
        <f t="shared" si="213"/>
        <v>2026//1//23</v>
      </c>
      <c r="T103" s="426">
        <v>3884917</v>
      </c>
      <c r="U103" s="426">
        <v>4118467</v>
      </c>
      <c r="V103" s="427">
        <v>-233550</v>
      </c>
      <c r="W103" s="428">
        <v>-0.0567</v>
      </c>
      <c r="X103" s="216">
        <f>(T103-T108)/T108</f>
        <v>-0.230594779776074</v>
      </c>
      <c r="Y103" s="429"/>
      <c r="Z103" s="431"/>
      <c r="AA103" s="430" t="str">
        <f t="shared" si="214"/>
        <v>2026//1//23</v>
      </c>
      <c r="AB103" s="426">
        <v>1635537</v>
      </c>
      <c r="AC103" s="426">
        <v>1615857</v>
      </c>
      <c r="AD103" s="432">
        <v>19680</v>
      </c>
      <c r="AE103" s="433">
        <v>0.0122</v>
      </c>
      <c r="AF103" s="216">
        <f>(AB103-AB108)/AB108</f>
        <v>-0.07180244452932</v>
      </c>
      <c r="AG103" s="429"/>
      <c r="AH103" s="431"/>
      <c r="AI103" s="430" t="str">
        <f t="shared" si="215"/>
        <v>2026//1//23</v>
      </c>
      <c r="AJ103" s="426">
        <v>1594922</v>
      </c>
      <c r="AK103" s="430">
        <v>1690922</v>
      </c>
      <c r="AL103" s="427">
        <v>-96000</v>
      </c>
      <c r="AM103" s="428">
        <v>-0.0568</v>
      </c>
      <c r="AN103" s="216">
        <f>(AJ103-AJ108)/AJ108</f>
        <v>-0.370323286702078</v>
      </c>
      <c r="AO103" s="216"/>
      <c r="AP103" s="431"/>
      <c r="AQ103" s="430" t="str">
        <f t="shared" si="216"/>
        <v>2026//1//23</v>
      </c>
      <c r="AR103" s="434">
        <v>2178345</v>
      </c>
      <c r="AS103" s="426">
        <v>2175845</v>
      </c>
      <c r="AT103" s="432">
        <v>2500</v>
      </c>
      <c r="AU103" s="433">
        <v>0.0011</v>
      </c>
      <c r="AV103" s="216">
        <f>(AR103-AR108)/AR108</f>
        <v>-0.107435019637007</v>
      </c>
      <c r="AW103" s="216"/>
      <c r="AX103" s="217"/>
      <c r="AY103" s="232">
        <v>4.9101</v>
      </c>
      <c r="AZ103" s="231" t="str">
        <f t="shared" si="217"/>
        <v>2026//1//23</v>
      </c>
      <c r="BA103" s="232">
        <v>2903332</v>
      </c>
      <c r="BB103" s="232">
        <f t="shared" si="279"/>
        <v>3141742</v>
      </c>
      <c r="BC103" s="232">
        <v>-238410</v>
      </c>
      <c r="BD103" s="314">
        <v>-0.0759</v>
      </c>
      <c r="BE103" s="216">
        <f>(BA103-BA108)/BA108</f>
        <v>-0.247531886174934</v>
      </c>
      <c r="BF103" s="216"/>
      <c r="BG103" s="219"/>
      <c r="BH103" s="435" t="str">
        <f t="shared" si="218"/>
        <v>2026//1//23</v>
      </c>
      <c r="BI103" s="435">
        <v>946827</v>
      </c>
      <c r="BJ103" s="435">
        <v>936527</v>
      </c>
      <c r="BK103" s="436">
        <v>10300</v>
      </c>
      <c r="BL103" s="437">
        <v>0.011</v>
      </c>
      <c r="BM103" s="223"/>
      <c r="BN103" s="224"/>
      <c r="BO103" s="438"/>
      <c r="BP103" s="439" t="str">
        <f t="shared" si="219"/>
        <v>2026//1//23</v>
      </c>
      <c r="BQ103" s="440">
        <v>1546362</v>
      </c>
      <c r="BR103" s="439">
        <v>1514162</v>
      </c>
      <c r="BS103" s="441">
        <v>32200</v>
      </c>
      <c r="BT103" s="442">
        <v>0.0213</v>
      </c>
      <c r="BU103" s="224"/>
      <c r="BV103" s="224"/>
      <c r="BW103" s="438"/>
      <c r="BX103" s="439" t="str">
        <f t="shared" si="220"/>
        <v>2026//1//23</v>
      </c>
      <c r="BY103" s="439">
        <v>3225011</v>
      </c>
      <c r="BZ103" s="439">
        <v>3101661</v>
      </c>
      <c r="CA103" s="441">
        <v>123350</v>
      </c>
      <c r="CB103" s="442">
        <v>0.0398</v>
      </c>
      <c r="CC103" s="224"/>
      <c r="CD103" s="443"/>
      <c r="CE103" s="438"/>
      <c r="CF103" s="439" t="str">
        <f t="shared" si="221"/>
        <v>2026//1//23</v>
      </c>
      <c r="CG103" s="439">
        <v>1659804</v>
      </c>
      <c r="CH103" s="13">
        <f t="shared" si="289"/>
        <v>1634054</v>
      </c>
      <c r="CI103" s="13">
        <f t="shared" si="290"/>
        <v>25750</v>
      </c>
      <c r="CJ103" s="226">
        <f t="shared" si="291"/>
        <v>0.0157583531511199</v>
      </c>
      <c r="CK103" s="224"/>
      <c r="CL103" s="443"/>
      <c r="CM103" s="438"/>
      <c r="CN103" s="439" t="str">
        <f t="shared" si="222"/>
        <v>2026//1//23</v>
      </c>
      <c r="CO103" s="439">
        <v>746746</v>
      </c>
      <c r="CP103" s="439">
        <v>722446</v>
      </c>
      <c r="CQ103" s="13">
        <f t="shared" si="293"/>
        <v>24300</v>
      </c>
      <c r="CR103" s="226">
        <f t="shared" si="294"/>
        <v>0.0336357319439792</v>
      </c>
      <c r="CS103" s="443"/>
      <c r="CT103" s="443"/>
      <c r="CU103" s="438"/>
      <c r="CV103" s="439" t="str">
        <f t="shared" si="223"/>
        <v>2026//1//23</v>
      </c>
      <c r="CW103" s="439">
        <v>680190</v>
      </c>
      <c r="CX103" s="439">
        <v>666890</v>
      </c>
      <c r="CY103" s="441">
        <v>13300</v>
      </c>
      <c r="CZ103" s="442">
        <v>0.0199</v>
      </c>
      <c r="DA103" s="224"/>
      <c r="DB103" s="224"/>
      <c r="DC103" s="276"/>
      <c r="DD103" s="439" t="str">
        <f t="shared" si="224"/>
        <v>2026//1//23</v>
      </c>
      <c r="DE103" s="439">
        <v>2024518</v>
      </c>
      <c r="DF103" s="13">
        <f t="shared" si="298"/>
        <v>1982918</v>
      </c>
      <c r="DG103" s="441">
        <v>20800</v>
      </c>
      <c r="DH103" s="442">
        <v>0.021</v>
      </c>
      <c r="DI103" s="224"/>
      <c r="DJ103" s="224"/>
      <c r="DK103" s="438"/>
      <c r="DL103" s="439" t="str">
        <f t="shared" si="225"/>
        <v>2026//1//23</v>
      </c>
      <c r="DM103" s="439">
        <v>1290100</v>
      </c>
      <c r="DN103" s="439">
        <v>1266500</v>
      </c>
      <c r="DO103" s="441">
        <v>23600</v>
      </c>
      <c r="DP103" s="442">
        <v>0.0186</v>
      </c>
      <c r="DQ103" s="224"/>
      <c r="DR103" s="224"/>
      <c r="DS103" s="438"/>
      <c r="DT103" s="439" t="str">
        <f t="shared" si="226"/>
        <v>2026//1//23</v>
      </c>
      <c r="DU103" s="439">
        <v>1776089</v>
      </c>
      <c r="DV103" s="439">
        <v>1716689</v>
      </c>
      <c r="DW103" s="441">
        <v>59400</v>
      </c>
      <c r="DX103" s="442">
        <v>0.0346</v>
      </c>
      <c r="DY103" s="224"/>
      <c r="DZ103" s="224"/>
      <c r="EA103" s="438"/>
      <c r="EB103" s="439" t="str">
        <f t="shared" si="227"/>
        <v>2026//1//23</v>
      </c>
      <c r="EC103" s="439">
        <v>5096517</v>
      </c>
      <c r="ED103" s="439">
        <v>5052867</v>
      </c>
      <c r="EE103" s="441">
        <v>43650</v>
      </c>
      <c r="EF103" s="442">
        <v>0.0086</v>
      </c>
      <c r="EG103" s="224"/>
      <c r="EH103" s="224"/>
      <c r="EI103" s="438"/>
      <c r="EJ103" s="439" t="str">
        <f t="shared" si="228"/>
        <v>2026//1//23</v>
      </c>
      <c r="EK103" s="439">
        <v>1572923</v>
      </c>
      <c r="EL103" s="439">
        <v>1556323</v>
      </c>
      <c r="EM103" s="441">
        <v>16600</v>
      </c>
      <c r="EN103" s="442">
        <v>0.0107</v>
      </c>
      <c r="EO103" s="224"/>
      <c r="EP103" s="224"/>
      <c r="EQ103" s="444"/>
      <c r="ER103" s="445" t="str">
        <f t="shared" si="229"/>
        <v>2026//1//23</v>
      </c>
      <c r="ES103" s="445">
        <v>517847</v>
      </c>
      <c r="ET103" s="445">
        <v>511847</v>
      </c>
      <c r="EU103" s="445">
        <v>6000</v>
      </c>
      <c r="EV103" s="446">
        <v>0.0117</v>
      </c>
      <c r="EW103" s="224"/>
      <c r="EX103" s="224"/>
      <c r="EY103" s="438"/>
      <c r="EZ103" s="439" t="str">
        <f t="shared" si="230"/>
        <v>2026//1//23</v>
      </c>
      <c r="FA103" s="439">
        <v>679608</v>
      </c>
      <c r="FB103" s="439">
        <v>690108</v>
      </c>
      <c r="FC103" s="447">
        <v>-10500</v>
      </c>
      <c r="FD103" s="448">
        <v>-0.0152</v>
      </c>
      <c r="FE103" s="224"/>
      <c r="FF103" s="224"/>
      <c r="FH103" s="439" t="str">
        <f t="shared" si="231"/>
        <v>2026//1//23</v>
      </c>
      <c r="FI103" s="440">
        <v>773195</v>
      </c>
      <c r="FJ103" s="439">
        <v>761795</v>
      </c>
      <c r="FK103" s="441">
        <v>11400</v>
      </c>
      <c r="FL103" s="442">
        <v>0.015</v>
      </c>
      <c r="FM103" s="443"/>
      <c r="FN103" s="443"/>
      <c r="FO103" s="438"/>
      <c r="FP103" s="439" t="str">
        <f t="shared" si="232"/>
        <v>2026//1//23</v>
      </c>
      <c r="FQ103" s="439">
        <v>2348969</v>
      </c>
      <c r="FR103" s="439">
        <v>2368919</v>
      </c>
      <c r="FS103" s="447">
        <v>-19950</v>
      </c>
      <c r="FT103" s="448">
        <v>-0.0084</v>
      </c>
      <c r="FU103" s="224"/>
      <c r="FV103" s="224"/>
      <c r="FW103" s="438"/>
      <c r="FX103" s="439" t="str">
        <f t="shared" si="233"/>
        <v>2026//1//23</v>
      </c>
      <c r="FY103" s="439">
        <v>7238482</v>
      </c>
      <c r="FZ103" s="439">
        <v>7190882</v>
      </c>
      <c r="GA103" s="441">
        <v>47600</v>
      </c>
      <c r="GB103" s="442">
        <v>0.0066</v>
      </c>
      <c r="GC103" s="224"/>
      <c r="GD103" s="224"/>
      <c r="GE103" s="438"/>
      <c r="GF103" s="439" t="str">
        <f t="shared" si="234"/>
        <v>2026//1//23</v>
      </c>
      <c r="GG103" s="439">
        <v>4475569</v>
      </c>
      <c r="GH103" s="439">
        <v>4398769</v>
      </c>
      <c r="GI103" s="441">
        <v>76800</v>
      </c>
      <c r="GJ103" s="442">
        <v>0.0175</v>
      </c>
      <c r="GK103" s="224"/>
      <c r="GL103" s="224"/>
      <c r="GM103" s="438"/>
      <c r="GN103" s="439" t="str">
        <f t="shared" si="235"/>
        <v>2026//1//23</v>
      </c>
      <c r="GO103" s="439">
        <v>1740358</v>
      </c>
      <c r="GP103" s="439">
        <v>1742878</v>
      </c>
      <c r="GQ103" s="447">
        <v>-2520</v>
      </c>
      <c r="GR103" s="448">
        <v>-0.0014</v>
      </c>
      <c r="GS103" s="224"/>
      <c r="GT103" s="224"/>
      <c r="GU103" s="438"/>
      <c r="GV103" s="439" t="str">
        <f t="shared" si="236"/>
        <v>2026//1//23</v>
      </c>
      <c r="GW103" s="439">
        <v>1031549</v>
      </c>
      <c r="GX103" s="439">
        <v>958349</v>
      </c>
      <c r="GY103" s="441">
        <v>73200</v>
      </c>
      <c r="GZ103" s="442">
        <v>0.0764</v>
      </c>
      <c r="HA103" s="224"/>
      <c r="HB103" s="224"/>
      <c r="HC103" s="438"/>
      <c r="HD103" s="439" t="str">
        <f t="shared" si="237"/>
        <v>2026//1//23</v>
      </c>
      <c r="HE103" s="439">
        <v>1296465</v>
      </c>
      <c r="HF103" s="439">
        <v>1287865</v>
      </c>
      <c r="HG103" s="441">
        <v>8600</v>
      </c>
      <c r="HH103" s="442">
        <v>0.0067</v>
      </c>
      <c r="HI103" s="224"/>
      <c r="HJ103" s="224"/>
      <c r="HK103" s="438"/>
      <c r="HL103" s="439" t="str">
        <f t="shared" si="238"/>
        <v>2026//1//23</v>
      </c>
      <c r="HM103" s="439">
        <v>140954</v>
      </c>
      <c r="HN103" s="439">
        <v>140954</v>
      </c>
      <c r="HO103" s="439">
        <v>0</v>
      </c>
      <c r="HP103" s="443">
        <v>0</v>
      </c>
      <c r="HQ103" s="224"/>
      <c r="HR103" s="224"/>
      <c r="HS103" s="438"/>
      <c r="HT103" s="439" t="str">
        <f t="shared" si="239"/>
        <v>2026//1//23</v>
      </c>
      <c r="HU103" s="439">
        <v>165969</v>
      </c>
      <c r="HV103" s="439">
        <v>147269</v>
      </c>
      <c r="HW103" s="441">
        <v>18700</v>
      </c>
      <c r="HX103" s="442">
        <v>0.127</v>
      </c>
      <c r="HY103" s="224"/>
      <c r="HZ103" s="224"/>
      <c r="IA103" s="438"/>
      <c r="IB103" s="439" t="str">
        <f t="shared" si="240"/>
        <v>2026//1//23</v>
      </c>
      <c r="IC103" s="227">
        <v>360334.79</v>
      </c>
      <c r="ID103" s="227">
        <v>331859.79</v>
      </c>
      <c r="IE103" s="441">
        <f t="shared" si="347"/>
        <v>28475</v>
      </c>
      <c r="IF103" s="442">
        <f t="shared" si="348"/>
        <v>0.0858043091029498</v>
      </c>
      <c r="IG103" s="443"/>
      <c r="IH103" s="224"/>
      <c r="II103" s="438"/>
      <c r="IJ103" s="439" t="str">
        <f t="shared" si="241"/>
        <v>2026//1//23</v>
      </c>
      <c r="IK103" s="439">
        <v>410956</v>
      </c>
      <c r="IL103" s="439">
        <v>415356</v>
      </c>
      <c r="IM103" s="447">
        <v>-4400</v>
      </c>
      <c r="IN103" s="448">
        <v>-0.0106</v>
      </c>
      <c r="IO103" s="224"/>
      <c r="IP103" s="224"/>
      <c r="IQ103" s="438"/>
      <c r="IR103" s="439" t="str">
        <f t="shared" si="242"/>
        <v>2026//1//23</v>
      </c>
      <c r="IS103" s="439" t="s">
        <v>532</v>
      </c>
      <c r="IT103" s="439">
        <v>147289</v>
      </c>
      <c r="IU103" s="441">
        <v>400</v>
      </c>
      <c r="IV103" s="442">
        <v>0.0027</v>
      </c>
      <c r="IW103" s="224"/>
      <c r="IX103" s="224"/>
      <c r="IY103" s="438"/>
      <c r="IZ103" s="439" t="str">
        <f t="shared" si="243"/>
        <v>2026//1//23</v>
      </c>
      <c r="JA103" s="439">
        <v>4716129</v>
      </c>
      <c r="JB103" s="439">
        <v>4715429</v>
      </c>
      <c r="JC103" s="441">
        <v>700</v>
      </c>
      <c r="JD103" s="442">
        <v>0.0001</v>
      </c>
      <c r="JE103" s="224"/>
      <c r="JF103" s="224"/>
      <c r="JG103" s="438"/>
      <c r="JH103" s="439" t="str">
        <f t="shared" si="244"/>
        <v>2026//1//23</v>
      </c>
      <c r="JI103" s="439">
        <v>1479808</v>
      </c>
      <c r="JJ103" s="439">
        <v>1465348</v>
      </c>
      <c r="JK103" s="441">
        <v>14460</v>
      </c>
      <c r="JL103" s="442">
        <v>0.0099</v>
      </c>
      <c r="JM103" s="224"/>
      <c r="JN103" s="224"/>
      <c r="JP103" s="439" t="str">
        <f t="shared" si="245"/>
        <v>2026//1//23</v>
      </c>
      <c r="JQ103" s="439">
        <v>1242090</v>
      </c>
      <c r="JR103" s="439">
        <v>1199490</v>
      </c>
      <c r="JS103" s="441">
        <v>42600</v>
      </c>
      <c r="JT103" s="442">
        <v>0.0355</v>
      </c>
      <c r="JU103" s="224"/>
      <c r="JV103" s="443"/>
      <c r="JX103" s="439" t="str">
        <f t="shared" si="246"/>
        <v>2026//1//23</v>
      </c>
      <c r="JY103" s="439">
        <v>1369799</v>
      </c>
      <c r="JZ103" s="439">
        <v>1369799</v>
      </c>
      <c r="KA103" s="439">
        <v>0</v>
      </c>
      <c r="KB103" s="443">
        <v>0</v>
      </c>
      <c r="KC103" s="224"/>
      <c r="KD103" s="443"/>
      <c r="KF103" s="439" t="str">
        <f t="shared" si="247"/>
        <v>2026//1//23</v>
      </c>
      <c r="KG103" s="439">
        <v>841756</v>
      </c>
      <c r="KH103" s="439">
        <v>841756</v>
      </c>
      <c r="KI103" s="439">
        <v>0</v>
      </c>
      <c r="KJ103" s="443">
        <v>0</v>
      </c>
      <c r="KK103" s="224"/>
      <c r="KL103" s="224"/>
      <c r="KM103" s="438"/>
      <c r="KN103" s="439" t="str">
        <f t="shared" si="248"/>
        <v>2026//1//23</v>
      </c>
      <c r="KO103" s="439">
        <v>6976076</v>
      </c>
      <c r="KP103" s="439">
        <v>6975176</v>
      </c>
      <c r="KQ103" s="441">
        <v>900</v>
      </c>
      <c r="KR103" s="442">
        <v>0.0001</v>
      </c>
      <c r="KS103" s="224"/>
      <c r="KT103" s="224"/>
      <c r="KU103" s="438"/>
      <c r="KV103" s="439" t="str">
        <f t="shared" si="249"/>
        <v>2026//1//23</v>
      </c>
      <c r="KW103" s="439">
        <v>1033673</v>
      </c>
      <c r="KX103" s="439">
        <v>1034773</v>
      </c>
      <c r="KY103" s="449">
        <v>-1100</v>
      </c>
      <c r="KZ103" s="450">
        <v>-0.0011</v>
      </c>
      <c r="LA103" s="443"/>
      <c r="LB103" s="224"/>
      <c r="LC103" s="438"/>
      <c r="LD103" s="439" t="str">
        <f t="shared" si="250"/>
        <v>2026//1//23</v>
      </c>
      <c r="LE103" s="439">
        <v>451558</v>
      </c>
      <c r="LF103" s="439">
        <v>452908</v>
      </c>
      <c r="LG103" s="447">
        <v>-1350</v>
      </c>
      <c r="LH103" s="448">
        <v>-0.003</v>
      </c>
      <c r="LI103" s="224"/>
      <c r="LJ103" s="224"/>
      <c r="LK103" s="438"/>
      <c r="LL103" s="439" t="str">
        <f t="shared" si="251"/>
        <v>2026//1//23</v>
      </c>
      <c r="LM103" s="440">
        <v>3478435</v>
      </c>
      <c r="LN103" s="439">
        <v>3448015</v>
      </c>
      <c r="LO103" s="441">
        <v>30420</v>
      </c>
      <c r="LP103" s="442">
        <v>0.0088</v>
      </c>
      <c r="LQ103" s="224"/>
      <c r="LR103" s="224"/>
      <c r="LS103" s="438"/>
      <c r="LT103" s="439" t="str">
        <f t="shared" si="252"/>
        <v>2026//1//23</v>
      </c>
      <c r="LU103" s="439">
        <v>2966463</v>
      </c>
      <c r="LV103" s="439">
        <v>2967063</v>
      </c>
      <c r="LW103" s="447">
        <v>-600</v>
      </c>
      <c r="LX103" s="448">
        <v>-0.0002</v>
      </c>
      <c r="LY103" s="224"/>
      <c r="LZ103" s="224"/>
      <c r="MA103" s="438"/>
      <c r="MB103" s="439" t="str">
        <f t="shared" si="253"/>
        <v>2026//1//23</v>
      </c>
      <c r="MC103" s="439">
        <v>774868</v>
      </c>
      <c r="MD103" s="439">
        <v>756618</v>
      </c>
      <c r="ME103" s="441">
        <v>18250</v>
      </c>
      <c r="MF103" s="442">
        <v>0.0241</v>
      </c>
      <c r="MG103" s="224"/>
      <c r="MH103" s="224"/>
      <c r="MI103" s="451"/>
      <c r="MJ103" s="445">
        <v>1.1429</v>
      </c>
      <c r="MK103" s="445" t="str">
        <f t="shared" si="254"/>
        <v>2026//1//23</v>
      </c>
      <c r="ML103" s="445">
        <v>281986</v>
      </c>
      <c r="MM103" s="13">
        <f t="shared" si="388"/>
        <v>284986</v>
      </c>
      <c r="MN103" s="445">
        <v>-3000</v>
      </c>
      <c r="MO103" s="446">
        <v>-0.0105</v>
      </c>
      <c r="MP103" s="224"/>
      <c r="MQ103" s="452"/>
      <c r="MR103" s="452"/>
      <c r="MS103" s="231">
        <v>1.3692</v>
      </c>
      <c r="MT103" s="316" t="str">
        <f t="shared" si="255"/>
        <v>2026//1//23</v>
      </c>
      <c r="MU103" s="231">
        <v>46115</v>
      </c>
      <c r="MV103" s="231">
        <f t="shared" si="391"/>
        <v>44815</v>
      </c>
      <c r="MW103" s="231">
        <v>1300</v>
      </c>
      <c r="MX103" s="317">
        <v>0.029</v>
      </c>
      <c r="MY103" s="224"/>
      <c r="MZ103" s="224"/>
      <c r="NA103" s="224"/>
      <c r="NB103" s="231">
        <v>1.446</v>
      </c>
      <c r="NC103" s="231" t="str">
        <f t="shared" si="256"/>
        <v>2026//1//23</v>
      </c>
      <c r="ND103" s="231">
        <v>32691</v>
      </c>
      <c r="NE103" s="231">
        <f t="shared" si="392"/>
        <v>31291</v>
      </c>
      <c r="NF103" s="231">
        <v>1400</v>
      </c>
      <c r="NG103" s="317">
        <v>0.0447</v>
      </c>
      <c r="NH103" s="224"/>
      <c r="NI103" s="224"/>
      <c r="NJ103" s="224"/>
      <c r="NK103" s="224"/>
      <c r="NL103" s="232">
        <v>1.1478</v>
      </c>
      <c r="NM103" s="231" t="str">
        <f t="shared" si="257"/>
        <v>2026//1//23</v>
      </c>
      <c r="NN103" s="232">
        <v>2425911</v>
      </c>
      <c r="NO103" s="9">
        <f t="shared" si="393"/>
        <v>2419611</v>
      </c>
      <c r="NP103" s="232">
        <v>6300</v>
      </c>
      <c r="NQ103" s="314">
        <v>0.0026</v>
      </c>
      <c r="NR103" s="289"/>
      <c r="NS103" s="232">
        <v>1.0639</v>
      </c>
      <c r="NT103" s="290"/>
      <c r="NU103" s="231" t="str">
        <f t="shared" si="258"/>
        <v>2026//1//23</v>
      </c>
      <c r="NV103" s="232">
        <v>228676</v>
      </c>
      <c r="NW103" s="232">
        <f t="shared" si="394"/>
        <v>229326</v>
      </c>
      <c r="NX103" s="232">
        <v>-650</v>
      </c>
      <c r="NY103" s="314">
        <v>-0.0028</v>
      </c>
      <c r="NZ103" s="443"/>
      <c r="OA103" s="438"/>
      <c r="OB103" s="438"/>
      <c r="OC103" s="439" t="str">
        <f t="shared" si="259"/>
        <v>2026//1//23</v>
      </c>
      <c r="OD103" s="439">
        <v>12500</v>
      </c>
      <c r="OE103" s="439">
        <v>12662</v>
      </c>
      <c r="OF103" s="447">
        <v>-162</v>
      </c>
      <c r="OG103" s="448">
        <v>-0.0128</v>
      </c>
      <c r="OH103" s="224"/>
      <c r="OI103" s="224"/>
      <c r="OJ103" s="438"/>
      <c r="OK103" s="439" t="str">
        <f t="shared" si="260"/>
        <v>2026//1//23</v>
      </c>
      <c r="OL103" s="227">
        <v>10793.65</v>
      </c>
      <c r="OM103" s="9">
        <f t="shared" si="398"/>
        <v>10763.65</v>
      </c>
      <c r="ON103" s="441">
        <f t="shared" si="399"/>
        <v>30</v>
      </c>
      <c r="OO103" s="442">
        <f t="shared" si="400"/>
        <v>0.00278715863113349</v>
      </c>
      <c r="OP103" s="224"/>
      <c r="OQ103" s="224"/>
      <c r="OT103" s="234" t="str">
        <f t="shared" si="211"/>
        <v>2026//1//23</v>
      </c>
      <c r="OU103" s="206">
        <v>138792.4066</v>
      </c>
      <c r="OV103" s="8">
        <f t="shared" si="401"/>
        <v>138672.4066</v>
      </c>
      <c r="OW103" s="191">
        <f t="shared" si="402"/>
        <v>120</v>
      </c>
      <c r="OX103" s="192">
        <f t="shared" si="403"/>
        <v>0.000865348795352918</v>
      </c>
    </row>
    <row r="104" s="8" customFormat="1" ht="17" customHeight="1" spans="1:414">
      <c r="A104" s="15"/>
      <c r="B104" s="15"/>
      <c r="C104" s="385" t="s">
        <v>533</v>
      </c>
      <c r="D104" s="334">
        <v>6853458.77</v>
      </c>
      <c r="E104" s="395">
        <v>7197799</v>
      </c>
      <c r="F104" s="125">
        <f>D104-D105</f>
        <v>-344340.23</v>
      </c>
      <c r="G104" s="122">
        <f>F104/D105</f>
        <v>-0.0478396562615878</v>
      </c>
      <c r="H104" s="18"/>
      <c r="I104" s="453"/>
      <c r="J104" s="453"/>
      <c r="K104" s="386" t="str">
        <f t="shared" si="212"/>
        <v>2026//1//22</v>
      </c>
      <c r="L104" s="334">
        <v>5335534.4</v>
      </c>
      <c r="M104" s="395">
        <v>5669884</v>
      </c>
      <c r="N104" s="125">
        <f>L104-L105</f>
        <v>-334349.6</v>
      </c>
      <c r="O104" s="122">
        <f>N104/L105</f>
        <v>-0.058969389849951</v>
      </c>
      <c r="P104" s="18"/>
      <c r="Q104" s="453"/>
      <c r="R104" s="454"/>
      <c r="S104" s="386" t="str">
        <f t="shared" si="213"/>
        <v>2026//1//22</v>
      </c>
      <c r="T104" s="334">
        <v>4118466.68</v>
      </c>
      <c r="U104" s="395">
        <v>4286407</v>
      </c>
      <c r="V104" s="125">
        <f>T104-T105</f>
        <v>-167940.32</v>
      </c>
      <c r="W104" s="122">
        <f>V104/T105</f>
        <v>-0.0391797419143819</v>
      </c>
      <c r="X104" s="18"/>
      <c r="Y104" s="453"/>
      <c r="Z104" s="454"/>
      <c r="AA104" s="386" t="str">
        <f t="shared" si="214"/>
        <v>2026//1//22</v>
      </c>
      <c r="AB104" s="334">
        <v>1615856.86</v>
      </c>
      <c r="AC104" s="395">
        <v>1618817</v>
      </c>
      <c r="AD104" s="125">
        <f>AB104-AB105</f>
        <v>-2960.1399999999</v>
      </c>
      <c r="AE104" s="122">
        <f>AD104/AB105</f>
        <v>-0.00182858223010995</v>
      </c>
      <c r="AF104" s="18"/>
      <c r="AG104" s="453"/>
      <c r="AH104" s="454"/>
      <c r="AI104" s="386" t="str">
        <f t="shared" si="215"/>
        <v>2026//1//22</v>
      </c>
      <c r="AJ104" s="334">
        <v>1690921.76</v>
      </c>
      <c r="AK104" s="386">
        <v>1842322</v>
      </c>
      <c r="AL104" s="125">
        <f>AJ104-AJ105</f>
        <v>-151400.24</v>
      </c>
      <c r="AM104" s="122">
        <f>AL104/AJ105</f>
        <v>-0.0821790327640879</v>
      </c>
      <c r="AN104" s="18"/>
      <c r="AO104" s="18"/>
      <c r="AP104" s="454"/>
      <c r="AQ104" s="386" t="str">
        <f t="shared" si="216"/>
        <v>2026//1//22</v>
      </c>
      <c r="AR104" s="145">
        <v>2175845</v>
      </c>
      <c r="AS104" s="395">
        <v>2262545</v>
      </c>
      <c r="AT104" s="125">
        <f>AR104-AR105</f>
        <v>-86700</v>
      </c>
      <c r="AU104" s="122">
        <f>AT104/AR105</f>
        <v>-0.0383196798295724</v>
      </c>
      <c r="AV104" s="18"/>
      <c r="AW104" s="18"/>
      <c r="AX104" s="17"/>
      <c r="AY104" s="205">
        <v>4.9309</v>
      </c>
      <c r="AZ104" s="204" t="str">
        <f t="shared" si="217"/>
        <v>2026//1//22</v>
      </c>
      <c r="BA104" s="205">
        <v>3141742</v>
      </c>
      <c r="BB104" s="205">
        <f t="shared" si="279"/>
        <v>3269452</v>
      </c>
      <c r="BC104" s="205">
        <v>-127710</v>
      </c>
      <c r="BD104" s="292">
        <v>-0.0391</v>
      </c>
      <c r="BE104" s="18"/>
      <c r="BF104" s="18"/>
      <c r="BG104" s="74"/>
      <c r="BH104" s="387" t="str">
        <f t="shared" si="218"/>
        <v>2026//1//22</v>
      </c>
      <c r="BI104" s="387">
        <v>936527</v>
      </c>
      <c r="BJ104" s="387">
        <v>887527</v>
      </c>
      <c r="BK104" s="354">
        <v>49000</v>
      </c>
      <c r="BL104" s="355">
        <v>0.0552</v>
      </c>
      <c r="BM104" s="197"/>
      <c r="BN104" s="192"/>
      <c r="BO104" s="389"/>
      <c r="BP104" s="390" t="str">
        <f t="shared" si="219"/>
        <v>2026//1//22</v>
      </c>
      <c r="BQ104" s="392">
        <v>1514162</v>
      </c>
      <c r="BR104" s="390">
        <v>1508262</v>
      </c>
      <c r="BS104" s="348">
        <v>5900</v>
      </c>
      <c r="BT104" s="349">
        <v>0.0039</v>
      </c>
      <c r="BU104" s="192"/>
      <c r="BV104" s="192"/>
      <c r="BW104" s="389"/>
      <c r="BX104" s="390" t="str">
        <f t="shared" si="220"/>
        <v>2026//1//22</v>
      </c>
      <c r="BY104" s="390">
        <v>3101661</v>
      </c>
      <c r="BZ104" s="390">
        <v>2952511</v>
      </c>
      <c r="CA104" s="416">
        <v>149150</v>
      </c>
      <c r="CB104" s="417">
        <v>0.0505</v>
      </c>
      <c r="CC104" s="192"/>
      <c r="CD104" s="409"/>
      <c r="CE104" s="389"/>
      <c r="CF104" s="390" t="str">
        <f t="shared" si="221"/>
        <v>2026//1//22</v>
      </c>
      <c r="CG104" s="390">
        <v>1634054</v>
      </c>
      <c r="CH104" s="12">
        <f t="shared" si="289"/>
        <v>1593004</v>
      </c>
      <c r="CI104" s="12">
        <f t="shared" si="290"/>
        <v>41050</v>
      </c>
      <c r="CJ104" s="199">
        <f t="shared" si="291"/>
        <v>0.0257689246229137</v>
      </c>
      <c r="CK104" s="192"/>
      <c r="CL104" s="391"/>
      <c r="CM104" s="389"/>
      <c r="CN104" s="390" t="str">
        <f t="shared" si="222"/>
        <v>2026//1//22</v>
      </c>
      <c r="CO104" s="390">
        <v>722446</v>
      </c>
      <c r="CP104" s="390">
        <v>689046</v>
      </c>
      <c r="CQ104" s="12">
        <f t="shared" si="293"/>
        <v>33400</v>
      </c>
      <c r="CR104" s="199">
        <f t="shared" si="294"/>
        <v>0.0484728160384067</v>
      </c>
      <c r="CS104" s="391"/>
      <c r="CT104" s="391"/>
      <c r="CU104" s="389"/>
      <c r="CV104" s="390" t="str">
        <f t="shared" si="223"/>
        <v>2026//1//22</v>
      </c>
      <c r="CW104" s="390">
        <v>666890</v>
      </c>
      <c r="CX104" s="390">
        <v>650740</v>
      </c>
      <c r="CY104" s="416">
        <v>16150</v>
      </c>
      <c r="CZ104" s="417">
        <v>0.0248</v>
      </c>
      <c r="DA104" s="192"/>
      <c r="DB104" s="192"/>
      <c r="DC104" s="277"/>
      <c r="DD104" s="390" t="str">
        <f t="shared" si="224"/>
        <v>2026//1//22</v>
      </c>
      <c r="DE104" s="390">
        <v>1982918</v>
      </c>
      <c r="DF104" s="12">
        <f t="shared" si="298"/>
        <v>1939518</v>
      </c>
      <c r="DG104" s="348">
        <v>21700</v>
      </c>
      <c r="DH104" s="349">
        <v>0.0224</v>
      </c>
      <c r="DI104" s="192"/>
      <c r="DJ104" s="192"/>
      <c r="DK104" s="389"/>
      <c r="DL104" s="390" t="str">
        <f t="shared" si="225"/>
        <v>2026//1//22</v>
      </c>
      <c r="DM104" s="390">
        <v>1266500</v>
      </c>
      <c r="DN104" s="390">
        <v>1242100</v>
      </c>
      <c r="DO104" s="348">
        <v>24400</v>
      </c>
      <c r="DP104" s="349">
        <v>0.0196</v>
      </c>
      <c r="DQ104" s="192"/>
      <c r="DR104" s="192"/>
      <c r="DS104" s="389"/>
      <c r="DT104" s="390" t="str">
        <f t="shared" si="226"/>
        <v>2026//1//22</v>
      </c>
      <c r="DU104" s="390">
        <v>1716689</v>
      </c>
      <c r="DV104" s="390">
        <v>1683389</v>
      </c>
      <c r="DW104" s="348">
        <v>33300</v>
      </c>
      <c r="DX104" s="349">
        <v>0.0198</v>
      </c>
      <c r="DY104" s="192"/>
      <c r="DZ104" s="192"/>
      <c r="EA104" s="389"/>
      <c r="EB104" s="390" t="str">
        <f t="shared" si="227"/>
        <v>2026//1//22</v>
      </c>
      <c r="EC104" s="390">
        <v>5052867</v>
      </c>
      <c r="ED104" s="390">
        <v>5061867</v>
      </c>
      <c r="EE104" s="412">
        <v>-9000</v>
      </c>
      <c r="EF104" s="413">
        <v>-0.0018</v>
      </c>
      <c r="EG104" s="192"/>
      <c r="EH104" s="192"/>
      <c r="EI104" s="389"/>
      <c r="EJ104" s="390" t="str">
        <f t="shared" si="228"/>
        <v>2026//1//22</v>
      </c>
      <c r="EK104" s="390">
        <v>1556323</v>
      </c>
      <c r="EL104" s="390">
        <v>1562523</v>
      </c>
      <c r="EM104" s="455">
        <v>-6200</v>
      </c>
      <c r="EN104" s="456">
        <v>-0.004</v>
      </c>
      <c r="EO104" s="192"/>
      <c r="EP104" s="192"/>
      <c r="EQ104" s="340"/>
      <c r="ER104" s="341" t="str">
        <f t="shared" si="229"/>
        <v>2026//1//22</v>
      </c>
      <c r="ES104" s="341">
        <v>511847</v>
      </c>
      <c r="ET104" s="341">
        <v>516497</v>
      </c>
      <c r="EU104" s="341">
        <v>-4650</v>
      </c>
      <c r="EV104" s="350">
        <v>-0.009</v>
      </c>
      <c r="EW104" s="192"/>
      <c r="EX104" s="192"/>
      <c r="EY104" s="389"/>
      <c r="EZ104" s="390" t="str">
        <f t="shared" si="230"/>
        <v>2026//1//22</v>
      </c>
      <c r="FA104" s="390">
        <v>690108</v>
      </c>
      <c r="FB104" s="390">
        <v>693208</v>
      </c>
      <c r="FC104" s="423">
        <v>-3100</v>
      </c>
      <c r="FD104" s="424">
        <v>-0.0045</v>
      </c>
      <c r="FE104" s="192"/>
      <c r="FF104" s="192"/>
      <c r="FH104" s="390" t="str">
        <f t="shared" si="231"/>
        <v>2026//1//22</v>
      </c>
      <c r="FI104" s="392">
        <v>761795</v>
      </c>
      <c r="FJ104" s="390">
        <v>803295</v>
      </c>
      <c r="FK104" s="346">
        <v>-41500</v>
      </c>
      <c r="FL104" s="347">
        <v>-0.0517</v>
      </c>
      <c r="FM104" s="391"/>
      <c r="FN104" s="391"/>
      <c r="FO104" s="389"/>
      <c r="FP104" s="390" t="str">
        <f t="shared" si="232"/>
        <v>2026//1//22</v>
      </c>
      <c r="FQ104" s="390">
        <v>2368919</v>
      </c>
      <c r="FR104" s="390">
        <v>2343419</v>
      </c>
      <c r="FS104" s="457">
        <v>25500</v>
      </c>
      <c r="FT104" s="458">
        <v>0.0109</v>
      </c>
      <c r="FU104" s="192"/>
      <c r="FV104" s="192"/>
      <c r="FW104" s="389"/>
      <c r="FX104" s="390" t="str">
        <f t="shared" si="233"/>
        <v>2026//1//22</v>
      </c>
      <c r="FY104" s="390">
        <v>7190882</v>
      </c>
      <c r="FZ104" s="390">
        <v>7140082</v>
      </c>
      <c r="GA104" s="416">
        <v>50800</v>
      </c>
      <c r="GB104" s="417">
        <v>0.0071</v>
      </c>
      <c r="GC104" s="192"/>
      <c r="GD104" s="192"/>
      <c r="GE104" s="389"/>
      <c r="GF104" s="390" t="str">
        <f t="shared" si="234"/>
        <v>2026//1//22</v>
      </c>
      <c r="GG104" s="390">
        <v>4398769</v>
      </c>
      <c r="GH104" s="390">
        <v>4346769</v>
      </c>
      <c r="GI104" s="416">
        <v>52000</v>
      </c>
      <c r="GJ104" s="417">
        <v>0.012</v>
      </c>
      <c r="GK104" s="192"/>
      <c r="GL104" s="192"/>
      <c r="GM104" s="389"/>
      <c r="GN104" s="390" t="str">
        <f t="shared" si="235"/>
        <v>2026//1//22</v>
      </c>
      <c r="GO104" s="390">
        <v>1742878</v>
      </c>
      <c r="GP104" s="390">
        <v>1714858</v>
      </c>
      <c r="GQ104" s="416">
        <v>28020</v>
      </c>
      <c r="GR104" s="417">
        <v>0.0163</v>
      </c>
      <c r="GS104" s="192"/>
      <c r="GT104" s="192"/>
      <c r="GU104" s="389"/>
      <c r="GV104" s="390" t="str">
        <f t="shared" si="236"/>
        <v>2026//1//22</v>
      </c>
      <c r="GW104" s="390">
        <v>958349</v>
      </c>
      <c r="GX104" s="390">
        <v>960949</v>
      </c>
      <c r="GY104" s="455">
        <v>-2600</v>
      </c>
      <c r="GZ104" s="456">
        <v>-0.0027</v>
      </c>
      <c r="HA104" s="192"/>
      <c r="HB104" s="192"/>
      <c r="HC104" s="389"/>
      <c r="HD104" s="390" t="str">
        <f t="shared" si="237"/>
        <v>2026//1//22</v>
      </c>
      <c r="HE104" s="390">
        <v>1287865</v>
      </c>
      <c r="HF104" s="390">
        <v>1276065</v>
      </c>
      <c r="HG104" s="416">
        <v>11800</v>
      </c>
      <c r="HH104" s="417">
        <v>0.0092</v>
      </c>
      <c r="HI104" s="391"/>
      <c r="HJ104" s="192"/>
      <c r="HK104" s="389"/>
      <c r="HL104" s="390" t="str">
        <f t="shared" si="238"/>
        <v>2026//1//22</v>
      </c>
      <c r="HM104" s="390">
        <v>140954</v>
      </c>
      <c r="HN104" s="390">
        <v>140804</v>
      </c>
      <c r="HO104" s="348">
        <v>150</v>
      </c>
      <c r="HP104" s="349">
        <v>0.0011</v>
      </c>
      <c r="HQ104" s="192"/>
      <c r="HR104" s="192"/>
      <c r="HS104" s="389"/>
      <c r="HT104" s="390" t="str">
        <f t="shared" si="239"/>
        <v>2026//1//22</v>
      </c>
      <c r="HU104" s="390">
        <v>147269</v>
      </c>
      <c r="HV104" s="390">
        <v>111769</v>
      </c>
      <c r="HW104" s="416">
        <v>35500</v>
      </c>
      <c r="HX104" s="417">
        <v>0.3176</v>
      </c>
      <c r="HY104" s="192"/>
      <c r="HZ104" s="192"/>
      <c r="IA104" s="389"/>
      <c r="IB104" s="390" t="str">
        <f t="shared" si="240"/>
        <v>2026//1//22</v>
      </c>
      <c r="IC104" s="200">
        <v>331859.79</v>
      </c>
      <c r="ID104" s="200">
        <v>327434.79</v>
      </c>
      <c r="IE104" s="348">
        <f t="shared" si="347"/>
        <v>4425</v>
      </c>
      <c r="IF104" s="349">
        <f t="shared" si="348"/>
        <v>0.0135141412432075</v>
      </c>
      <c r="IG104" s="391"/>
      <c r="IH104" s="192"/>
      <c r="II104" s="389"/>
      <c r="IJ104" s="390" t="str">
        <f t="shared" si="241"/>
        <v>2026//1//22</v>
      </c>
      <c r="IK104" s="390">
        <v>415356</v>
      </c>
      <c r="IL104" s="390">
        <v>413276</v>
      </c>
      <c r="IM104" s="416">
        <v>2080</v>
      </c>
      <c r="IN104" s="417">
        <v>0.005</v>
      </c>
      <c r="IO104" s="192"/>
      <c r="IP104" s="192"/>
      <c r="IQ104" s="389"/>
      <c r="IR104" s="390" t="str">
        <f t="shared" si="242"/>
        <v>2026//1//22</v>
      </c>
      <c r="IS104" s="390">
        <v>147289</v>
      </c>
      <c r="IT104" s="390">
        <v>148289</v>
      </c>
      <c r="IU104" s="414">
        <v>-1000</v>
      </c>
      <c r="IV104" s="415">
        <v>-0.0067</v>
      </c>
      <c r="IW104" s="192"/>
      <c r="IX104" s="192"/>
      <c r="IY104" s="389"/>
      <c r="IZ104" s="390" t="str">
        <f t="shared" si="243"/>
        <v>2026//1//22</v>
      </c>
      <c r="JA104" s="390">
        <v>4715429</v>
      </c>
      <c r="JB104" s="390">
        <v>4737929</v>
      </c>
      <c r="JC104" s="455">
        <v>-22500</v>
      </c>
      <c r="JD104" s="456">
        <v>-0.0047</v>
      </c>
      <c r="JE104" s="192"/>
      <c r="JF104" s="192"/>
      <c r="JG104" s="389"/>
      <c r="JH104" s="390" t="str">
        <f t="shared" si="244"/>
        <v>2026//1//22</v>
      </c>
      <c r="JI104" s="390">
        <v>1465348</v>
      </c>
      <c r="JJ104" s="390">
        <v>1455208</v>
      </c>
      <c r="JK104" s="416">
        <v>10140</v>
      </c>
      <c r="JL104" s="417">
        <v>0.007</v>
      </c>
      <c r="JM104" s="192"/>
      <c r="JN104" s="192"/>
      <c r="JP104" s="390" t="str">
        <f t="shared" si="245"/>
        <v>2026//1//22</v>
      </c>
      <c r="JQ104" s="390">
        <v>1199490</v>
      </c>
      <c r="JR104" s="390">
        <v>1188990</v>
      </c>
      <c r="JS104" s="416">
        <v>10500</v>
      </c>
      <c r="JT104" s="417">
        <v>0.0088</v>
      </c>
      <c r="JU104" s="192"/>
      <c r="JV104" s="409"/>
      <c r="JX104" s="390" t="str">
        <f t="shared" si="246"/>
        <v>2026//1//22</v>
      </c>
      <c r="JY104" s="390">
        <v>1369799</v>
      </c>
      <c r="JZ104" s="390">
        <v>1373449</v>
      </c>
      <c r="KA104" s="412">
        <v>-3650</v>
      </c>
      <c r="KB104" s="413">
        <v>-0.0027</v>
      </c>
      <c r="KC104" s="192"/>
      <c r="KD104" s="409"/>
      <c r="KF104" s="390" t="str">
        <f t="shared" si="247"/>
        <v>2026//1//22</v>
      </c>
      <c r="KG104" s="390">
        <v>841756</v>
      </c>
      <c r="KH104" s="390">
        <v>849356</v>
      </c>
      <c r="KI104" s="414">
        <v>-7600</v>
      </c>
      <c r="KJ104" s="415">
        <v>-0.0089</v>
      </c>
      <c r="KK104" s="192"/>
      <c r="KL104" s="192"/>
      <c r="KM104" s="389"/>
      <c r="KN104" s="390" t="str">
        <f t="shared" si="248"/>
        <v>2026//1//22</v>
      </c>
      <c r="KO104" s="390">
        <v>6975176</v>
      </c>
      <c r="KP104" s="390">
        <v>6974376</v>
      </c>
      <c r="KQ104" s="416">
        <v>800</v>
      </c>
      <c r="KR104" s="417">
        <v>0.0001</v>
      </c>
      <c r="KS104" s="192"/>
      <c r="KT104" s="192"/>
      <c r="KU104" s="389"/>
      <c r="KV104" s="390" t="str">
        <f t="shared" si="249"/>
        <v>2026//1//22</v>
      </c>
      <c r="KW104" s="390">
        <v>1034773</v>
      </c>
      <c r="KX104" s="390">
        <v>1035573</v>
      </c>
      <c r="KY104" s="346">
        <v>-800</v>
      </c>
      <c r="KZ104" s="347">
        <v>-0.0008</v>
      </c>
      <c r="LA104" s="391"/>
      <c r="LB104" s="192"/>
      <c r="LC104" s="389"/>
      <c r="LD104" s="390" t="str">
        <f t="shared" si="250"/>
        <v>2026//1//22</v>
      </c>
      <c r="LE104" s="390">
        <v>452908</v>
      </c>
      <c r="LF104" s="390">
        <v>455308</v>
      </c>
      <c r="LG104" s="414">
        <v>-2400</v>
      </c>
      <c r="LH104" s="415">
        <v>-0.0053</v>
      </c>
      <c r="LI104" s="192"/>
      <c r="LJ104" s="192"/>
      <c r="LK104" s="389"/>
      <c r="LL104" s="390" t="str">
        <f t="shared" si="251"/>
        <v>2026//1//22</v>
      </c>
      <c r="LM104" s="392">
        <v>3448015</v>
      </c>
      <c r="LN104" s="390">
        <v>3430555</v>
      </c>
      <c r="LO104" s="416">
        <v>17460</v>
      </c>
      <c r="LP104" s="417">
        <v>0.0051</v>
      </c>
      <c r="LQ104" s="192"/>
      <c r="LR104" s="192"/>
      <c r="LS104" s="389"/>
      <c r="LT104" s="390" t="str">
        <f t="shared" si="252"/>
        <v>2026//1//22</v>
      </c>
      <c r="LU104" s="390">
        <v>2967063</v>
      </c>
      <c r="LV104" s="390">
        <v>2984063</v>
      </c>
      <c r="LW104" s="414">
        <v>-17000</v>
      </c>
      <c r="LX104" s="415">
        <v>-0.0057</v>
      </c>
      <c r="LY104" s="192"/>
      <c r="LZ104" s="192"/>
      <c r="MA104" s="389"/>
      <c r="MB104" s="390" t="str">
        <f t="shared" si="253"/>
        <v>2026//1//22</v>
      </c>
      <c r="MC104" s="390">
        <v>756618</v>
      </c>
      <c r="MD104" s="390">
        <v>765868</v>
      </c>
      <c r="ME104" s="414">
        <v>-9250</v>
      </c>
      <c r="MF104" s="415">
        <v>-0.0121</v>
      </c>
      <c r="MG104" s="192"/>
      <c r="MH104" s="192"/>
      <c r="MI104" s="342"/>
      <c r="MJ104" s="341">
        <v>1.1289</v>
      </c>
      <c r="MK104" s="341" t="str">
        <f t="shared" si="254"/>
        <v>2026//1//22</v>
      </c>
      <c r="ML104" s="341">
        <v>284986</v>
      </c>
      <c r="MM104" s="12">
        <f t="shared" si="388"/>
        <v>287266</v>
      </c>
      <c r="MN104" s="341">
        <v>-2280</v>
      </c>
      <c r="MO104" s="350">
        <v>-0.0079</v>
      </c>
      <c r="MP104" s="192"/>
      <c r="MQ104" s="394"/>
      <c r="MR104" s="394"/>
      <c r="MS104" s="204">
        <v>1.374</v>
      </c>
      <c r="MT104" s="295" t="str">
        <f t="shared" si="255"/>
        <v>2026//1//22</v>
      </c>
      <c r="MU104" s="204">
        <v>44815</v>
      </c>
      <c r="MV104" s="204">
        <f t="shared" si="391"/>
        <v>41115</v>
      </c>
      <c r="MW104" s="204">
        <v>3700</v>
      </c>
      <c r="MX104" s="296">
        <v>0.09</v>
      </c>
      <c r="MY104" s="192"/>
      <c r="MZ104" s="192"/>
      <c r="NA104" s="192"/>
      <c r="NB104" s="204">
        <v>1.428</v>
      </c>
      <c r="NC104" s="204" t="str">
        <f t="shared" si="256"/>
        <v>2026//1//22</v>
      </c>
      <c r="ND104" s="204">
        <v>31291</v>
      </c>
      <c r="NE104" s="204">
        <f t="shared" si="392"/>
        <v>29491</v>
      </c>
      <c r="NF104" s="204">
        <v>1800</v>
      </c>
      <c r="NG104" s="296">
        <v>0.061</v>
      </c>
      <c r="NH104" s="192"/>
      <c r="NI104" s="192"/>
      <c r="NJ104" s="192"/>
      <c r="NK104" s="192"/>
      <c r="NL104" s="205">
        <v>1.1517</v>
      </c>
      <c r="NM104" s="204" t="str">
        <f t="shared" si="257"/>
        <v>2026//1//22</v>
      </c>
      <c r="NN104" s="205">
        <v>2419611</v>
      </c>
      <c r="NO104" s="8">
        <f t="shared" si="393"/>
        <v>2416511</v>
      </c>
      <c r="NP104" s="205">
        <v>3100</v>
      </c>
      <c r="NQ104" s="292">
        <v>0.0013</v>
      </c>
      <c r="NR104" s="293"/>
      <c r="NS104" s="205">
        <v>1.0597</v>
      </c>
      <c r="NT104" s="294"/>
      <c r="NU104" s="204" t="str">
        <f t="shared" si="258"/>
        <v>2026//1//22</v>
      </c>
      <c r="NV104" s="205">
        <v>229326</v>
      </c>
      <c r="NW104" s="205">
        <f t="shared" si="394"/>
        <v>229826</v>
      </c>
      <c r="NX104" s="205">
        <v>-500</v>
      </c>
      <c r="NY104" s="292">
        <v>-0.0022</v>
      </c>
      <c r="NZ104" s="391"/>
      <c r="OA104" s="389"/>
      <c r="OB104" s="389"/>
      <c r="OC104" s="390" t="str">
        <f t="shared" si="259"/>
        <v>2026//1//22</v>
      </c>
      <c r="OD104" s="390">
        <v>12662</v>
      </c>
      <c r="OE104" s="390">
        <v>12870</v>
      </c>
      <c r="OF104" s="414">
        <v>-208</v>
      </c>
      <c r="OG104" s="415">
        <v>-0.0162</v>
      </c>
      <c r="OH104" s="192"/>
      <c r="OI104" s="192"/>
      <c r="OJ104" s="389"/>
      <c r="OK104" s="390" t="str">
        <f t="shared" si="260"/>
        <v>2026//1//22</v>
      </c>
      <c r="OL104" s="200">
        <v>10763.65</v>
      </c>
      <c r="OM104" s="8">
        <f t="shared" si="398"/>
        <v>10763.65</v>
      </c>
      <c r="ON104" s="8">
        <f t="shared" si="399"/>
        <v>0</v>
      </c>
      <c r="OO104" s="192">
        <f t="shared" si="400"/>
        <v>0</v>
      </c>
      <c r="OP104" s="192"/>
      <c r="OQ104" s="192"/>
      <c r="OT104" s="234" t="str">
        <f t="shared" si="211"/>
        <v>2026//1//22</v>
      </c>
      <c r="OU104" s="206">
        <v>138672.4066</v>
      </c>
      <c r="OV104" s="8">
        <f t="shared" si="401"/>
        <v>138552.4066</v>
      </c>
      <c r="OW104" s="191">
        <f t="shared" si="402"/>
        <v>120</v>
      </c>
      <c r="OX104" s="192">
        <f t="shared" si="403"/>
        <v>0.000866098272449639</v>
      </c>
    </row>
    <row r="105" s="8" customFormat="1" ht="17" customHeight="1" spans="1:414">
      <c r="A105" s="15"/>
      <c r="B105" s="15"/>
      <c r="C105" s="385" t="s">
        <v>534</v>
      </c>
      <c r="D105" s="395">
        <v>7197799</v>
      </c>
      <c r="E105" s="395">
        <v>7553389</v>
      </c>
      <c r="F105" s="403">
        <v>-355590</v>
      </c>
      <c r="G105" s="404">
        <v>-0.0471</v>
      </c>
      <c r="H105" s="18"/>
      <c r="I105" s="453"/>
      <c r="J105" s="453"/>
      <c r="K105" s="386" t="str">
        <f t="shared" si="212"/>
        <v>2026//1//21</v>
      </c>
      <c r="L105" s="395">
        <v>5669884</v>
      </c>
      <c r="M105" s="395">
        <v>5971834</v>
      </c>
      <c r="N105" s="403">
        <v>-301950</v>
      </c>
      <c r="O105" s="404">
        <v>-0.0506</v>
      </c>
      <c r="P105" s="18"/>
      <c r="Q105" s="453"/>
      <c r="R105" s="454"/>
      <c r="S105" s="386" t="str">
        <f t="shared" si="213"/>
        <v>2026//1//21</v>
      </c>
      <c r="T105" s="395">
        <v>4286407</v>
      </c>
      <c r="U105" s="395">
        <v>4710847</v>
      </c>
      <c r="V105" s="403">
        <v>-424440</v>
      </c>
      <c r="W105" s="404">
        <v>-0.0901</v>
      </c>
      <c r="X105" s="18"/>
      <c r="Y105" s="453"/>
      <c r="Z105" s="454"/>
      <c r="AA105" s="386" t="str">
        <f t="shared" si="214"/>
        <v>2026//1//21</v>
      </c>
      <c r="AB105" s="395">
        <v>1618817</v>
      </c>
      <c r="AC105" s="395">
        <v>1614297</v>
      </c>
      <c r="AD105" s="459">
        <v>4520</v>
      </c>
      <c r="AE105" s="460">
        <v>0.0028</v>
      </c>
      <c r="AF105" s="18"/>
      <c r="AG105" s="453"/>
      <c r="AH105" s="454"/>
      <c r="AI105" s="386" t="str">
        <f t="shared" si="215"/>
        <v>2026//1//21</v>
      </c>
      <c r="AJ105" s="395">
        <v>1842322</v>
      </c>
      <c r="AK105" s="386">
        <v>2262722</v>
      </c>
      <c r="AL105" s="403">
        <v>-420400</v>
      </c>
      <c r="AM105" s="404">
        <v>-0.1858</v>
      </c>
      <c r="AN105" s="18"/>
      <c r="AO105" s="18"/>
      <c r="AP105" s="454"/>
      <c r="AQ105" s="386" t="str">
        <f t="shared" si="216"/>
        <v>2026//1//21</v>
      </c>
      <c r="AR105" s="418">
        <v>2262545</v>
      </c>
      <c r="AS105" s="395">
        <v>2274745</v>
      </c>
      <c r="AT105" s="403">
        <v>-12200</v>
      </c>
      <c r="AU105" s="404">
        <v>-0.0054</v>
      </c>
      <c r="AV105" s="18"/>
      <c r="AW105" s="18"/>
      <c r="AX105" s="17"/>
      <c r="AY105" s="205">
        <v>4.9303</v>
      </c>
      <c r="AZ105" s="204" t="str">
        <f t="shared" si="217"/>
        <v>2026//1//21</v>
      </c>
      <c r="BA105" s="205">
        <v>3269452</v>
      </c>
      <c r="BB105" s="205">
        <f t="shared" si="279"/>
        <v>3538192</v>
      </c>
      <c r="BC105" s="205">
        <v>-268740</v>
      </c>
      <c r="BD105" s="292">
        <v>-0.076</v>
      </c>
      <c r="BE105" s="18"/>
      <c r="BF105" s="18"/>
      <c r="BG105" s="74"/>
      <c r="BH105" s="387" t="str">
        <f t="shared" si="218"/>
        <v>2026//1//21</v>
      </c>
      <c r="BI105" s="387">
        <v>887527</v>
      </c>
      <c r="BJ105" s="387">
        <v>806927</v>
      </c>
      <c r="BK105" s="421">
        <v>80600</v>
      </c>
      <c r="BL105" s="422">
        <v>0.0999</v>
      </c>
      <c r="BM105" s="197"/>
      <c r="BN105" s="192"/>
      <c r="BO105" s="389"/>
      <c r="BP105" s="390" t="str">
        <f t="shared" si="219"/>
        <v>2026//1//21</v>
      </c>
      <c r="BQ105" s="392">
        <v>1508262</v>
      </c>
      <c r="BR105" s="390">
        <v>1508162</v>
      </c>
      <c r="BS105" s="416">
        <v>100</v>
      </c>
      <c r="BT105" s="417">
        <v>0.0001</v>
      </c>
      <c r="BU105" s="192"/>
      <c r="BV105" s="192"/>
      <c r="BW105" s="389"/>
      <c r="BX105" s="390" t="str">
        <f t="shared" si="220"/>
        <v>2026//1//21</v>
      </c>
      <c r="BY105" s="390">
        <v>2952511</v>
      </c>
      <c r="BZ105" s="390">
        <v>2861011</v>
      </c>
      <c r="CA105" s="416">
        <v>91500</v>
      </c>
      <c r="CB105" s="417">
        <v>0.032</v>
      </c>
      <c r="CC105" s="192"/>
      <c r="CD105" s="409"/>
      <c r="CE105" s="389"/>
      <c r="CF105" s="390" t="str">
        <f t="shared" si="221"/>
        <v>2026//1//21</v>
      </c>
      <c r="CG105" s="390">
        <v>1593004</v>
      </c>
      <c r="CH105" s="12">
        <f t="shared" si="289"/>
        <v>1581254</v>
      </c>
      <c r="CI105" s="12">
        <f t="shared" si="290"/>
        <v>11750</v>
      </c>
      <c r="CJ105" s="199">
        <f t="shared" si="291"/>
        <v>0.00743081124221662</v>
      </c>
      <c r="CK105" s="192"/>
      <c r="CL105" s="391"/>
      <c r="CM105" s="389"/>
      <c r="CN105" s="390" t="str">
        <f t="shared" si="222"/>
        <v>2026//1//21</v>
      </c>
      <c r="CO105" s="390">
        <v>689046</v>
      </c>
      <c r="CP105" s="390">
        <v>679846</v>
      </c>
      <c r="CQ105" s="12">
        <f t="shared" si="293"/>
        <v>9200</v>
      </c>
      <c r="CR105" s="199">
        <f t="shared" si="294"/>
        <v>0.0135324764726129</v>
      </c>
      <c r="CS105" s="391"/>
      <c r="CT105" s="391"/>
      <c r="CU105" s="389"/>
      <c r="CV105" s="390" t="str">
        <f t="shared" si="223"/>
        <v>2026//1//21</v>
      </c>
      <c r="CW105" s="390">
        <v>650740</v>
      </c>
      <c r="CX105" s="390">
        <v>628090</v>
      </c>
      <c r="CY105" s="416">
        <v>22650</v>
      </c>
      <c r="CZ105" s="417">
        <v>0.0361</v>
      </c>
      <c r="DA105" s="192"/>
      <c r="DB105" s="192"/>
      <c r="DC105" s="277"/>
      <c r="DD105" s="390" t="str">
        <f t="shared" si="224"/>
        <v>2026//1//21</v>
      </c>
      <c r="DE105" s="390">
        <v>1939518</v>
      </c>
      <c r="DF105" s="12">
        <f t="shared" si="298"/>
        <v>1925918</v>
      </c>
      <c r="DG105" s="416">
        <v>6800</v>
      </c>
      <c r="DH105" s="417">
        <v>0.0071</v>
      </c>
      <c r="DI105" s="192"/>
      <c r="DJ105" s="192"/>
      <c r="DK105" s="389"/>
      <c r="DL105" s="390" t="str">
        <f t="shared" si="225"/>
        <v>2026//1//21</v>
      </c>
      <c r="DM105" s="390">
        <v>1242100</v>
      </c>
      <c r="DN105" s="390">
        <v>1284100</v>
      </c>
      <c r="DO105" s="414">
        <v>-42000</v>
      </c>
      <c r="DP105" s="415">
        <v>-0.0327</v>
      </c>
      <c r="DQ105" s="192"/>
      <c r="DR105" s="192"/>
      <c r="DS105" s="389"/>
      <c r="DT105" s="390" t="str">
        <f t="shared" si="226"/>
        <v>2026//1//21</v>
      </c>
      <c r="DU105" s="390">
        <v>1683389</v>
      </c>
      <c r="DV105" s="390">
        <v>1696889</v>
      </c>
      <c r="DW105" s="414">
        <v>-13500</v>
      </c>
      <c r="DX105" s="415">
        <v>-0.008</v>
      </c>
      <c r="DY105" s="192"/>
      <c r="DZ105" s="192"/>
      <c r="EA105" s="389"/>
      <c r="EB105" s="390" t="str">
        <f t="shared" si="227"/>
        <v>2026//1//21</v>
      </c>
      <c r="EC105" s="390">
        <v>5061867</v>
      </c>
      <c r="ED105" s="390">
        <v>5221167</v>
      </c>
      <c r="EE105" s="414">
        <v>-159300</v>
      </c>
      <c r="EF105" s="415">
        <v>-0.0305</v>
      </c>
      <c r="EG105" s="192"/>
      <c r="EH105" s="192"/>
      <c r="EI105" s="389"/>
      <c r="EJ105" s="390" t="str">
        <f t="shared" si="228"/>
        <v>2026//1//21</v>
      </c>
      <c r="EK105" s="390">
        <v>1562523</v>
      </c>
      <c r="EL105" s="390">
        <v>1566923</v>
      </c>
      <c r="EM105" s="423">
        <v>-4400</v>
      </c>
      <c r="EN105" s="424">
        <v>-0.0028</v>
      </c>
      <c r="EO105" s="192"/>
      <c r="EP105" s="192"/>
      <c r="EQ105" s="340"/>
      <c r="ER105" s="341" t="str">
        <f t="shared" si="229"/>
        <v>2026//1//21</v>
      </c>
      <c r="ES105" s="341">
        <v>516497</v>
      </c>
      <c r="ET105" s="341">
        <v>520097</v>
      </c>
      <c r="EU105" s="341">
        <v>-3600</v>
      </c>
      <c r="EV105" s="350">
        <v>-0.0069</v>
      </c>
      <c r="EW105" s="192"/>
      <c r="EX105" s="192"/>
      <c r="EY105" s="389"/>
      <c r="EZ105" s="390" t="str">
        <f t="shared" si="230"/>
        <v>2026//1//21</v>
      </c>
      <c r="FA105" s="390">
        <v>693208</v>
      </c>
      <c r="FB105" s="390">
        <v>696608</v>
      </c>
      <c r="FC105" s="414">
        <v>-3400</v>
      </c>
      <c r="FD105" s="415">
        <v>-0.0049</v>
      </c>
      <c r="FE105" s="192"/>
      <c r="FF105" s="192"/>
      <c r="FH105" s="390" t="str">
        <f t="shared" si="231"/>
        <v>2026//1//21</v>
      </c>
      <c r="FI105" s="392">
        <v>803295</v>
      </c>
      <c r="FJ105" s="390">
        <v>832495</v>
      </c>
      <c r="FK105" s="346">
        <v>-29200</v>
      </c>
      <c r="FL105" s="347">
        <v>-0.0351</v>
      </c>
      <c r="FM105" s="391"/>
      <c r="FN105" s="391"/>
      <c r="FO105" s="389"/>
      <c r="FP105" s="390" t="str">
        <f t="shared" si="232"/>
        <v>2026//1//21</v>
      </c>
      <c r="FQ105" s="390">
        <v>2343419</v>
      </c>
      <c r="FR105" s="390">
        <v>2380769</v>
      </c>
      <c r="FS105" s="414">
        <v>-37350</v>
      </c>
      <c r="FT105" s="415">
        <v>-0.0157</v>
      </c>
      <c r="FU105" s="192"/>
      <c r="FV105" s="192"/>
      <c r="FW105" s="389"/>
      <c r="FX105" s="390" t="str">
        <f t="shared" si="233"/>
        <v>2026//1//21</v>
      </c>
      <c r="FY105" s="390">
        <v>7140082</v>
      </c>
      <c r="FZ105" s="390">
        <v>7098182</v>
      </c>
      <c r="GA105" s="416">
        <v>41900</v>
      </c>
      <c r="GB105" s="417">
        <v>0.0059</v>
      </c>
      <c r="GC105" s="192"/>
      <c r="GD105" s="192"/>
      <c r="GE105" s="389"/>
      <c r="GF105" s="390" t="str">
        <f t="shared" si="234"/>
        <v>2026//1//21</v>
      </c>
      <c r="GG105" s="390">
        <v>4346769</v>
      </c>
      <c r="GH105" s="390">
        <v>4305469</v>
      </c>
      <c r="GI105" s="416">
        <v>41300</v>
      </c>
      <c r="GJ105" s="417">
        <v>0.0096</v>
      </c>
      <c r="GK105" s="192"/>
      <c r="GL105" s="192"/>
      <c r="GM105" s="389"/>
      <c r="GN105" s="390" t="str">
        <f t="shared" si="235"/>
        <v>2026//1//21</v>
      </c>
      <c r="GO105" s="390">
        <v>1714858</v>
      </c>
      <c r="GP105" s="390">
        <v>1699678</v>
      </c>
      <c r="GQ105" s="416">
        <v>15180</v>
      </c>
      <c r="GR105" s="417">
        <v>0.0089</v>
      </c>
      <c r="GS105" s="192"/>
      <c r="GT105" s="192"/>
      <c r="GU105" s="389"/>
      <c r="GV105" s="390" t="str">
        <f t="shared" si="236"/>
        <v>2026//1//21</v>
      </c>
      <c r="GW105" s="390">
        <v>960949</v>
      </c>
      <c r="GX105" s="390">
        <v>981149</v>
      </c>
      <c r="GY105" s="414">
        <v>-20200</v>
      </c>
      <c r="GZ105" s="415">
        <v>-0.0206</v>
      </c>
      <c r="HA105" s="192"/>
      <c r="HB105" s="192"/>
      <c r="HC105" s="389"/>
      <c r="HD105" s="390" t="str">
        <f t="shared" si="237"/>
        <v>2026//1//21</v>
      </c>
      <c r="HE105" s="390">
        <v>1276065</v>
      </c>
      <c r="HF105" s="390">
        <v>1285365</v>
      </c>
      <c r="HG105" s="414">
        <v>-9300</v>
      </c>
      <c r="HH105" s="415">
        <v>-0.0072</v>
      </c>
      <c r="HI105" s="391"/>
      <c r="HJ105" s="192"/>
      <c r="HK105" s="389"/>
      <c r="HL105" s="390" t="str">
        <f t="shared" si="238"/>
        <v>2026//1//21</v>
      </c>
      <c r="HM105" s="390">
        <v>140804</v>
      </c>
      <c r="HN105" s="390">
        <v>140954</v>
      </c>
      <c r="HO105" s="414">
        <v>-150</v>
      </c>
      <c r="HP105" s="415">
        <v>-0.0011</v>
      </c>
      <c r="HQ105" s="192"/>
      <c r="HR105" s="192"/>
      <c r="HS105" s="389"/>
      <c r="HT105" s="390" t="str">
        <f t="shared" si="239"/>
        <v>2026//1//21</v>
      </c>
      <c r="HU105" s="390">
        <v>111769</v>
      </c>
      <c r="HV105" s="390">
        <v>109169</v>
      </c>
      <c r="HW105" s="416">
        <v>2600</v>
      </c>
      <c r="HX105" s="417">
        <v>0.0238</v>
      </c>
      <c r="HY105" s="192"/>
      <c r="HZ105" s="192"/>
      <c r="IA105" s="389"/>
      <c r="IB105" s="390" t="str">
        <f t="shared" si="240"/>
        <v>2026//1//21</v>
      </c>
      <c r="IC105" s="200">
        <v>327434.79</v>
      </c>
      <c r="ID105" s="200">
        <v>317609.79</v>
      </c>
      <c r="IE105" s="348">
        <f t="shared" si="347"/>
        <v>9825</v>
      </c>
      <c r="IF105" s="349">
        <f t="shared" si="348"/>
        <v>0.0309341849947384</v>
      </c>
      <c r="IG105" s="391"/>
      <c r="IH105" s="192"/>
      <c r="II105" s="389"/>
      <c r="IJ105" s="390" t="str">
        <f t="shared" si="241"/>
        <v>2026//1//21</v>
      </c>
      <c r="IK105" s="390">
        <v>413276</v>
      </c>
      <c r="IL105" s="390">
        <v>402956</v>
      </c>
      <c r="IM105" s="416">
        <v>10320</v>
      </c>
      <c r="IN105" s="417">
        <v>0.0256</v>
      </c>
      <c r="IO105" s="192"/>
      <c r="IP105" s="192"/>
      <c r="IQ105" s="389"/>
      <c r="IR105" s="390" t="str">
        <f t="shared" si="242"/>
        <v>2026//1//21</v>
      </c>
      <c r="IS105" s="390">
        <v>148289</v>
      </c>
      <c r="IT105" s="390">
        <v>149289</v>
      </c>
      <c r="IU105" s="414">
        <v>-1000</v>
      </c>
      <c r="IV105" s="415">
        <v>-0.0067</v>
      </c>
      <c r="IW105" s="192"/>
      <c r="IX105" s="192"/>
      <c r="IY105" s="389"/>
      <c r="IZ105" s="390" t="str">
        <f t="shared" si="243"/>
        <v>2026//1//21</v>
      </c>
      <c r="JA105" s="390">
        <v>4737929</v>
      </c>
      <c r="JB105" s="390">
        <v>4739329</v>
      </c>
      <c r="JC105" s="414">
        <v>-1400</v>
      </c>
      <c r="JD105" s="415">
        <v>-0.0003</v>
      </c>
      <c r="JE105" s="192"/>
      <c r="JF105" s="192"/>
      <c r="JG105" s="389"/>
      <c r="JH105" s="390" t="str">
        <f t="shared" si="244"/>
        <v>2026//1//21</v>
      </c>
      <c r="JI105" s="390">
        <v>1455208</v>
      </c>
      <c r="JJ105" s="390">
        <v>1444708</v>
      </c>
      <c r="JK105" s="416">
        <v>10500</v>
      </c>
      <c r="JL105" s="417">
        <v>0.0073</v>
      </c>
      <c r="JM105" s="192"/>
      <c r="JN105" s="192"/>
      <c r="JP105" s="390" t="str">
        <f t="shared" si="245"/>
        <v>2026//1//21</v>
      </c>
      <c r="JQ105" s="390">
        <v>1188990</v>
      </c>
      <c r="JR105" s="390">
        <v>1164890</v>
      </c>
      <c r="JS105" s="416">
        <v>24100</v>
      </c>
      <c r="JT105" s="417">
        <v>0.0207</v>
      </c>
      <c r="JU105" s="192"/>
      <c r="JV105" s="409"/>
      <c r="JX105" s="390" t="str">
        <f t="shared" si="246"/>
        <v>2026//1//21</v>
      </c>
      <c r="JY105" s="390">
        <v>1373449</v>
      </c>
      <c r="JZ105" s="390">
        <v>1373449</v>
      </c>
      <c r="KA105" s="410">
        <v>0</v>
      </c>
      <c r="KB105" s="409">
        <v>0</v>
      </c>
      <c r="KC105" s="192"/>
      <c r="KD105" s="409"/>
      <c r="KF105" s="390" t="str">
        <f t="shared" si="247"/>
        <v>2026//1//21</v>
      </c>
      <c r="KG105" s="390">
        <v>849356</v>
      </c>
      <c r="KH105" s="390">
        <v>849356</v>
      </c>
      <c r="KI105" s="410">
        <v>0</v>
      </c>
      <c r="KJ105" s="409">
        <v>0</v>
      </c>
      <c r="KK105" s="192"/>
      <c r="KL105" s="192"/>
      <c r="KM105" s="389"/>
      <c r="KN105" s="390" t="str">
        <f t="shared" si="248"/>
        <v>2026//1//21</v>
      </c>
      <c r="KO105" s="390">
        <v>6974376</v>
      </c>
      <c r="KP105" s="390">
        <v>6963076</v>
      </c>
      <c r="KQ105" s="416">
        <v>11300</v>
      </c>
      <c r="KR105" s="417">
        <v>0.0016</v>
      </c>
      <c r="KS105" s="192"/>
      <c r="KT105" s="192"/>
      <c r="KU105" s="389"/>
      <c r="KV105" s="390" t="str">
        <f t="shared" si="249"/>
        <v>2026//1//21</v>
      </c>
      <c r="KW105" s="390">
        <v>1035573</v>
      </c>
      <c r="KX105" s="390">
        <v>1038673</v>
      </c>
      <c r="KY105" s="346">
        <v>-3100</v>
      </c>
      <c r="KZ105" s="347">
        <v>-0.003</v>
      </c>
      <c r="LA105" s="391"/>
      <c r="LB105" s="192"/>
      <c r="LC105" s="389"/>
      <c r="LD105" s="390" t="str">
        <f t="shared" si="250"/>
        <v>2026//1//21</v>
      </c>
      <c r="LE105" s="390">
        <v>455308</v>
      </c>
      <c r="LF105" s="390">
        <v>457958</v>
      </c>
      <c r="LG105" s="414">
        <v>-2650</v>
      </c>
      <c r="LH105" s="415">
        <v>-0.0058</v>
      </c>
      <c r="LI105" s="192"/>
      <c r="LJ105" s="192"/>
      <c r="LK105" s="389"/>
      <c r="LL105" s="390" t="str">
        <f t="shared" si="251"/>
        <v>2026//1//21</v>
      </c>
      <c r="LM105" s="392">
        <v>3430555</v>
      </c>
      <c r="LN105" s="390">
        <v>3369535</v>
      </c>
      <c r="LO105" s="416">
        <v>61020</v>
      </c>
      <c r="LP105" s="417">
        <v>0.0181</v>
      </c>
      <c r="LQ105" s="192"/>
      <c r="LR105" s="192"/>
      <c r="LS105" s="389"/>
      <c r="LT105" s="390" t="str">
        <f t="shared" si="252"/>
        <v>2026//1//21</v>
      </c>
      <c r="LU105" s="390">
        <v>2984063</v>
      </c>
      <c r="LV105" s="390">
        <v>2930663</v>
      </c>
      <c r="LW105" s="416">
        <v>53400</v>
      </c>
      <c r="LX105" s="417">
        <v>0.0182</v>
      </c>
      <c r="LY105" s="192"/>
      <c r="LZ105" s="192"/>
      <c r="MA105" s="389"/>
      <c r="MB105" s="390" t="str">
        <f t="shared" si="253"/>
        <v>2026//1//21</v>
      </c>
      <c r="MC105" s="390">
        <v>765868</v>
      </c>
      <c r="MD105" s="390">
        <v>749968</v>
      </c>
      <c r="ME105" s="416">
        <v>15900</v>
      </c>
      <c r="MF105" s="417">
        <v>0.0212</v>
      </c>
      <c r="MG105" s="192"/>
      <c r="MH105" s="192"/>
      <c r="MI105" s="342"/>
      <c r="MJ105" s="341">
        <v>1.1193</v>
      </c>
      <c r="MK105" s="341" t="str">
        <f t="shared" si="254"/>
        <v>2026//1//21</v>
      </c>
      <c r="ML105" s="341">
        <v>287266</v>
      </c>
      <c r="MM105" s="12">
        <f t="shared" si="388"/>
        <v>289186</v>
      </c>
      <c r="MN105" s="341">
        <v>-1920</v>
      </c>
      <c r="MO105" s="350">
        <v>-0.0066</v>
      </c>
      <c r="MP105" s="192"/>
      <c r="MQ105" s="394"/>
      <c r="MR105" s="394"/>
      <c r="MS105" s="204">
        <v>1.3406</v>
      </c>
      <c r="MT105" s="295" t="str">
        <f t="shared" si="255"/>
        <v>2026//1//21</v>
      </c>
      <c r="MU105" s="204">
        <v>41115</v>
      </c>
      <c r="MV105" s="204">
        <f t="shared" si="391"/>
        <v>40615</v>
      </c>
      <c r="MW105" s="204">
        <v>500</v>
      </c>
      <c r="MX105" s="296">
        <v>0.0123</v>
      </c>
      <c r="MY105" s="192"/>
      <c r="MZ105" s="192"/>
      <c r="NA105" s="192"/>
      <c r="NB105" s="204">
        <v>1.414</v>
      </c>
      <c r="NC105" s="204" t="str">
        <f t="shared" si="256"/>
        <v>2026//1//21</v>
      </c>
      <c r="ND105" s="204">
        <v>29491</v>
      </c>
      <c r="NE105" s="204">
        <f t="shared" si="392"/>
        <v>28491</v>
      </c>
      <c r="NF105" s="204">
        <v>1000</v>
      </c>
      <c r="NG105" s="296">
        <v>0.0351</v>
      </c>
      <c r="NH105" s="192"/>
      <c r="NI105" s="192"/>
      <c r="NJ105" s="192"/>
      <c r="NK105" s="192"/>
      <c r="NL105" s="205">
        <v>1.1502</v>
      </c>
      <c r="NM105" s="204" t="str">
        <f t="shared" si="257"/>
        <v>2026//1//21</v>
      </c>
      <c r="NN105" s="205">
        <v>2416511</v>
      </c>
      <c r="NO105" s="8">
        <f t="shared" si="393"/>
        <v>2376611</v>
      </c>
      <c r="NP105" s="205">
        <v>39900</v>
      </c>
      <c r="NQ105" s="292">
        <v>0.0168</v>
      </c>
      <c r="NR105" s="293"/>
      <c r="NS105" s="205">
        <v>1.0605</v>
      </c>
      <c r="NT105" s="294"/>
      <c r="NU105" s="204" t="str">
        <f t="shared" si="258"/>
        <v>2026//1//21</v>
      </c>
      <c r="NV105" s="205">
        <v>229826</v>
      </c>
      <c r="NW105" s="205">
        <f t="shared" si="394"/>
        <v>229376</v>
      </c>
      <c r="NX105" s="205">
        <v>450</v>
      </c>
      <c r="NY105" s="292">
        <v>0.002</v>
      </c>
      <c r="NZ105" s="391"/>
      <c r="OA105" s="389"/>
      <c r="OB105" s="389"/>
      <c r="OC105" s="390" t="str">
        <f t="shared" si="259"/>
        <v>2026//1//21</v>
      </c>
      <c r="OD105" s="390">
        <v>12870</v>
      </c>
      <c r="OE105" s="390">
        <v>13474</v>
      </c>
      <c r="OF105" s="414">
        <v>-604</v>
      </c>
      <c r="OG105" s="415">
        <v>-0.0448</v>
      </c>
      <c r="OH105" s="192"/>
      <c r="OI105" s="192"/>
      <c r="OJ105" s="389"/>
      <c r="OK105" s="390" t="str">
        <f t="shared" si="260"/>
        <v>2026//1//21</v>
      </c>
      <c r="OL105" s="200">
        <v>10763.65</v>
      </c>
      <c r="OM105" s="8"/>
      <c r="ON105" s="8">
        <f t="shared" si="399"/>
        <v>10763.65</v>
      </c>
      <c r="OO105" s="192"/>
      <c r="OP105" s="192"/>
      <c r="OQ105" s="192"/>
      <c r="OT105" s="234" t="str">
        <f t="shared" si="211"/>
        <v>2026//1//21</v>
      </c>
      <c r="OU105" s="206">
        <v>138552.4066</v>
      </c>
      <c r="OV105" s="8">
        <f t="shared" si="401"/>
        <v>138432.4066</v>
      </c>
      <c r="OW105" s="191">
        <f t="shared" si="402"/>
        <v>120</v>
      </c>
      <c r="OX105" s="192">
        <f t="shared" si="403"/>
        <v>0.000866849048913378</v>
      </c>
    </row>
    <row r="106" s="8" customFormat="1" ht="17" customHeight="1" spans="1:414">
      <c r="A106" s="15"/>
      <c r="B106" s="15"/>
      <c r="C106" s="385" t="s">
        <v>535</v>
      </c>
      <c r="D106" s="395">
        <v>7553389</v>
      </c>
      <c r="E106" s="395">
        <v>7786309</v>
      </c>
      <c r="F106" s="403">
        <v>-232920</v>
      </c>
      <c r="G106" s="404">
        <v>-0.0299</v>
      </c>
      <c r="H106" s="18"/>
      <c r="I106" s="453"/>
      <c r="J106" s="453"/>
      <c r="K106" s="386" t="str">
        <f t="shared" si="212"/>
        <v>2026//1//20</v>
      </c>
      <c r="L106" s="395">
        <v>5971834</v>
      </c>
      <c r="M106" s="395">
        <v>6121864</v>
      </c>
      <c r="N106" s="403">
        <v>-150030</v>
      </c>
      <c r="O106" s="404">
        <v>-0.0245</v>
      </c>
      <c r="P106" s="18"/>
      <c r="Q106" s="453"/>
      <c r="R106" s="454"/>
      <c r="S106" s="386" t="str">
        <f t="shared" si="213"/>
        <v>2026//1//20</v>
      </c>
      <c r="T106" s="395">
        <v>4710847</v>
      </c>
      <c r="U106" s="395">
        <v>4894897</v>
      </c>
      <c r="V106" s="403">
        <v>-184050</v>
      </c>
      <c r="W106" s="404">
        <v>-0.0376</v>
      </c>
      <c r="X106" s="18"/>
      <c r="Y106" s="453"/>
      <c r="Z106" s="454"/>
      <c r="AA106" s="386" t="str">
        <f t="shared" si="214"/>
        <v>2026//1//20</v>
      </c>
      <c r="AB106" s="395">
        <v>1614297</v>
      </c>
      <c r="AC106" s="395">
        <v>1724617</v>
      </c>
      <c r="AD106" s="403">
        <v>-110320</v>
      </c>
      <c r="AE106" s="404">
        <v>-0.064</v>
      </c>
      <c r="AF106" s="18"/>
      <c r="AG106" s="453"/>
      <c r="AH106" s="454"/>
      <c r="AI106" s="386" t="str">
        <f t="shared" si="215"/>
        <v>2026//1//20</v>
      </c>
      <c r="AJ106" s="395">
        <v>2262722</v>
      </c>
      <c r="AK106" s="386">
        <v>2374722</v>
      </c>
      <c r="AL106" s="403">
        <v>-112000</v>
      </c>
      <c r="AM106" s="404">
        <v>-0.0472</v>
      </c>
      <c r="AN106" s="18"/>
      <c r="AO106" s="18"/>
      <c r="AP106" s="454"/>
      <c r="AQ106" s="386" t="str">
        <f t="shared" si="216"/>
        <v>2026//1//20</v>
      </c>
      <c r="AR106" s="418">
        <v>2274745</v>
      </c>
      <c r="AS106" s="395">
        <v>2365845</v>
      </c>
      <c r="AT106" s="403">
        <v>-91100</v>
      </c>
      <c r="AU106" s="404">
        <v>-0.0385</v>
      </c>
      <c r="AV106" s="18"/>
      <c r="AW106" s="18"/>
      <c r="AX106" s="17"/>
      <c r="AY106" s="205">
        <v>4.9258</v>
      </c>
      <c r="AZ106" s="204" t="str">
        <f t="shared" si="217"/>
        <v>2026//1//20</v>
      </c>
      <c r="BA106" s="205">
        <v>3538192</v>
      </c>
      <c r="BB106" s="205">
        <f t="shared" si="279"/>
        <v>3687502</v>
      </c>
      <c r="BC106" s="205">
        <v>-149310</v>
      </c>
      <c r="BD106" s="292">
        <v>-0.0405</v>
      </c>
      <c r="BE106" s="18"/>
      <c r="BF106" s="18"/>
      <c r="BG106" s="74"/>
      <c r="BH106" s="387" t="str">
        <f t="shared" si="218"/>
        <v>2026//1//20</v>
      </c>
      <c r="BI106" s="387">
        <v>806927</v>
      </c>
      <c r="BJ106" s="387">
        <v>654127</v>
      </c>
      <c r="BK106" s="421">
        <v>152800</v>
      </c>
      <c r="BL106" s="422">
        <v>0.2336</v>
      </c>
      <c r="BM106" s="197"/>
      <c r="BN106" s="192"/>
      <c r="BO106" s="389"/>
      <c r="BP106" s="390" t="str">
        <f t="shared" si="219"/>
        <v>2026//1//20</v>
      </c>
      <c r="BQ106" s="392">
        <v>1508162</v>
      </c>
      <c r="BR106" s="390">
        <v>1487262</v>
      </c>
      <c r="BS106" s="416">
        <v>20900</v>
      </c>
      <c r="BT106" s="417">
        <v>0.0141</v>
      </c>
      <c r="BU106" s="192"/>
      <c r="BV106" s="192"/>
      <c r="BW106" s="389"/>
      <c r="BX106" s="390" t="str">
        <f t="shared" si="220"/>
        <v>2026//1//20</v>
      </c>
      <c r="BY106" s="390">
        <v>2861011</v>
      </c>
      <c r="BZ106" s="390">
        <v>2719761</v>
      </c>
      <c r="CA106" s="416">
        <v>141250</v>
      </c>
      <c r="CB106" s="417">
        <v>0.0519</v>
      </c>
      <c r="CC106" s="192"/>
      <c r="CD106" s="409"/>
      <c r="CE106" s="389"/>
      <c r="CF106" s="390" t="str">
        <f t="shared" si="221"/>
        <v>2026//1//20</v>
      </c>
      <c r="CG106" s="390">
        <v>1581254</v>
      </c>
      <c r="CH106" s="12">
        <f t="shared" si="289"/>
        <v>1572104</v>
      </c>
      <c r="CI106" s="12">
        <f t="shared" si="290"/>
        <v>9150</v>
      </c>
      <c r="CJ106" s="199">
        <f t="shared" si="291"/>
        <v>0.00582022563392753</v>
      </c>
      <c r="CK106" s="192"/>
      <c r="CL106" s="391"/>
      <c r="CM106" s="389"/>
      <c r="CN106" s="390" t="str">
        <f t="shared" si="222"/>
        <v>2026//1//20</v>
      </c>
      <c r="CO106" s="390">
        <v>679846</v>
      </c>
      <c r="CP106" s="390">
        <v>674946</v>
      </c>
      <c r="CQ106" s="12">
        <f t="shared" si="293"/>
        <v>4900</v>
      </c>
      <c r="CR106" s="199">
        <f t="shared" si="294"/>
        <v>0.00725984004646298</v>
      </c>
      <c r="CS106" s="391"/>
      <c r="CT106" s="391"/>
      <c r="CU106" s="389"/>
      <c r="CV106" s="390" t="str">
        <f t="shared" si="223"/>
        <v>2026//1//20</v>
      </c>
      <c r="CW106" s="390">
        <v>628090</v>
      </c>
      <c r="CX106" s="390">
        <v>614740</v>
      </c>
      <c r="CY106" s="416">
        <v>13350</v>
      </c>
      <c r="CZ106" s="417">
        <v>0.0217</v>
      </c>
      <c r="DA106" s="192"/>
      <c r="DB106" s="192"/>
      <c r="DC106" s="277"/>
      <c r="DD106" s="390" t="str">
        <f t="shared" si="224"/>
        <v>2026//1//20</v>
      </c>
      <c r="DE106" s="390">
        <v>1925918</v>
      </c>
      <c r="DF106" s="12">
        <f t="shared" si="298"/>
        <v>1863318</v>
      </c>
      <c r="DG106" s="416">
        <v>31300</v>
      </c>
      <c r="DH106" s="417">
        <v>0.0336</v>
      </c>
      <c r="DI106" s="192"/>
      <c r="DJ106" s="192"/>
      <c r="DK106" s="389"/>
      <c r="DL106" s="390" t="str">
        <f t="shared" si="225"/>
        <v>2026//1//20</v>
      </c>
      <c r="DM106" s="390">
        <v>1284100</v>
      </c>
      <c r="DN106" s="390">
        <v>1285300</v>
      </c>
      <c r="DO106" s="414">
        <v>-1200</v>
      </c>
      <c r="DP106" s="415">
        <v>-0.0009</v>
      </c>
      <c r="DQ106" s="192"/>
      <c r="DR106" s="192"/>
      <c r="DS106" s="389"/>
      <c r="DT106" s="390" t="str">
        <f t="shared" si="226"/>
        <v>2026//1//20</v>
      </c>
      <c r="DU106" s="390">
        <v>1696889</v>
      </c>
      <c r="DV106" s="390">
        <v>1689389</v>
      </c>
      <c r="DW106" s="416">
        <v>7500</v>
      </c>
      <c r="DX106" s="417">
        <v>0.0044</v>
      </c>
      <c r="DY106" s="192"/>
      <c r="DZ106" s="192"/>
      <c r="EA106" s="389"/>
      <c r="EB106" s="390" t="str">
        <f t="shared" si="227"/>
        <v>2026//1//20</v>
      </c>
      <c r="EC106" s="390">
        <v>5221167</v>
      </c>
      <c r="ED106" s="390">
        <v>5309817</v>
      </c>
      <c r="EE106" s="414">
        <v>-88650</v>
      </c>
      <c r="EF106" s="415">
        <v>-0.0167</v>
      </c>
      <c r="EG106" s="192"/>
      <c r="EH106" s="192"/>
      <c r="EI106" s="389"/>
      <c r="EJ106" s="390" t="str">
        <f t="shared" si="228"/>
        <v>2026//1//20</v>
      </c>
      <c r="EK106" s="390">
        <v>1566923</v>
      </c>
      <c r="EL106" s="390">
        <v>1551123</v>
      </c>
      <c r="EM106" s="416">
        <v>15800</v>
      </c>
      <c r="EN106" s="417">
        <v>0.0102</v>
      </c>
      <c r="EO106" s="192"/>
      <c r="EP106" s="192"/>
      <c r="EQ106" s="340"/>
      <c r="ER106" s="341" t="str">
        <f t="shared" si="229"/>
        <v>2026//1//20</v>
      </c>
      <c r="ES106" s="341">
        <v>520097</v>
      </c>
      <c r="ET106" s="341">
        <v>514097</v>
      </c>
      <c r="EU106" s="341">
        <v>6000</v>
      </c>
      <c r="EV106" s="350">
        <v>0.0117</v>
      </c>
      <c r="EW106" s="192"/>
      <c r="EX106" s="192"/>
      <c r="EY106" s="389"/>
      <c r="EZ106" s="390" t="str">
        <f t="shared" si="230"/>
        <v>2026//1//20</v>
      </c>
      <c r="FA106" s="390">
        <v>696608</v>
      </c>
      <c r="FB106" s="390">
        <v>700308</v>
      </c>
      <c r="FC106" s="414">
        <v>-3700</v>
      </c>
      <c r="FD106" s="415">
        <v>-0.0053</v>
      </c>
      <c r="FE106" s="192"/>
      <c r="FF106" s="192"/>
      <c r="FH106" s="390" t="str">
        <f t="shared" si="231"/>
        <v>2026//1//20</v>
      </c>
      <c r="FI106" s="392">
        <v>832495</v>
      </c>
      <c r="FJ106" s="390">
        <v>842895</v>
      </c>
      <c r="FK106" s="346">
        <v>-10400</v>
      </c>
      <c r="FL106" s="347">
        <v>-0.0123</v>
      </c>
      <c r="FM106" s="391"/>
      <c r="FN106" s="391"/>
      <c r="FO106" s="389"/>
      <c r="FP106" s="390" t="str">
        <f t="shared" si="232"/>
        <v>2026//1//20</v>
      </c>
      <c r="FQ106" s="390">
        <v>2380769</v>
      </c>
      <c r="FR106" s="390">
        <v>2389169</v>
      </c>
      <c r="FS106" s="414">
        <v>-8400</v>
      </c>
      <c r="FT106" s="415">
        <v>-0.0035</v>
      </c>
      <c r="FU106" s="192"/>
      <c r="FV106" s="192"/>
      <c r="FW106" s="389"/>
      <c r="FX106" s="390" t="str">
        <f t="shared" si="233"/>
        <v>2026//1//20</v>
      </c>
      <c r="FY106" s="390">
        <v>7098182</v>
      </c>
      <c r="FZ106" s="390">
        <v>7024482</v>
      </c>
      <c r="GA106" s="416">
        <v>73700</v>
      </c>
      <c r="GB106" s="417">
        <v>0.0105</v>
      </c>
      <c r="GC106" s="192"/>
      <c r="GD106" s="192"/>
      <c r="GE106" s="389"/>
      <c r="GF106" s="390" t="str">
        <f t="shared" si="234"/>
        <v>2026//1//20</v>
      </c>
      <c r="GG106" s="390">
        <v>4305469</v>
      </c>
      <c r="GH106" s="390">
        <v>4274269</v>
      </c>
      <c r="GI106" s="416">
        <v>31200</v>
      </c>
      <c r="GJ106" s="417">
        <v>0.0073</v>
      </c>
      <c r="GK106" s="192"/>
      <c r="GL106" s="192"/>
      <c r="GM106" s="389"/>
      <c r="GN106" s="390" t="str">
        <f t="shared" si="235"/>
        <v>2026//1//20</v>
      </c>
      <c r="GO106" s="390">
        <v>1699678</v>
      </c>
      <c r="GP106" s="390">
        <v>1684798</v>
      </c>
      <c r="GQ106" s="416">
        <v>14880</v>
      </c>
      <c r="GR106" s="417">
        <v>0.0088</v>
      </c>
      <c r="GS106" s="192"/>
      <c r="GT106" s="192"/>
      <c r="GU106" s="389"/>
      <c r="GV106" s="390" t="str">
        <f t="shared" si="236"/>
        <v>2026//1//20</v>
      </c>
      <c r="GW106" s="390">
        <v>981149</v>
      </c>
      <c r="GX106" s="390">
        <v>995549</v>
      </c>
      <c r="GY106" s="414">
        <v>-14400</v>
      </c>
      <c r="GZ106" s="415">
        <v>-0.0145</v>
      </c>
      <c r="HA106" s="192"/>
      <c r="HB106" s="192"/>
      <c r="HC106" s="389"/>
      <c r="HD106" s="390" t="str">
        <f t="shared" si="237"/>
        <v>2026//1//20</v>
      </c>
      <c r="HE106" s="390">
        <v>1285365</v>
      </c>
      <c r="HF106" s="390">
        <v>1295565</v>
      </c>
      <c r="HG106" s="414">
        <v>-10200</v>
      </c>
      <c r="HH106" s="415">
        <v>-0.0079</v>
      </c>
      <c r="HI106" s="391"/>
      <c r="HJ106" s="192"/>
      <c r="HK106" s="389"/>
      <c r="HL106" s="390" t="str">
        <f t="shared" si="238"/>
        <v>2026//1//20</v>
      </c>
      <c r="HM106" s="390">
        <v>140954</v>
      </c>
      <c r="HN106" s="390">
        <v>140704</v>
      </c>
      <c r="HO106" s="416">
        <v>250</v>
      </c>
      <c r="HP106" s="417">
        <v>0.0018</v>
      </c>
      <c r="HQ106" s="192"/>
      <c r="HR106" s="192"/>
      <c r="HS106" s="389"/>
      <c r="HT106" s="390" t="str">
        <f t="shared" si="239"/>
        <v>2026//1//20</v>
      </c>
      <c r="HU106" s="390">
        <v>109169</v>
      </c>
      <c r="HV106" s="390">
        <v>92969</v>
      </c>
      <c r="HW106" s="416">
        <v>16200</v>
      </c>
      <c r="HX106" s="417">
        <v>0.1743</v>
      </c>
      <c r="HY106" s="192"/>
      <c r="HZ106" s="192"/>
      <c r="IA106" s="389"/>
      <c r="IB106" s="390" t="str">
        <f t="shared" si="240"/>
        <v>2026//1//20</v>
      </c>
      <c r="IC106" s="200">
        <v>317609.79</v>
      </c>
      <c r="ID106" s="200">
        <v>313134.79</v>
      </c>
      <c r="IE106" s="348">
        <f t="shared" si="347"/>
        <v>4475</v>
      </c>
      <c r="IF106" s="349">
        <f t="shared" si="348"/>
        <v>0.0142909703517773</v>
      </c>
      <c r="IG106" s="391"/>
      <c r="IH106" s="192"/>
      <c r="II106" s="389"/>
      <c r="IJ106" s="390" t="str">
        <f t="shared" si="241"/>
        <v>2026//1//20</v>
      </c>
      <c r="IK106" s="390">
        <v>402956</v>
      </c>
      <c r="IL106" s="390">
        <v>394396</v>
      </c>
      <c r="IM106" s="416">
        <v>8560</v>
      </c>
      <c r="IN106" s="417">
        <v>0.0217</v>
      </c>
      <c r="IO106" s="192"/>
      <c r="IP106" s="192"/>
      <c r="IQ106" s="389"/>
      <c r="IR106" s="390" t="str">
        <f t="shared" si="242"/>
        <v>2026//1//20</v>
      </c>
      <c r="IS106" s="390">
        <v>149289</v>
      </c>
      <c r="IT106" s="390">
        <v>149289</v>
      </c>
      <c r="IU106" s="410">
        <v>0</v>
      </c>
      <c r="IV106" s="409">
        <v>0</v>
      </c>
      <c r="IW106" s="192"/>
      <c r="IX106" s="192"/>
      <c r="IY106" s="389"/>
      <c r="IZ106" s="390" t="str">
        <f t="shared" si="243"/>
        <v>2026//1//20</v>
      </c>
      <c r="JA106" s="390">
        <v>4739329</v>
      </c>
      <c r="JB106" s="390">
        <v>4790629</v>
      </c>
      <c r="JC106" s="414">
        <v>-51300</v>
      </c>
      <c r="JD106" s="415">
        <v>-0.0107</v>
      </c>
      <c r="JE106" s="192"/>
      <c r="JF106" s="192"/>
      <c r="JG106" s="389"/>
      <c r="JH106" s="390" t="str">
        <f t="shared" si="244"/>
        <v>2026//1//20</v>
      </c>
      <c r="JI106" s="390">
        <v>1444708</v>
      </c>
      <c r="JJ106" s="390">
        <v>1426768</v>
      </c>
      <c r="JK106" s="416">
        <v>17940</v>
      </c>
      <c r="JL106" s="417">
        <v>0.0126</v>
      </c>
      <c r="JM106" s="192"/>
      <c r="JN106" s="192"/>
      <c r="JP106" s="390" t="str">
        <f t="shared" si="245"/>
        <v>2026//1//20</v>
      </c>
      <c r="JQ106" s="390">
        <v>1164890</v>
      </c>
      <c r="JR106" s="390">
        <v>1144390</v>
      </c>
      <c r="JS106" s="416">
        <v>20500</v>
      </c>
      <c r="JT106" s="417">
        <v>0.0179</v>
      </c>
      <c r="JU106" s="192"/>
      <c r="JV106" s="409"/>
      <c r="JX106" s="390" t="str">
        <f t="shared" si="246"/>
        <v>2026//1//20</v>
      </c>
      <c r="JY106" s="390">
        <v>1373449</v>
      </c>
      <c r="JZ106" s="390">
        <v>1376499</v>
      </c>
      <c r="KA106" s="414">
        <v>-3050</v>
      </c>
      <c r="KB106" s="415">
        <v>-0.0022</v>
      </c>
      <c r="KC106" s="192"/>
      <c r="KD106" s="409"/>
      <c r="KF106" s="390" t="str">
        <f t="shared" si="247"/>
        <v>2026//1//20</v>
      </c>
      <c r="KG106" s="390">
        <v>849356</v>
      </c>
      <c r="KH106" s="390">
        <v>854356</v>
      </c>
      <c r="KI106" s="414">
        <v>-5000</v>
      </c>
      <c r="KJ106" s="415">
        <v>-0.0059</v>
      </c>
      <c r="KK106" s="192"/>
      <c r="KL106" s="192"/>
      <c r="KM106" s="389"/>
      <c r="KN106" s="390" t="str">
        <f t="shared" si="248"/>
        <v>2026//1//20</v>
      </c>
      <c r="KO106" s="390">
        <v>6963076</v>
      </c>
      <c r="KP106" s="390">
        <v>6889876</v>
      </c>
      <c r="KQ106" s="416">
        <v>73200</v>
      </c>
      <c r="KR106" s="417">
        <v>0.0106</v>
      </c>
      <c r="KS106" s="192"/>
      <c r="KT106" s="192"/>
      <c r="KU106" s="389"/>
      <c r="KV106" s="390" t="str">
        <f t="shared" si="249"/>
        <v>2026//1//20</v>
      </c>
      <c r="KW106" s="390">
        <v>1038673</v>
      </c>
      <c r="KX106" s="390">
        <v>1039873</v>
      </c>
      <c r="KY106" s="346">
        <v>-1200</v>
      </c>
      <c r="KZ106" s="347">
        <v>-0.0012</v>
      </c>
      <c r="LA106" s="391"/>
      <c r="LB106" s="192"/>
      <c r="LC106" s="389"/>
      <c r="LD106" s="390" t="str">
        <f t="shared" si="250"/>
        <v>2026//1//20</v>
      </c>
      <c r="LE106" s="390">
        <v>457958</v>
      </c>
      <c r="LF106" s="390">
        <v>460358</v>
      </c>
      <c r="LG106" s="414">
        <v>-2400</v>
      </c>
      <c r="LH106" s="415">
        <v>-0.0052</v>
      </c>
      <c r="LI106" s="192"/>
      <c r="LJ106" s="192"/>
      <c r="LK106" s="389"/>
      <c r="LL106" s="390" t="str">
        <f t="shared" si="251"/>
        <v>2026//1//20</v>
      </c>
      <c r="LM106" s="392">
        <v>3369535</v>
      </c>
      <c r="LN106" s="390">
        <v>3371155</v>
      </c>
      <c r="LO106" s="414">
        <v>-1620</v>
      </c>
      <c r="LP106" s="415">
        <v>-0.0005</v>
      </c>
      <c r="LQ106" s="192"/>
      <c r="LR106" s="192"/>
      <c r="LS106" s="389"/>
      <c r="LT106" s="390" t="str">
        <f t="shared" si="252"/>
        <v>2026//1//20</v>
      </c>
      <c r="LU106" s="390">
        <v>2930663</v>
      </c>
      <c r="LV106" s="390">
        <v>2968863</v>
      </c>
      <c r="LW106" s="414">
        <v>-38200</v>
      </c>
      <c r="LX106" s="415">
        <v>-0.0129</v>
      </c>
      <c r="LY106" s="192"/>
      <c r="LZ106" s="192"/>
      <c r="MA106" s="389"/>
      <c r="MB106" s="390" t="str">
        <f t="shared" si="253"/>
        <v>2026//1//20</v>
      </c>
      <c r="MC106" s="390">
        <v>749968</v>
      </c>
      <c r="MD106" s="390">
        <v>752518</v>
      </c>
      <c r="ME106" s="414">
        <v>-2550</v>
      </c>
      <c r="MF106" s="415">
        <v>-0.0034</v>
      </c>
      <c r="MG106" s="192"/>
      <c r="MH106" s="192"/>
      <c r="MI106" s="342"/>
      <c r="MJ106" s="341">
        <v>1.1042</v>
      </c>
      <c r="MK106" s="341" t="str">
        <f t="shared" si="254"/>
        <v>2026//1//20</v>
      </c>
      <c r="ML106" s="341">
        <v>289186</v>
      </c>
      <c r="MM106" s="12">
        <f t="shared" si="388"/>
        <v>292066</v>
      </c>
      <c r="MN106" s="341">
        <v>-2880</v>
      </c>
      <c r="MO106" s="350">
        <v>-0.0099</v>
      </c>
      <c r="MP106" s="192"/>
      <c r="MQ106" s="394"/>
      <c r="MR106" s="394"/>
      <c r="MS106" s="204">
        <v>1.3243</v>
      </c>
      <c r="MT106" s="295" t="str">
        <f t="shared" si="255"/>
        <v>2026//1//20</v>
      </c>
      <c r="MU106" s="204">
        <v>40615</v>
      </c>
      <c r="MV106" s="204">
        <f t="shared" si="391"/>
        <v>40215</v>
      </c>
      <c r="MW106" s="204">
        <v>400</v>
      </c>
      <c r="MX106" s="296">
        <v>0.0099</v>
      </c>
      <c r="MY106" s="192"/>
      <c r="MZ106" s="192"/>
      <c r="NA106" s="192"/>
      <c r="NB106" s="204">
        <v>1.392</v>
      </c>
      <c r="NC106" s="204" t="str">
        <f t="shared" si="256"/>
        <v>2026//1//20</v>
      </c>
      <c r="ND106" s="204">
        <v>28491</v>
      </c>
      <c r="NE106" s="204">
        <f t="shared" si="392"/>
        <v>28091</v>
      </c>
      <c r="NF106" s="204">
        <v>400</v>
      </c>
      <c r="NG106" s="296">
        <v>0.0142</v>
      </c>
      <c r="NH106" s="192"/>
      <c r="NI106" s="192"/>
      <c r="NJ106" s="192"/>
      <c r="NK106" s="192"/>
      <c r="NL106" s="205">
        <v>1.16</v>
      </c>
      <c r="NM106" s="204" t="str">
        <f t="shared" si="257"/>
        <v>2026//1//20</v>
      </c>
      <c r="NN106" s="205">
        <v>2376611</v>
      </c>
      <c r="NO106" s="8">
        <f t="shared" si="393"/>
        <v>2331311</v>
      </c>
      <c r="NP106" s="205">
        <v>45300</v>
      </c>
      <c r="NQ106" s="292">
        <v>0.0194</v>
      </c>
      <c r="NR106" s="293"/>
      <c r="NS106" s="205">
        <v>1.067</v>
      </c>
      <c r="NT106" s="294"/>
      <c r="NU106" s="204" t="str">
        <f t="shared" si="258"/>
        <v>2026//1//20</v>
      </c>
      <c r="NV106" s="205">
        <v>229376</v>
      </c>
      <c r="NW106" s="205">
        <f t="shared" si="394"/>
        <v>230426</v>
      </c>
      <c r="NX106" s="205">
        <v>-1050</v>
      </c>
      <c r="NY106" s="292">
        <v>-0.0046</v>
      </c>
      <c r="NZ106" s="391"/>
      <c r="OA106" s="389"/>
      <c r="OB106" s="389"/>
      <c r="OC106" s="390" t="str">
        <f t="shared" si="259"/>
        <v>2026//1//20</v>
      </c>
      <c r="OD106" s="390">
        <v>13474</v>
      </c>
      <c r="OE106" s="390">
        <v>13384</v>
      </c>
      <c r="OF106" s="416">
        <v>90</v>
      </c>
      <c r="OG106" s="417">
        <v>0.0067</v>
      </c>
      <c r="OH106" s="192"/>
      <c r="OI106" s="192"/>
      <c r="OJ106" s="389"/>
      <c r="OK106" s="390" t="str">
        <f t="shared" si="260"/>
        <v>2026//1//20</v>
      </c>
      <c r="OO106" s="192"/>
      <c r="OP106" s="192"/>
      <c r="OQ106" s="192"/>
      <c r="OT106" s="234" t="str">
        <f t="shared" si="211"/>
        <v>2026//1//20</v>
      </c>
      <c r="OU106" s="206">
        <v>138432.4066</v>
      </c>
      <c r="OV106" s="8">
        <f t="shared" si="401"/>
        <v>138312.4066</v>
      </c>
      <c r="OW106" s="191">
        <f t="shared" si="402"/>
        <v>120</v>
      </c>
      <c r="OX106" s="192">
        <f t="shared" si="403"/>
        <v>0.00086760112812613</v>
      </c>
    </row>
    <row r="107" s="8" customFormat="1" ht="17" customHeight="1" spans="1:414">
      <c r="A107" s="15"/>
      <c r="B107" s="15"/>
      <c r="C107" s="385" t="s">
        <v>536</v>
      </c>
      <c r="D107" s="395">
        <v>7786309</v>
      </c>
      <c r="E107" s="395">
        <v>7976029</v>
      </c>
      <c r="F107" s="403">
        <v>-189720</v>
      </c>
      <c r="G107" s="404">
        <v>-0.0238</v>
      </c>
      <c r="H107" s="18"/>
      <c r="I107" s="453"/>
      <c r="J107" s="453"/>
      <c r="K107" s="386" t="str">
        <f t="shared" si="212"/>
        <v>2026//1//19</v>
      </c>
      <c r="L107" s="395">
        <v>6121864</v>
      </c>
      <c r="M107" s="395">
        <v>6241474</v>
      </c>
      <c r="N107" s="403">
        <v>-119610</v>
      </c>
      <c r="O107" s="404">
        <v>-0.0192</v>
      </c>
      <c r="P107" s="18"/>
      <c r="Q107" s="453"/>
      <c r="R107" s="454"/>
      <c r="S107" s="386" t="str">
        <f t="shared" si="213"/>
        <v>2026//1//19</v>
      </c>
      <c r="T107" s="395">
        <v>4894897</v>
      </c>
      <c r="U107" s="395">
        <v>5049247</v>
      </c>
      <c r="V107" s="403">
        <v>-154350</v>
      </c>
      <c r="W107" s="404">
        <v>-0.0306</v>
      </c>
      <c r="X107" s="18"/>
      <c r="Y107" s="453"/>
      <c r="Z107" s="454"/>
      <c r="AA107" s="386" t="str">
        <f t="shared" si="214"/>
        <v>2026//1//19</v>
      </c>
      <c r="AB107" s="395">
        <v>1724617</v>
      </c>
      <c r="AC107" s="395">
        <v>1762057</v>
      </c>
      <c r="AD107" s="403">
        <v>-37440</v>
      </c>
      <c r="AE107" s="404">
        <v>-0.0212</v>
      </c>
      <c r="AF107" s="18"/>
      <c r="AG107" s="453"/>
      <c r="AH107" s="454"/>
      <c r="AI107" s="386" t="str">
        <f t="shared" si="215"/>
        <v>2026//1//19</v>
      </c>
      <c r="AJ107" s="395">
        <v>2374722</v>
      </c>
      <c r="AK107" s="386">
        <v>2532922</v>
      </c>
      <c r="AL107" s="403">
        <v>-158200</v>
      </c>
      <c r="AM107" s="404">
        <v>-0.0625</v>
      </c>
      <c r="AN107" s="18"/>
      <c r="AO107" s="18"/>
      <c r="AP107" s="454"/>
      <c r="AQ107" s="386" t="str">
        <f t="shared" si="216"/>
        <v>2026//1//19</v>
      </c>
      <c r="AR107" s="418">
        <v>2365845</v>
      </c>
      <c r="AS107" s="395">
        <v>2440545</v>
      </c>
      <c r="AT107" s="403">
        <v>-74700</v>
      </c>
      <c r="AU107" s="404">
        <v>-0.0306</v>
      </c>
      <c r="AV107" s="18"/>
      <c r="AW107" s="18"/>
      <c r="AX107" s="17"/>
      <c r="AY107" s="205">
        <v>4.9422</v>
      </c>
      <c r="AZ107" s="204" t="str">
        <f t="shared" si="217"/>
        <v>2026//1//19</v>
      </c>
      <c r="BA107" s="205">
        <v>3687502</v>
      </c>
      <c r="BB107" s="205">
        <f t="shared" si="279"/>
        <v>3858412</v>
      </c>
      <c r="BC107" s="205">
        <v>-170910</v>
      </c>
      <c r="BD107" s="292">
        <v>-0.0443</v>
      </c>
      <c r="BE107" s="18"/>
      <c r="BF107" s="18"/>
      <c r="BG107" s="74"/>
      <c r="BH107" s="387" t="str">
        <f t="shared" si="218"/>
        <v>2026//1//19</v>
      </c>
      <c r="BI107" s="387">
        <v>654127</v>
      </c>
      <c r="BJ107" s="387">
        <v>509327</v>
      </c>
      <c r="BK107" s="421">
        <v>144800</v>
      </c>
      <c r="BL107" s="422">
        <v>0.2843</v>
      </c>
      <c r="BM107" s="197"/>
      <c r="BN107" s="192"/>
      <c r="BO107" s="389"/>
      <c r="BP107" s="390" t="str">
        <f t="shared" si="219"/>
        <v>2026//1//19</v>
      </c>
      <c r="BQ107" s="392">
        <v>1487262</v>
      </c>
      <c r="BR107" s="390">
        <v>1445162</v>
      </c>
      <c r="BS107" s="416">
        <v>42100</v>
      </c>
      <c r="BT107" s="417">
        <v>0.0291</v>
      </c>
      <c r="BU107" s="192"/>
      <c r="BV107" s="192"/>
      <c r="BW107" s="389"/>
      <c r="BX107" s="390" t="str">
        <f t="shared" si="220"/>
        <v>2026//1//19</v>
      </c>
      <c r="BY107" s="390">
        <v>2719761</v>
      </c>
      <c r="BZ107" s="390">
        <v>2593461</v>
      </c>
      <c r="CA107" s="416">
        <v>126300</v>
      </c>
      <c r="CB107" s="417">
        <v>0.0487</v>
      </c>
      <c r="CC107" s="192"/>
      <c r="CD107" s="409"/>
      <c r="CE107" s="389"/>
      <c r="CF107" s="390" t="str">
        <f t="shared" si="221"/>
        <v>2026//1//19</v>
      </c>
      <c r="CG107" s="390">
        <v>1572104</v>
      </c>
      <c r="CH107" s="12">
        <f t="shared" si="289"/>
        <v>1545504</v>
      </c>
      <c r="CI107" s="12">
        <f t="shared" si="290"/>
        <v>26600</v>
      </c>
      <c r="CJ107" s="199">
        <f t="shared" si="291"/>
        <v>0.017211213947036</v>
      </c>
      <c r="CK107" s="192"/>
      <c r="CL107" s="391"/>
      <c r="CM107" s="389"/>
      <c r="CN107" s="390" t="str">
        <f t="shared" si="222"/>
        <v>2026//1//19</v>
      </c>
      <c r="CO107" s="390">
        <v>674946</v>
      </c>
      <c r="CP107" s="390">
        <v>646546</v>
      </c>
      <c r="CQ107" s="12">
        <f t="shared" si="293"/>
        <v>28400</v>
      </c>
      <c r="CR107" s="199">
        <f t="shared" si="294"/>
        <v>0.0439257222223941</v>
      </c>
      <c r="CS107" s="391"/>
      <c r="CT107" s="391"/>
      <c r="CU107" s="389"/>
      <c r="CV107" s="390" t="str">
        <f t="shared" si="223"/>
        <v>2026//1//19</v>
      </c>
      <c r="CW107" s="390">
        <v>614740</v>
      </c>
      <c r="CX107" s="390">
        <v>609090</v>
      </c>
      <c r="CY107" s="416">
        <v>5650</v>
      </c>
      <c r="CZ107" s="417">
        <v>0.0093</v>
      </c>
      <c r="DA107" s="192"/>
      <c r="DB107" s="192"/>
      <c r="DC107" s="277"/>
      <c r="DD107" s="390" t="str">
        <f t="shared" si="224"/>
        <v>2026//1//19</v>
      </c>
      <c r="DE107" s="390">
        <v>1863318</v>
      </c>
      <c r="DF107" s="12">
        <f t="shared" si="298"/>
        <v>1775718</v>
      </c>
      <c r="DG107" s="416">
        <v>43800</v>
      </c>
      <c r="DH107" s="417">
        <v>0.0493</v>
      </c>
      <c r="DI107" s="192"/>
      <c r="DJ107" s="192"/>
      <c r="DK107" s="389"/>
      <c r="DL107" s="390" t="str">
        <f t="shared" si="225"/>
        <v>2026//1//19</v>
      </c>
      <c r="DM107" s="390">
        <v>1285300</v>
      </c>
      <c r="DN107" s="390">
        <v>1268300</v>
      </c>
      <c r="DO107" s="416">
        <v>17000</v>
      </c>
      <c r="DP107" s="417">
        <v>0.0134</v>
      </c>
      <c r="DQ107" s="192"/>
      <c r="DR107" s="192"/>
      <c r="DS107" s="389"/>
      <c r="DT107" s="390" t="str">
        <f t="shared" si="226"/>
        <v>2026//1//19</v>
      </c>
      <c r="DU107" s="390">
        <v>1689389</v>
      </c>
      <c r="DV107" s="390">
        <v>1683689</v>
      </c>
      <c r="DW107" s="416">
        <v>5700</v>
      </c>
      <c r="DX107" s="417">
        <v>0.0034</v>
      </c>
      <c r="DY107" s="192"/>
      <c r="DZ107" s="192"/>
      <c r="EA107" s="389"/>
      <c r="EB107" s="390" t="str">
        <f t="shared" si="227"/>
        <v>2026//1//19</v>
      </c>
      <c r="EC107" s="390">
        <v>5309817</v>
      </c>
      <c r="ED107" s="390">
        <v>5311617</v>
      </c>
      <c r="EE107" s="414">
        <v>-1800</v>
      </c>
      <c r="EF107" s="415">
        <v>-0.0003</v>
      </c>
      <c r="EG107" s="192"/>
      <c r="EH107" s="192"/>
      <c r="EI107" s="389"/>
      <c r="EJ107" s="390" t="str">
        <f t="shared" si="228"/>
        <v>2026//1//19</v>
      </c>
      <c r="EK107" s="390">
        <v>1551123</v>
      </c>
      <c r="EL107" s="390">
        <v>1537523</v>
      </c>
      <c r="EM107" s="416">
        <v>13600</v>
      </c>
      <c r="EN107" s="417">
        <v>0.0088</v>
      </c>
      <c r="EO107" s="192"/>
      <c r="EP107" s="192"/>
      <c r="EQ107" s="340"/>
      <c r="ER107" s="341" t="str">
        <f t="shared" si="229"/>
        <v>2026//1//19</v>
      </c>
      <c r="ES107" s="341">
        <v>514097</v>
      </c>
      <c r="ET107" s="341">
        <v>507047</v>
      </c>
      <c r="EU107" s="341">
        <v>7050</v>
      </c>
      <c r="EV107" s="350">
        <v>0.0139</v>
      </c>
      <c r="EW107" s="192"/>
      <c r="EX107" s="192"/>
      <c r="EY107" s="389"/>
      <c r="EZ107" s="390" t="str">
        <f t="shared" si="230"/>
        <v>2026//1//19</v>
      </c>
      <c r="FA107" s="390">
        <v>700308</v>
      </c>
      <c r="FB107" s="390">
        <v>703808</v>
      </c>
      <c r="FC107" s="414">
        <v>-3500</v>
      </c>
      <c r="FD107" s="415">
        <v>-0.005</v>
      </c>
      <c r="FE107" s="192"/>
      <c r="FF107" s="192"/>
      <c r="FH107" s="390" t="str">
        <f t="shared" si="231"/>
        <v>2026//1//19</v>
      </c>
      <c r="FI107" s="392">
        <v>842895</v>
      </c>
      <c r="FJ107" s="390">
        <v>861895</v>
      </c>
      <c r="FK107" s="346">
        <v>-19000</v>
      </c>
      <c r="FL107" s="347">
        <v>-0.022</v>
      </c>
      <c r="FM107" s="391"/>
      <c r="FN107" s="391"/>
      <c r="FO107" s="389"/>
      <c r="FP107" s="390" t="str">
        <f t="shared" si="232"/>
        <v>2026//1//19</v>
      </c>
      <c r="FQ107" s="390">
        <v>2389169</v>
      </c>
      <c r="FR107" s="390">
        <v>2359769</v>
      </c>
      <c r="FS107" s="416">
        <v>29400</v>
      </c>
      <c r="FT107" s="417">
        <v>0.0125</v>
      </c>
      <c r="FU107" s="192"/>
      <c r="FV107" s="192"/>
      <c r="FW107" s="389"/>
      <c r="FX107" s="390" t="str">
        <f t="shared" si="233"/>
        <v>2026//1//19</v>
      </c>
      <c r="FY107" s="390">
        <v>7024482</v>
      </c>
      <c r="FZ107" s="390">
        <v>7017482</v>
      </c>
      <c r="GA107" s="416">
        <v>7000</v>
      </c>
      <c r="GB107" s="417">
        <v>0.001</v>
      </c>
      <c r="GC107" s="192"/>
      <c r="GD107" s="192"/>
      <c r="GE107" s="389"/>
      <c r="GF107" s="390" t="str">
        <f t="shared" si="234"/>
        <v>2026//1//19</v>
      </c>
      <c r="GG107" s="390">
        <v>4274269</v>
      </c>
      <c r="GH107" s="390">
        <v>4258869</v>
      </c>
      <c r="GI107" s="416">
        <v>15400</v>
      </c>
      <c r="GJ107" s="417">
        <v>0.0036</v>
      </c>
      <c r="GK107" s="192"/>
      <c r="GL107" s="192"/>
      <c r="GM107" s="389"/>
      <c r="GN107" s="390" t="str">
        <f t="shared" si="235"/>
        <v>2026//1//19</v>
      </c>
      <c r="GO107" s="390">
        <v>1684798</v>
      </c>
      <c r="GP107" s="390">
        <v>1654258</v>
      </c>
      <c r="GQ107" s="416">
        <v>30540</v>
      </c>
      <c r="GR107" s="417">
        <v>0.0185</v>
      </c>
      <c r="GS107" s="192"/>
      <c r="GT107" s="192"/>
      <c r="GU107" s="389"/>
      <c r="GV107" s="390" t="str">
        <f t="shared" si="236"/>
        <v>2026//1//19</v>
      </c>
      <c r="GW107" s="390">
        <v>995549</v>
      </c>
      <c r="GX107" s="390">
        <v>1004349</v>
      </c>
      <c r="GY107" s="414">
        <v>-8800</v>
      </c>
      <c r="GZ107" s="415">
        <v>-0.0088</v>
      </c>
      <c r="HA107" s="192"/>
      <c r="HB107" s="192"/>
      <c r="HC107" s="389"/>
      <c r="HD107" s="390" t="str">
        <f t="shared" si="237"/>
        <v>2026//1//19</v>
      </c>
      <c r="HE107" s="390">
        <v>1295565</v>
      </c>
      <c r="HF107" s="390">
        <v>1288665</v>
      </c>
      <c r="HG107" s="416">
        <v>6900</v>
      </c>
      <c r="HH107" s="417">
        <v>0.0054</v>
      </c>
      <c r="HI107" s="391"/>
      <c r="HJ107" s="192"/>
      <c r="HK107" s="389"/>
      <c r="HL107" s="390" t="str">
        <f t="shared" si="238"/>
        <v>2026//1//19</v>
      </c>
      <c r="HM107" s="390">
        <v>140704</v>
      </c>
      <c r="HN107" s="390">
        <v>141654</v>
      </c>
      <c r="HO107" s="414">
        <v>-950</v>
      </c>
      <c r="HP107" s="415">
        <v>-0.0067</v>
      </c>
      <c r="HQ107" s="192"/>
      <c r="HR107" s="192"/>
      <c r="HS107" s="389"/>
      <c r="HT107" s="390" t="str">
        <f t="shared" si="239"/>
        <v>2026//1//19</v>
      </c>
      <c r="HU107" s="390">
        <v>92969</v>
      </c>
      <c r="HV107" s="390">
        <v>96069</v>
      </c>
      <c r="HW107" s="414">
        <v>-3100</v>
      </c>
      <c r="HX107" s="415">
        <v>-0.0323</v>
      </c>
      <c r="HY107" s="192"/>
      <c r="HZ107" s="192"/>
      <c r="IA107" s="389"/>
      <c r="IB107" s="390" t="str">
        <f t="shared" si="240"/>
        <v>2026//1//19</v>
      </c>
      <c r="IC107" s="200">
        <v>313134.79</v>
      </c>
      <c r="ID107" s="200">
        <v>308184.79</v>
      </c>
      <c r="IE107" s="348">
        <f t="shared" si="347"/>
        <v>4950</v>
      </c>
      <c r="IF107" s="349">
        <f t="shared" si="348"/>
        <v>0.0160617920177047</v>
      </c>
      <c r="IG107" s="391"/>
      <c r="IH107" s="192"/>
      <c r="II107" s="389"/>
      <c r="IJ107" s="390" t="str">
        <f t="shared" si="241"/>
        <v>2026//1//19</v>
      </c>
      <c r="IK107" s="390">
        <v>394396</v>
      </c>
      <c r="IL107" s="390">
        <v>377676</v>
      </c>
      <c r="IM107" s="416">
        <v>16720</v>
      </c>
      <c r="IN107" s="417">
        <v>0.0443</v>
      </c>
      <c r="IO107" s="192"/>
      <c r="IP107" s="192"/>
      <c r="IQ107" s="389"/>
      <c r="IR107" s="390" t="str">
        <f t="shared" si="242"/>
        <v>2026//1//19</v>
      </c>
      <c r="IS107" s="390">
        <v>149289</v>
      </c>
      <c r="IT107" s="390">
        <v>146689</v>
      </c>
      <c r="IU107" s="416">
        <v>2600</v>
      </c>
      <c r="IV107" s="417">
        <v>0.0177</v>
      </c>
      <c r="IW107" s="192"/>
      <c r="IX107" s="192"/>
      <c r="IY107" s="389"/>
      <c r="IZ107" s="390" t="str">
        <f t="shared" si="243"/>
        <v>2026//1//19</v>
      </c>
      <c r="JA107" s="390">
        <v>4790629</v>
      </c>
      <c r="JB107" s="390">
        <v>4772529</v>
      </c>
      <c r="JC107" s="416">
        <v>18100</v>
      </c>
      <c r="JD107" s="417">
        <v>0.0038</v>
      </c>
      <c r="JE107" s="192"/>
      <c r="JF107" s="192"/>
      <c r="JG107" s="389"/>
      <c r="JH107" s="390" t="str">
        <f t="shared" si="244"/>
        <v>2026//1//19</v>
      </c>
      <c r="JI107" s="390">
        <v>1426768</v>
      </c>
      <c r="JJ107" s="390">
        <v>1433068</v>
      </c>
      <c r="JK107" s="414">
        <v>-6300</v>
      </c>
      <c r="JL107" s="415">
        <v>-0.0044</v>
      </c>
      <c r="JM107" s="192"/>
      <c r="JN107" s="192"/>
      <c r="JP107" s="390" t="str">
        <f t="shared" si="245"/>
        <v>2026//1//19</v>
      </c>
      <c r="JQ107" s="390">
        <v>1144390</v>
      </c>
      <c r="JR107" s="390">
        <v>1135190</v>
      </c>
      <c r="JS107" s="416">
        <v>9200</v>
      </c>
      <c r="JT107" s="417">
        <v>0.0081</v>
      </c>
      <c r="JU107" s="192"/>
      <c r="JV107" s="409"/>
      <c r="JX107" s="390" t="str">
        <f t="shared" si="246"/>
        <v>2026//1//19</v>
      </c>
      <c r="JY107" s="390">
        <v>1376499</v>
      </c>
      <c r="JZ107" s="390">
        <v>1376499</v>
      </c>
      <c r="KA107" s="410">
        <v>0</v>
      </c>
      <c r="KB107" s="409">
        <v>0</v>
      </c>
      <c r="KC107" s="192"/>
      <c r="KD107" s="409"/>
      <c r="KF107" s="390" t="str">
        <f t="shared" si="247"/>
        <v>2026//1//19</v>
      </c>
      <c r="KG107" s="390">
        <v>854356</v>
      </c>
      <c r="KH107" s="390">
        <v>859356</v>
      </c>
      <c r="KI107" s="414">
        <v>-5000</v>
      </c>
      <c r="KJ107" s="415">
        <v>-0.0058</v>
      </c>
      <c r="KK107" s="192"/>
      <c r="KL107" s="192"/>
      <c r="KM107" s="389"/>
      <c r="KN107" s="390" t="str">
        <f t="shared" si="248"/>
        <v>2026//1//19</v>
      </c>
      <c r="KO107" s="390">
        <v>6889876</v>
      </c>
      <c r="KP107" s="390">
        <v>6885076</v>
      </c>
      <c r="KQ107" s="416">
        <v>4800</v>
      </c>
      <c r="KR107" s="417">
        <v>0.0007</v>
      </c>
      <c r="KS107" s="192"/>
      <c r="KT107" s="192"/>
      <c r="KU107" s="389"/>
      <c r="KV107" s="390" t="str">
        <f t="shared" si="249"/>
        <v>2026//1//19</v>
      </c>
      <c r="KW107" s="390">
        <v>1039873</v>
      </c>
      <c r="KX107" s="390">
        <v>1039973</v>
      </c>
      <c r="KY107" s="346">
        <v>-100</v>
      </c>
      <c r="KZ107" s="347">
        <v>-0.0001</v>
      </c>
      <c r="LA107" s="391"/>
      <c r="LB107" s="192"/>
      <c r="LC107" s="389"/>
      <c r="LD107" s="390" t="str">
        <f t="shared" si="250"/>
        <v>2026//1//19</v>
      </c>
      <c r="LE107" s="390">
        <v>460358</v>
      </c>
      <c r="LF107" s="390">
        <v>464108</v>
      </c>
      <c r="LG107" s="414">
        <v>-3750</v>
      </c>
      <c r="LH107" s="415">
        <v>-0.0081</v>
      </c>
      <c r="LI107" s="192"/>
      <c r="LJ107" s="192"/>
      <c r="LK107" s="389"/>
      <c r="LL107" s="390" t="str">
        <f t="shared" si="251"/>
        <v>2026//1//19</v>
      </c>
      <c r="LM107" s="392">
        <v>3371155</v>
      </c>
      <c r="LN107" s="390">
        <v>3358195</v>
      </c>
      <c r="LO107" s="416">
        <v>12960</v>
      </c>
      <c r="LP107" s="417">
        <v>0.0039</v>
      </c>
      <c r="LQ107" s="192"/>
      <c r="LR107" s="192"/>
      <c r="LS107" s="389"/>
      <c r="LT107" s="390" t="str">
        <f t="shared" si="252"/>
        <v>2026//1//19</v>
      </c>
      <c r="LU107" s="390">
        <v>2968863</v>
      </c>
      <c r="LV107" s="390">
        <v>2966063</v>
      </c>
      <c r="LW107" s="416">
        <v>2800</v>
      </c>
      <c r="LX107" s="417">
        <v>0.0009</v>
      </c>
      <c r="LY107" s="192"/>
      <c r="LZ107" s="192"/>
      <c r="MA107" s="389"/>
      <c r="MB107" s="390" t="str">
        <f t="shared" si="253"/>
        <v>2026//1//19</v>
      </c>
      <c r="MC107" s="390">
        <v>752518</v>
      </c>
      <c r="MD107" s="390">
        <v>759868</v>
      </c>
      <c r="ME107" s="414">
        <v>-7350</v>
      </c>
      <c r="MF107" s="415">
        <v>-0.0097</v>
      </c>
      <c r="MG107" s="192"/>
      <c r="MH107" s="192"/>
      <c r="MI107" s="342"/>
      <c r="MJ107" s="341">
        <v>1.1252</v>
      </c>
      <c r="MK107" s="341" t="str">
        <f t="shared" si="254"/>
        <v>2026//1//19</v>
      </c>
      <c r="ML107" s="341">
        <v>292066</v>
      </c>
      <c r="MM107" s="12">
        <f t="shared" si="388"/>
        <v>291586</v>
      </c>
      <c r="MN107" s="341">
        <v>480</v>
      </c>
      <c r="MO107" s="350">
        <v>0.0016</v>
      </c>
      <c r="MP107" s="192"/>
      <c r="MQ107" s="394"/>
      <c r="MR107" s="394"/>
      <c r="MS107" s="204">
        <v>1.3157</v>
      </c>
      <c r="MT107" s="295" t="str">
        <f t="shared" si="255"/>
        <v>2026//1//19</v>
      </c>
      <c r="MU107" s="204">
        <v>40215</v>
      </c>
      <c r="MV107" s="204">
        <f t="shared" si="391"/>
        <v>40515</v>
      </c>
      <c r="MW107" s="204">
        <v>-300</v>
      </c>
      <c r="MX107" s="296">
        <v>-0.0074</v>
      </c>
      <c r="MY107" s="192"/>
      <c r="MZ107" s="192"/>
      <c r="NA107" s="192"/>
      <c r="NB107" s="204">
        <v>1.379</v>
      </c>
      <c r="NC107" s="204" t="str">
        <f t="shared" si="256"/>
        <v>2026//1//19</v>
      </c>
      <c r="ND107" s="204">
        <v>28091</v>
      </c>
      <c r="NE107" s="204">
        <f t="shared" si="392"/>
        <v>27691</v>
      </c>
      <c r="NF107" s="204">
        <v>400</v>
      </c>
      <c r="NG107" s="296">
        <v>0.0144</v>
      </c>
      <c r="NH107" s="192"/>
      <c r="NI107" s="192"/>
      <c r="NJ107" s="192"/>
      <c r="NK107" s="192"/>
      <c r="NL107" s="205">
        <v>1.1436</v>
      </c>
      <c r="NM107" s="204" t="str">
        <f t="shared" si="257"/>
        <v>2026//1//19</v>
      </c>
      <c r="NN107" s="205">
        <v>2331311</v>
      </c>
      <c r="NO107" s="8">
        <f t="shared" si="393"/>
        <v>2309911</v>
      </c>
      <c r="NP107" s="205">
        <v>21400</v>
      </c>
      <c r="NQ107" s="292">
        <v>0.0093</v>
      </c>
      <c r="NR107" s="293"/>
      <c r="NS107" s="205">
        <v>1.0598</v>
      </c>
      <c r="NT107" s="294"/>
      <c r="NU107" s="204" t="str">
        <f t="shared" si="258"/>
        <v>2026//1//19</v>
      </c>
      <c r="NV107" s="205">
        <v>230426</v>
      </c>
      <c r="NW107" s="205">
        <f t="shared" si="394"/>
        <v>234576</v>
      </c>
      <c r="NX107" s="205">
        <v>-4150</v>
      </c>
      <c r="NY107" s="292">
        <v>-0.0177</v>
      </c>
      <c r="NZ107" s="391"/>
      <c r="OA107" s="389"/>
      <c r="OB107" s="389"/>
      <c r="OC107" s="390" t="str">
        <f t="shared" si="259"/>
        <v>2026//1//19</v>
      </c>
      <c r="OD107" s="390">
        <v>13384</v>
      </c>
      <c r="OE107" s="390">
        <v>13607</v>
      </c>
      <c r="OF107" s="414">
        <v>-223</v>
      </c>
      <c r="OG107" s="415">
        <v>-0.0164</v>
      </c>
      <c r="OH107" s="192"/>
      <c r="OI107" s="192"/>
      <c r="OJ107" s="389"/>
      <c r="OK107" s="390" t="str">
        <f t="shared" si="260"/>
        <v>2026//1//19</v>
      </c>
      <c r="OO107" s="192"/>
      <c r="OP107" s="192"/>
      <c r="OQ107" s="192"/>
      <c r="OT107" s="234" t="str">
        <f t="shared" si="211"/>
        <v>2026//1//19</v>
      </c>
      <c r="OU107" s="206">
        <v>138312.4066</v>
      </c>
      <c r="OV107" s="8">
        <f t="shared" si="401"/>
        <v>138192.4066</v>
      </c>
      <c r="OW107" s="191">
        <f t="shared" si="402"/>
        <v>120</v>
      </c>
      <c r="OX107" s="192">
        <f t="shared" si="403"/>
        <v>0.00086835451348164</v>
      </c>
    </row>
    <row r="108" s="9" customFormat="1" ht="17" customHeight="1" spans="1:414">
      <c r="A108" s="212"/>
      <c r="B108" s="212"/>
      <c r="C108" s="425" t="s">
        <v>537</v>
      </c>
      <c r="D108" s="426">
        <v>7976029</v>
      </c>
      <c r="E108" s="426">
        <v>8410099</v>
      </c>
      <c r="F108" s="427">
        <v>-434070</v>
      </c>
      <c r="G108" s="428">
        <v>-0.0516</v>
      </c>
      <c r="H108" s="216">
        <f>(D108-D113)/D113</f>
        <v>-0.108914077888626</v>
      </c>
      <c r="I108" s="429"/>
      <c r="J108" s="429"/>
      <c r="K108" s="430" t="str">
        <f t="shared" si="212"/>
        <v>2026//1//16</v>
      </c>
      <c r="L108" s="426">
        <v>6241474</v>
      </c>
      <c r="M108" s="426">
        <v>6411394</v>
      </c>
      <c r="N108" s="427">
        <v>-169920</v>
      </c>
      <c r="O108" s="428">
        <v>-0.0265</v>
      </c>
      <c r="P108" s="216">
        <f>(L108-L113)/L113</f>
        <v>-0.0533846851973409</v>
      </c>
      <c r="Q108" s="429"/>
      <c r="R108" s="431"/>
      <c r="S108" s="430" t="str">
        <f t="shared" si="213"/>
        <v>2026//1//16</v>
      </c>
      <c r="T108" s="426">
        <v>5049247</v>
      </c>
      <c r="U108" s="426">
        <v>5298637</v>
      </c>
      <c r="V108" s="427">
        <v>-249390</v>
      </c>
      <c r="W108" s="428">
        <v>-0.0471</v>
      </c>
      <c r="X108" s="216">
        <f>(T108-T113)/T113</f>
        <v>-0.106313254359762</v>
      </c>
      <c r="Y108" s="429"/>
      <c r="Z108" s="431"/>
      <c r="AA108" s="430" t="str">
        <f t="shared" si="214"/>
        <v>2026//1//16</v>
      </c>
      <c r="AB108" s="426">
        <v>1762057</v>
      </c>
      <c r="AC108" s="426">
        <v>1872937</v>
      </c>
      <c r="AD108" s="427">
        <v>-110880</v>
      </c>
      <c r="AE108" s="428">
        <v>-0.0592</v>
      </c>
      <c r="AF108" s="216">
        <f>(AB108-AB113)/AB113</f>
        <v>-0.0973887101425742</v>
      </c>
      <c r="AG108" s="429"/>
      <c r="AH108" s="431"/>
      <c r="AI108" s="430" t="str">
        <f t="shared" si="215"/>
        <v>2026//1//16</v>
      </c>
      <c r="AJ108" s="426">
        <v>2532922</v>
      </c>
      <c r="AK108" s="430">
        <v>2655922</v>
      </c>
      <c r="AL108" s="427">
        <v>-123000</v>
      </c>
      <c r="AM108" s="428">
        <v>-0.0463</v>
      </c>
      <c r="AN108" s="216">
        <f>(AJ108-AJ113)/AJ113</f>
        <v>-0.0364435645914631</v>
      </c>
      <c r="AO108" s="216"/>
      <c r="AP108" s="431"/>
      <c r="AQ108" s="430" t="str">
        <f t="shared" si="216"/>
        <v>2026//1//16</v>
      </c>
      <c r="AR108" s="434">
        <v>2440545</v>
      </c>
      <c r="AS108" s="426">
        <v>2694245</v>
      </c>
      <c r="AT108" s="427">
        <v>-253700</v>
      </c>
      <c r="AU108" s="428">
        <v>-0.0942</v>
      </c>
      <c r="AV108" s="216">
        <f>(AR108-AR113)/AR113</f>
        <v>-0.226879269627417</v>
      </c>
      <c r="AW108" s="216"/>
      <c r="AX108" s="217"/>
      <c r="AY108" s="232">
        <v>4.9395</v>
      </c>
      <c r="AZ108" s="231" t="str">
        <f t="shared" si="217"/>
        <v>2026//1//16</v>
      </c>
      <c r="BA108" s="232">
        <v>3858412</v>
      </c>
      <c r="BB108" s="232">
        <f t="shared" si="279"/>
        <v>3993412</v>
      </c>
      <c r="BC108" s="232">
        <v>-135000</v>
      </c>
      <c r="BD108" s="314">
        <v>-0.0338</v>
      </c>
      <c r="BE108" s="216">
        <f>(BA108-BA113)/BA113</f>
        <v>-0.0572204607740034</v>
      </c>
      <c r="BF108" s="216"/>
      <c r="BG108" s="219"/>
      <c r="BH108" s="435" t="str">
        <f t="shared" si="218"/>
        <v>2026//1//16</v>
      </c>
      <c r="BI108" s="435">
        <v>509327</v>
      </c>
      <c r="BJ108" s="435">
        <v>418727</v>
      </c>
      <c r="BK108" s="436">
        <v>90600</v>
      </c>
      <c r="BL108" s="437">
        <v>0.2164</v>
      </c>
      <c r="BM108" s="223"/>
      <c r="BN108" s="224"/>
      <c r="BO108" s="438"/>
      <c r="BP108" s="439" t="str">
        <f t="shared" si="219"/>
        <v>2026//1//16</v>
      </c>
      <c r="BQ108" s="440">
        <v>1445162</v>
      </c>
      <c r="BR108" s="439">
        <v>1381162</v>
      </c>
      <c r="BS108" s="441">
        <v>64000</v>
      </c>
      <c r="BT108" s="442">
        <v>0.0463</v>
      </c>
      <c r="BU108" s="224"/>
      <c r="BV108" s="224"/>
      <c r="BW108" s="438"/>
      <c r="BX108" s="439" t="str">
        <f t="shared" si="220"/>
        <v>2026//1//16</v>
      </c>
      <c r="BY108" s="439">
        <v>2593461</v>
      </c>
      <c r="BZ108" s="439">
        <v>2540061</v>
      </c>
      <c r="CA108" s="441">
        <v>53400</v>
      </c>
      <c r="CB108" s="442">
        <v>0.021</v>
      </c>
      <c r="CC108" s="224"/>
      <c r="CD108" s="443"/>
      <c r="CE108" s="438"/>
      <c r="CF108" s="439" t="str">
        <f t="shared" si="221"/>
        <v>2026//1//16</v>
      </c>
      <c r="CG108" s="439">
        <v>1545504</v>
      </c>
      <c r="CH108" s="13">
        <f t="shared" si="289"/>
        <v>1463254</v>
      </c>
      <c r="CI108" s="13">
        <f t="shared" si="290"/>
        <v>82250</v>
      </c>
      <c r="CJ108" s="226">
        <f t="shared" si="291"/>
        <v>0.0562103366879571</v>
      </c>
      <c r="CK108" s="224"/>
      <c r="CL108" s="443"/>
      <c r="CM108" s="438"/>
      <c r="CN108" s="439" t="str">
        <f t="shared" si="222"/>
        <v>2026//1//16</v>
      </c>
      <c r="CO108" s="439">
        <v>646546</v>
      </c>
      <c r="CP108" s="439">
        <v>611046</v>
      </c>
      <c r="CQ108" s="13">
        <f t="shared" si="293"/>
        <v>35500</v>
      </c>
      <c r="CR108" s="226">
        <f t="shared" si="294"/>
        <v>0.0580970990727376</v>
      </c>
      <c r="CS108" s="443"/>
      <c r="CT108" s="443"/>
      <c r="CU108" s="438"/>
      <c r="CV108" s="439" t="str">
        <f t="shared" si="223"/>
        <v>2026//1//16</v>
      </c>
      <c r="CW108" s="439">
        <v>609090</v>
      </c>
      <c r="CX108" s="439">
        <v>609040</v>
      </c>
      <c r="CY108" s="441">
        <v>50</v>
      </c>
      <c r="CZ108" s="442">
        <v>0.0001</v>
      </c>
      <c r="DA108" s="224"/>
      <c r="DB108" s="224"/>
      <c r="DC108" s="276"/>
      <c r="DD108" s="439" t="str">
        <f t="shared" si="224"/>
        <v>2026//1//16</v>
      </c>
      <c r="DE108" s="439">
        <v>1775718</v>
      </c>
      <c r="DF108" s="13">
        <f t="shared" si="298"/>
        <v>1592918</v>
      </c>
      <c r="DG108" s="441">
        <v>91400</v>
      </c>
      <c r="DH108" s="442">
        <v>0.1148</v>
      </c>
      <c r="DI108" s="224"/>
      <c r="DJ108" s="224"/>
      <c r="DK108" s="438"/>
      <c r="DL108" s="439" t="str">
        <f t="shared" si="225"/>
        <v>2026//1//16</v>
      </c>
      <c r="DM108" s="439">
        <v>1268300</v>
      </c>
      <c r="DN108" s="439">
        <v>1247700</v>
      </c>
      <c r="DO108" s="441">
        <v>20600</v>
      </c>
      <c r="DP108" s="442">
        <v>0.0165</v>
      </c>
      <c r="DQ108" s="224"/>
      <c r="DR108" s="224"/>
      <c r="DS108" s="438"/>
      <c r="DT108" s="439" t="str">
        <f t="shared" si="226"/>
        <v>2026//1//16</v>
      </c>
      <c r="DU108" s="439">
        <v>1683689</v>
      </c>
      <c r="DV108" s="439">
        <v>1658789</v>
      </c>
      <c r="DW108" s="441">
        <v>24900</v>
      </c>
      <c r="DX108" s="442">
        <v>0.015</v>
      </c>
      <c r="DY108" s="224"/>
      <c r="DZ108" s="224"/>
      <c r="EA108" s="438"/>
      <c r="EB108" s="439" t="str">
        <f t="shared" si="227"/>
        <v>2026//1//16</v>
      </c>
      <c r="EC108" s="439">
        <v>5311617</v>
      </c>
      <c r="ED108" s="439">
        <v>5307567</v>
      </c>
      <c r="EE108" s="441">
        <v>4050</v>
      </c>
      <c r="EF108" s="442">
        <v>0.0008</v>
      </c>
      <c r="EG108" s="224"/>
      <c r="EH108" s="224"/>
      <c r="EI108" s="438"/>
      <c r="EJ108" s="439" t="str">
        <f t="shared" si="228"/>
        <v>2026//1//16</v>
      </c>
      <c r="EK108" s="439">
        <v>1537523</v>
      </c>
      <c r="EL108" s="439">
        <v>1501123</v>
      </c>
      <c r="EM108" s="441">
        <v>36400</v>
      </c>
      <c r="EN108" s="442">
        <v>0.0242</v>
      </c>
      <c r="EO108" s="224"/>
      <c r="EP108" s="224"/>
      <c r="EQ108" s="444"/>
      <c r="ER108" s="445" t="str">
        <f t="shared" si="229"/>
        <v>2026//1//16</v>
      </c>
      <c r="ES108" s="445">
        <v>507047</v>
      </c>
      <c r="ET108" s="445">
        <v>496397</v>
      </c>
      <c r="EU108" s="445">
        <v>10650</v>
      </c>
      <c r="EV108" s="446">
        <v>0.0215</v>
      </c>
      <c r="EW108" s="224"/>
      <c r="EX108" s="224"/>
      <c r="EY108" s="438"/>
      <c r="EZ108" s="439" t="str">
        <f t="shared" si="230"/>
        <v>2026//1//16</v>
      </c>
      <c r="FA108" s="439">
        <v>703808</v>
      </c>
      <c r="FB108" s="439">
        <v>716608</v>
      </c>
      <c r="FC108" s="447">
        <v>-12800</v>
      </c>
      <c r="FD108" s="448">
        <v>-0.0179</v>
      </c>
      <c r="FE108" s="224"/>
      <c r="FF108" s="224"/>
      <c r="FH108" s="439" t="str">
        <f t="shared" si="231"/>
        <v>2026//1//16</v>
      </c>
      <c r="FI108" s="440">
        <v>861895</v>
      </c>
      <c r="FJ108" s="439">
        <v>859195</v>
      </c>
      <c r="FK108" s="439">
        <v>2700</v>
      </c>
      <c r="FL108" s="443">
        <v>0.0031</v>
      </c>
      <c r="FM108" s="443"/>
      <c r="FN108" s="443"/>
      <c r="FO108" s="438"/>
      <c r="FP108" s="439" t="str">
        <f t="shared" si="232"/>
        <v>2026//1//16</v>
      </c>
      <c r="FQ108" s="439">
        <v>2359769</v>
      </c>
      <c r="FR108" s="439">
        <v>2369219</v>
      </c>
      <c r="FS108" s="447">
        <v>-9450</v>
      </c>
      <c r="FT108" s="448">
        <v>-0.004</v>
      </c>
      <c r="FU108" s="224"/>
      <c r="FV108" s="224"/>
      <c r="FW108" s="438"/>
      <c r="FX108" s="439" t="str">
        <f t="shared" si="233"/>
        <v>2026//1//16</v>
      </c>
      <c r="FY108" s="439">
        <v>7017482</v>
      </c>
      <c r="FZ108" s="439">
        <v>7017882</v>
      </c>
      <c r="GA108" s="447">
        <v>-400</v>
      </c>
      <c r="GB108" s="448">
        <v>-0.0001</v>
      </c>
      <c r="GC108" s="224"/>
      <c r="GD108" s="224"/>
      <c r="GE108" s="438"/>
      <c r="GF108" s="439" t="str">
        <f t="shared" si="234"/>
        <v>2026//1//16</v>
      </c>
      <c r="GG108" s="439">
        <v>4258869</v>
      </c>
      <c r="GH108" s="439">
        <v>4247269</v>
      </c>
      <c r="GI108" s="441">
        <v>11600</v>
      </c>
      <c r="GJ108" s="442">
        <v>0.0027</v>
      </c>
      <c r="GK108" s="224"/>
      <c r="GL108" s="224"/>
      <c r="GM108" s="438"/>
      <c r="GN108" s="439" t="str">
        <f t="shared" si="235"/>
        <v>2026//1//16</v>
      </c>
      <c r="GO108" s="439">
        <v>1654258</v>
      </c>
      <c r="GP108" s="439">
        <v>1643818</v>
      </c>
      <c r="GQ108" s="441">
        <v>10440</v>
      </c>
      <c r="GR108" s="442">
        <v>0.0064</v>
      </c>
      <c r="GS108" s="224"/>
      <c r="GT108" s="224"/>
      <c r="GU108" s="438"/>
      <c r="GV108" s="439" t="str">
        <f t="shared" si="236"/>
        <v>2026//1//16</v>
      </c>
      <c r="GW108" s="439">
        <v>1004349</v>
      </c>
      <c r="GX108" s="439">
        <v>1012749</v>
      </c>
      <c r="GY108" s="447">
        <v>-8400</v>
      </c>
      <c r="GZ108" s="448">
        <v>-0.0083</v>
      </c>
      <c r="HA108" s="224"/>
      <c r="HB108" s="224"/>
      <c r="HC108" s="438"/>
      <c r="HD108" s="439" t="str">
        <f t="shared" si="237"/>
        <v>2026//1//16</v>
      </c>
      <c r="HE108" s="439">
        <v>1288665</v>
      </c>
      <c r="HF108" s="439">
        <v>1275765</v>
      </c>
      <c r="HG108" s="441">
        <v>12900</v>
      </c>
      <c r="HH108" s="442">
        <v>0.0101</v>
      </c>
      <c r="HI108" s="443"/>
      <c r="HJ108" s="224"/>
      <c r="HK108" s="438"/>
      <c r="HL108" s="439" t="str">
        <f t="shared" si="238"/>
        <v>2026//1//16</v>
      </c>
      <c r="HM108" s="439">
        <v>141654</v>
      </c>
      <c r="HN108" s="439">
        <v>142504</v>
      </c>
      <c r="HO108" s="447">
        <v>-850</v>
      </c>
      <c r="HP108" s="448">
        <v>-0.006</v>
      </c>
      <c r="HQ108" s="224"/>
      <c r="HR108" s="224"/>
      <c r="HS108" s="438"/>
      <c r="HT108" s="439" t="str">
        <f t="shared" si="239"/>
        <v>2026//1//16</v>
      </c>
      <c r="HU108" s="439">
        <v>96069</v>
      </c>
      <c r="HV108" s="439">
        <v>96469</v>
      </c>
      <c r="HW108" s="447">
        <v>-400</v>
      </c>
      <c r="HX108" s="448">
        <v>-0.0041</v>
      </c>
      <c r="HY108" s="224"/>
      <c r="HZ108" s="224"/>
      <c r="IA108" s="438"/>
      <c r="IB108" s="439" t="str">
        <f t="shared" si="240"/>
        <v>2026//1//16</v>
      </c>
      <c r="IC108" s="227">
        <v>308184.79</v>
      </c>
      <c r="ID108" s="227">
        <v>305259.79</v>
      </c>
      <c r="IE108" s="441">
        <f t="shared" si="347"/>
        <v>2925</v>
      </c>
      <c r="IF108" s="442">
        <f t="shared" si="348"/>
        <v>0.00958200226764226</v>
      </c>
      <c r="IG108" s="443"/>
      <c r="IH108" s="224"/>
      <c r="II108" s="438"/>
      <c r="IJ108" s="439" t="str">
        <f t="shared" si="241"/>
        <v>2026//1//16</v>
      </c>
      <c r="IK108" s="439">
        <v>377676</v>
      </c>
      <c r="IL108" s="439">
        <v>360796</v>
      </c>
      <c r="IM108" s="441">
        <v>16880</v>
      </c>
      <c r="IN108" s="442">
        <v>0.0468</v>
      </c>
      <c r="IO108" s="224"/>
      <c r="IP108" s="224"/>
      <c r="IQ108" s="438"/>
      <c r="IR108" s="439" t="str">
        <f t="shared" si="242"/>
        <v>2026//1//16</v>
      </c>
      <c r="IS108" s="439">
        <v>146689</v>
      </c>
      <c r="IT108" s="439">
        <v>142789</v>
      </c>
      <c r="IU108" s="441">
        <v>3900</v>
      </c>
      <c r="IV108" s="442">
        <v>0.0273</v>
      </c>
      <c r="IW108" s="224"/>
      <c r="IX108" s="224"/>
      <c r="IY108" s="438"/>
      <c r="IZ108" s="439" t="str">
        <f t="shared" si="243"/>
        <v>2026//1//16</v>
      </c>
      <c r="JA108" s="439">
        <v>4772529</v>
      </c>
      <c r="JB108" s="439">
        <v>4723229</v>
      </c>
      <c r="JC108" s="441">
        <v>49300</v>
      </c>
      <c r="JD108" s="442">
        <v>0.0104</v>
      </c>
      <c r="JE108" s="224"/>
      <c r="JF108" s="224"/>
      <c r="JG108" s="438"/>
      <c r="JH108" s="439" t="str">
        <f t="shared" si="244"/>
        <v>2026//1//16</v>
      </c>
      <c r="JI108" s="439">
        <v>1433068</v>
      </c>
      <c r="JJ108" s="439">
        <v>1445728</v>
      </c>
      <c r="JK108" s="447">
        <v>-12660</v>
      </c>
      <c r="JL108" s="448">
        <v>-0.0088</v>
      </c>
      <c r="JM108" s="224"/>
      <c r="JN108" s="224"/>
      <c r="JP108" s="439" t="str">
        <f t="shared" si="245"/>
        <v>2026//1//16</v>
      </c>
      <c r="JQ108" s="439">
        <v>1135190</v>
      </c>
      <c r="JR108" s="439">
        <v>1136990</v>
      </c>
      <c r="JS108" s="447">
        <v>-1800</v>
      </c>
      <c r="JT108" s="448">
        <v>-0.0016</v>
      </c>
      <c r="JU108" s="224"/>
      <c r="JV108" s="443"/>
      <c r="JX108" s="439" t="str">
        <f t="shared" si="246"/>
        <v>2026//1//16</v>
      </c>
      <c r="JY108" s="439">
        <v>1376499</v>
      </c>
      <c r="JZ108" s="439">
        <v>1376599</v>
      </c>
      <c r="KA108" s="447">
        <v>-100</v>
      </c>
      <c r="KB108" s="448">
        <v>-0.0001</v>
      </c>
      <c r="KC108" s="224"/>
      <c r="KD108" s="443"/>
      <c r="KF108" s="439" t="str">
        <f t="shared" si="247"/>
        <v>2026//1//16</v>
      </c>
      <c r="KG108" s="439">
        <v>859356</v>
      </c>
      <c r="KH108" s="439">
        <v>865556</v>
      </c>
      <c r="KI108" s="447">
        <v>-6200</v>
      </c>
      <c r="KJ108" s="448">
        <v>-0.0072</v>
      </c>
      <c r="KK108" s="443"/>
      <c r="KL108" s="443"/>
      <c r="KM108" s="438"/>
      <c r="KN108" s="439" t="str">
        <f t="shared" si="248"/>
        <v>2026//1//16</v>
      </c>
      <c r="KO108" s="439">
        <v>6885076</v>
      </c>
      <c r="KP108" s="439">
        <v>6877976</v>
      </c>
      <c r="KQ108" s="441">
        <v>7100</v>
      </c>
      <c r="KR108" s="442">
        <v>0.001</v>
      </c>
      <c r="KS108" s="224"/>
      <c r="KT108" s="224"/>
      <c r="KU108" s="438"/>
      <c r="KV108" s="439" t="str">
        <f t="shared" si="249"/>
        <v>2026//1//16</v>
      </c>
      <c r="KW108" s="439">
        <v>1039973</v>
      </c>
      <c r="KX108" s="439">
        <v>1043973</v>
      </c>
      <c r="KY108" s="449">
        <v>-4000</v>
      </c>
      <c r="KZ108" s="450">
        <v>-0.0038</v>
      </c>
      <c r="LA108" s="443"/>
      <c r="LB108" s="224"/>
      <c r="LC108" s="438"/>
      <c r="LD108" s="439" t="str">
        <f t="shared" si="250"/>
        <v>2026//1//16</v>
      </c>
      <c r="LE108" s="439">
        <v>464108</v>
      </c>
      <c r="LF108" s="439">
        <v>467908</v>
      </c>
      <c r="LG108" s="447">
        <v>-3800</v>
      </c>
      <c r="LH108" s="448">
        <v>-0.0081</v>
      </c>
      <c r="LI108" s="224"/>
      <c r="LJ108" s="224"/>
      <c r="LK108" s="438"/>
      <c r="LL108" s="439" t="str">
        <f t="shared" si="251"/>
        <v>2026//1//16</v>
      </c>
      <c r="LM108" s="440">
        <v>3358195</v>
      </c>
      <c r="LN108" s="439">
        <v>3319135</v>
      </c>
      <c r="LO108" s="441">
        <v>39060</v>
      </c>
      <c r="LP108" s="442">
        <v>0.0118</v>
      </c>
      <c r="LQ108" s="224"/>
      <c r="LR108" s="224"/>
      <c r="LS108" s="438"/>
      <c r="LT108" s="439" t="str">
        <f t="shared" si="252"/>
        <v>2026//1//16</v>
      </c>
      <c r="LU108" s="439">
        <v>2966063</v>
      </c>
      <c r="LV108" s="439">
        <v>2918663</v>
      </c>
      <c r="LW108" s="441">
        <v>47400</v>
      </c>
      <c r="LX108" s="442">
        <v>0.0162</v>
      </c>
      <c r="LY108" s="224"/>
      <c r="LZ108" s="224"/>
      <c r="MA108" s="438"/>
      <c r="MB108" s="439" t="str">
        <f t="shared" si="253"/>
        <v>2026//1//16</v>
      </c>
      <c r="MC108" s="439">
        <v>759868</v>
      </c>
      <c r="MD108" s="439">
        <v>772068</v>
      </c>
      <c r="ME108" s="447">
        <v>-12200</v>
      </c>
      <c r="MF108" s="448">
        <v>-0.0158</v>
      </c>
      <c r="MG108" s="224"/>
      <c r="MH108" s="224"/>
      <c r="MI108" s="451"/>
      <c r="MJ108" s="445">
        <v>1.1476</v>
      </c>
      <c r="MK108" s="445" t="str">
        <f t="shared" si="254"/>
        <v>2026//1//16</v>
      </c>
      <c r="ML108" s="445">
        <v>291586</v>
      </c>
      <c r="MM108" s="13">
        <f t="shared" si="388"/>
        <v>299266</v>
      </c>
      <c r="MN108" s="445">
        <v>-7680</v>
      </c>
      <c r="MO108" s="446">
        <v>-0.0257</v>
      </c>
      <c r="MP108" s="224"/>
      <c r="MQ108" s="452"/>
      <c r="MR108" s="452"/>
      <c r="MS108" s="231">
        <v>1.2892</v>
      </c>
      <c r="MT108" s="316" t="str">
        <f t="shared" si="255"/>
        <v>2026//1//16</v>
      </c>
      <c r="MU108" s="231">
        <v>40515</v>
      </c>
      <c r="MV108" s="231">
        <f t="shared" si="391"/>
        <v>39215</v>
      </c>
      <c r="MW108" s="231">
        <v>1300</v>
      </c>
      <c r="MX108" s="317">
        <v>0.0332</v>
      </c>
      <c r="MY108" s="224"/>
      <c r="MZ108" s="224"/>
      <c r="NA108" s="224"/>
      <c r="NB108" s="231">
        <v>1.361</v>
      </c>
      <c r="NC108" s="231" t="str">
        <f t="shared" si="256"/>
        <v>2026//1//16</v>
      </c>
      <c r="ND108" s="231">
        <v>27691</v>
      </c>
      <c r="NE108" s="231">
        <f t="shared" si="392"/>
        <v>26691</v>
      </c>
      <c r="NF108" s="231">
        <v>1000</v>
      </c>
      <c r="NG108" s="317">
        <v>0.0375</v>
      </c>
      <c r="NH108" s="224"/>
      <c r="NI108" s="224"/>
      <c r="NJ108" s="224"/>
      <c r="NK108" s="224"/>
      <c r="NL108" s="232">
        <v>1.1424</v>
      </c>
      <c r="NM108" s="231" t="str">
        <f t="shared" si="257"/>
        <v>2026//1//16</v>
      </c>
      <c r="NN108" s="232">
        <v>2309911</v>
      </c>
      <c r="NO108" s="9">
        <f t="shared" si="393"/>
        <v>2274911</v>
      </c>
      <c r="NP108" s="232">
        <v>35000</v>
      </c>
      <c r="NQ108" s="314">
        <v>0.0154</v>
      </c>
      <c r="NR108" s="289"/>
      <c r="NS108" s="232">
        <v>1.058</v>
      </c>
      <c r="NT108" s="290"/>
      <c r="NU108" s="231" t="str">
        <f t="shared" si="258"/>
        <v>2026//1//16</v>
      </c>
      <c r="NV108" s="232">
        <v>234576</v>
      </c>
      <c r="NW108" s="232">
        <f t="shared" si="394"/>
        <v>234676</v>
      </c>
      <c r="NX108" s="232">
        <v>-100</v>
      </c>
      <c r="NY108" s="314">
        <v>-0.0004</v>
      </c>
      <c r="NZ108" s="443"/>
      <c r="OA108" s="438"/>
      <c r="OB108" s="438"/>
      <c r="OC108" s="439" t="str">
        <f t="shared" si="259"/>
        <v>2026//1//16</v>
      </c>
      <c r="OD108" s="439">
        <v>13607</v>
      </c>
      <c r="OE108" s="439">
        <v>13657</v>
      </c>
      <c r="OF108" s="447">
        <v>-50</v>
      </c>
      <c r="OG108" s="448">
        <v>-0.0037</v>
      </c>
      <c r="OH108" s="224"/>
      <c r="OI108" s="224"/>
      <c r="OJ108" s="438"/>
      <c r="OK108" s="439" t="str">
        <f t="shared" si="260"/>
        <v>2026//1//16</v>
      </c>
      <c r="OO108" s="224"/>
      <c r="OP108" s="224"/>
      <c r="OQ108" s="224"/>
      <c r="OT108" s="234" t="str">
        <f t="shared" si="211"/>
        <v>2026//1//16</v>
      </c>
      <c r="OU108" s="206">
        <v>138192.4066</v>
      </c>
      <c r="OV108" s="8">
        <f t="shared" si="401"/>
        <v>138072.4066</v>
      </c>
      <c r="OW108" s="191">
        <f t="shared" si="402"/>
        <v>120</v>
      </c>
      <c r="OX108" s="192">
        <f t="shared" si="403"/>
        <v>0.00086910920838545</v>
      </c>
    </row>
    <row r="109" s="8" customFormat="1" ht="17" customHeight="1" spans="1:414">
      <c r="A109" s="15"/>
      <c r="B109" s="15"/>
      <c r="C109" s="385" t="s">
        <v>538</v>
      </c>
      <c r="D109" s="395">
        <v>8410099</v>
      </c>
      <c r="E109" s="395">
        <v>8824279</v>
      </c>
      <c r="F109" s="403">
        <v>-414180</v>
      </c>
      <c r="G109" s="404">
        <v>-0.0469</v>
      </c>
      <c r="H109" s="18"/>
      <c r="I109" s="453"/>
      <c r="J109" s="453"/>
      <c r="K109" s="386" t="str">
        <f t="shared" si="212"/>
        <v>2026//1//15</v>
      </c>
      <c r="L109" s="395">
        <v>6411394</v>
      </c>
      <c r="M109" s="395">
        <v>6550534</v>
      </c>
      <c r="N109" s="403">
        <v>-139140</v>
      </c>
      <c r="O109" s="404">
        <v>-0.0212</v>
      </c>
      <c r="P109" s="18"/>
      <c r="Q109" s="453"/>
      <c r="R109" s="454"/>
      <c r="S109" s="386" t="str">
        <f t="shared" si="213"/>
        <v>2026//1//15</v>
      </c>
      <c r="T109" s="395">
        <v>5298637</v>
      </c>
      <c r="U109" s="395">
        <v>5583307</v>
      </c>
      <c r="V109" s="403">
        <v>-284670</v>
      </c>
      <c r="W109" s="404">
        <v>-0.051</v>
      </c>
      <c r="X109" s="18"/>
      <c r="Y109" s="453"/>
      <c r="Z109" s="454"/>
      <c r="AA109" s="386" t="str">
        <f t="shared" si="214"/>
        <v>2026//1//15</v>
      </c>
      <c r="AB109" s="395">
        <v>1872937</v>
      </c>
      <c r="AC109" s="395">
        <v>1956297</v>
      </c>
      <c r="AD109" s="403">
        <v>-83360</v>
      </c>
      <c r="AE109" s="404">
        <v>-0.0426</v>
      </c>
      <c r="AF109" s="18"/>
      <c r="AG109" s="453"/>
      <c r="AH109" s="454"/>
      <c r="AI109" s="386" t="str">
        <f t="shared" si="215"/>
        <v>2026//1//15</v>
      </c>
      <c r="AJ109" s="395">
        <v>2655922</v>
      </c>
      <c r="AK109" s="386">
        <v>2689522</v>
      </c>
      <c r="AL109" s="403">
        <v>-33600</v>
      </c>
      <c r="AM109" s="404">
        <v>-0.0125</v>
      </c>
      <c r="AN109" s="18"/>
      <c r="AO109" s="18"/>
      <c r="AP109" s="454"/>
      <c r="AQ109" s="386" t="str">
        <f t="shared" si="216"/>
        <v>2026//1//15</v>
      </c>
      <c r="AR109" s="418">
        <v>2694245</v>
      </c>
      <c r="AS109" s="395">
        <v>2965445</v>
      </c>
      <c r="AT109" s="403">
        <v>-271200</v>
      </c>
      <c r="AU109" s="404">
        <v>-0.0915</v>
      </c>
      <c r="AV109" s="18"/>
      <c r="AW109" s="18"/>
      <c r="AX109" s="17"/>
      <c r="AY109" s="205">
        <v>4.9574</v>
      </c>
      <c r="AZ109" s="204" t="str">
        <f t="shared" si="217"/>
        <v>2026//1//15</v>
      </c>
      <c r="BA109" s="205">
        <v>3993412</v>
      </c>
      <c r="BB109" s="205">
        <f t="shared" si="279"/>
        <v>4083052</v>
      </c>
      <c r="BC109" s="205">
        <v>-89640</v>
      </c>
      <c r="BD109" s="292">
        <v>-0.022</v>
      </c>
      <c r="BE109" s="18"/>
      <c r="BF109" s="18"/>
      <c r="BG109" s="74"/>
      <c r="BH109" s="387" t="str">
        <f t="shared" si="218"/>
        <v>2026//1//15</v>
      </c>
      <c r="BI109" s="387">
        <v>418727</v>
      </c>
      <c r="BJ109" s="387">
        <v>383327</v>
      </c>
      <c r="BK109" s="421">
        <v>35400</v>
      </c>
      <c r="BL109" s="422">
        <v>0.0923</v>
      </c>
      <c r="BM109" s="197"/>
      <c r="BN109" s="192"/>
      <c r="BO109" s="389"/>
      <c r="BP109" s="390" t="str">
        <f t="shared" si="219"/>
        <v>2026//1//15</v>
      </c>
      <c r="BQ109" s="392">
        <v>1381162</v>
      </c>
      <c r="BR109" s="390">
        <v>1292662</v>
      </c>
      <c r="BS109" s="416">
        <v>88500</v>
      </c>
      <c r="BT109" s="417">
        <v>0.0685</v>
      </c>
      <c r="BU109" s="192"/>
      <c r="BV109" s="192"/>
      <c r="BW109" s="389"/>
      <c r="BX109" s="390" t="str">
        <f t="shared" si="220"/>
        <v>2026//1//15</v>
      </c>
      <c r="BY109" s="390">
        <v>2540061</v>
      </c>
      <c r="BZ109" s="390">
        <v>2494611</v>
      </c>
      <c r="CA109" s="416">
        <v>45450</v>
      </c>
      <c r="CB109" s="417">
        <v>0.0182</v>
      </c>
      <c r="CC109" s="192"/>
      <c r="CD109" s="409"/>
      <c r="CE109" s="389"/>
      <c r="CF109" s="390" t="str">
        <f t="shared" si="221"/>
        <v>2026//1//15</v>
      </c>
      <c r="CG109" s="390">
        <v>1463254</v>
      </c>
      <c r="CH109" s="12">
        <f t="shared" si="289"/>
        <v>1418404</v>
      </c>
      <c r="CI109" s="12">
        <f t="shared" si="290"/>
        <v>44850</v>
      </c>
      <c r="CJ109" s="199">
        <f t="shared" si="291"/>
        <v>0.0316200461927631</v>
      </c>
      <c r="CK109" s="192"/>
      <c r="CL109" s="391"/>
      <c r="CM109" s="389"/>
      <c r="CN109" s="390" t="str">
        <f t="shared" si="222"/>
        <v>2026//1//15</v>
      </c>
      <c r="CO109" s="390">
        <v>611046</v>
      </c>
      <c r="CP109" s="390">
        <v>570146</v>
      </c>
      <c r="CQ109" s="12">
        <f t="shared" si="293"/>
        <v>40900</v>
      </c>
      <c r="CR109" s="199">
        <f t="shared" si="294"/>
        <v>0.0717360114777618</v>
      </c>
      <c r="CS109" s="391"/>
      <c r="CT109" s="391"/>
      <c r="CU109" s="389"/>
      <c r="CV109" s="390" t="str">
        <f t="shared" si="223"/>
        <v>2026//1//15</v>
      </c>
      <c r="CW109" s="390">
        <v>609040</v>
      </c>
      <c r="CX109" s="390">
        <v>615840</v>
      </c>
      <c r="CY109" s="414">
        <v>-6800</v>
      </c>
      <c r="CZ109" s="415">
        <v>-0.011</v>
      </c>
      <c r="DA109" s="192"/>
      <c r="DB109" s="192"/>
      <c r="DC109" s="277"/>
      <c r="DD109" s="390" t="str">
        <f t="shared" si="224"/>
        <v>2026//1//15</v>
      </c>
      <c r="DE109" s="390">
        <v>1592918</v>
      </c>
      <c r="DF109" s="12">
        <f t="shared" si="298"/>
        <v>1491118</v>
      </c>
      <c r="DG109" s="416">
        <v>50900</v>
      </c>
      <c r="DH109" s="417">
        <v>0.0683</v>
      </c>
      <c r="DI109" s="192"/>
      <c r="DJ109" s="192"/>
      <c r="DK109" s="389"/>
      <c r="DL109" s="390" t="str">
        <f t="shared" si="225"/>
        <v>2026//1//15</v>
      </c>
      <c r="DM109" s="390">
        <v>1247700</v>
      </c>
      <c r="DN109" s="390">
        <v>1258700</v>
      </c>
      <c r="DO109" s="414">
        <v>-11000</v>
      </c>
      <c r="DP109" s="415">
        <v>-0.0087</v>
      </c>
      <c r="DQ109" s="192"/>
      <c r="DR109" s="192"/>
      <c r="DS109" s="389"/>
      <c r="DT109" s="390" t="str">
        <f t="shared" si="226"/>
        <v>2026//1//15</v>
      </c>
      <c r="DU109" s="390">
        <v>1658789</v>
      </c>
      <c r="DV109" s="390">
        <v>1653389</v>
      </c>
      <c r="DW109" s="416">
        <v>5400</v>
      </c>
      <c r="DX109" s="417">
        <v>0.0033</v>
      </c>
      <c r="DY109" s="192"/>
      <c r="DZ109" s="192"/>
      <c r="EA109" s="389"/>
      <c r="EB109" s="390" t="str">
        <f t="shared" si="227"/>
        <v>2026//1//15</v>
      </c>
      <c r="EC109" s="390">
        <v>5307567</v>
      </c>
      <c r="ED109" s="390">
        <v>5294067</v>
      </c>
      <c r="EE109" s="416">
        <v>13500</v>
      </c>
      <c r="EF109" s="417">
        <v>0.0026</v>
      </c>
      <c r="EG109" s="192"/>
      <c r="EH109" s="192"/>
      <c r="EI109" s="389"/>
      <c r="EJ109" s="390" t="str">
        <f t="shared" si="228"/>
        <v>2026//1//15</v>
      </c>
      <c r="EK109" s="390">
        <v>1501123</v>
      </c>
      <c r="EL109" s="390">
        <v>1498723</v>
      </c>
      <c r="EM109" s="416">
        <v>2400</v>
      </c>
      <c r="EN109" s="417">
        <v>0.0016</v>
      </c>
      <c r="EO109" s="192"/>
      <c r="EP109" s="192"/>
      <c r="EQ109" s="340"/>
      <c r="ER109" s="341" t="str">
        <f t="shared" si="229"/>
        <v>2026//1//15</v>
      </c>
      <c r="ES109" s="341">
        <v>496397</v>
      </c>
      <c r="ET109" s="341">
        <v>492047</v>
      </c>
      <c r="EU109" s="341">
        <v>4350</v>
      </c>
      <c r="EV109" s="350">
        <v>0.0088</v>
      </c>
      <c r="EW109" s="192"/>
      <c r="EX109" s="192"/>
      <c r="EY109" s="389"/>
      <c r="EZ109" s="390" t="str">
        <f t="shared" si="230"/>
        <v>2026//1//15</v>
      </c>
      <c r="FA109" s="390">
        <v>716608</v>
      </c>
      <c r="FB109" s="390">
        <v>720608</v>
      </c>
      <c r="FC109" s="414">
        <v>-4000</v>
      </c>
      <c r="FD109" s="415">
        <v>-0.0056</v>
      </c>
      <c r="FE109" s="192"/>
      <c r="FF109" s="192"/>
      <c r="FH109" s="390" t="str">
        <f t="shared" si="231"/>
        <v>2026//1//15</v>
      </c>
      <c r="FI109" s="392">
        <v>859195</v>
      </c>
      <c r="FJ109" s="390">
        <v>863195</v>
      </c>
      <c r="FK109" s="346">
        <v>-4000</v>
      </c>
      <c r="FL109" s="347">
        <v>-0.0046</v>
      </c>
      <c r="FM109" s="391"/>
      <c r="FN109" s="391"/>
      <c r="FO109" s="389"/>
      <c r="FP109" s="390" t="str">
        <f t="shared" si="232"/>
        <v>2026//1//15</v>
      </c>
      <c r="FQ109" s="390">
        <v>2369219</v>
      </c>
      <c r="FR109" s="390">
        <v>2388419</v>
      </c>
      <c r="FS109" s="414">
        <v>-19200</v>
      </c>
      <c r="FT109" s="415">
        <v>-0.008</v>
      </c>
      <c r="FU109" s="192"/>
      <c r="FV109" s="192"/>
      <c r="FW109" s="389"/>
      <c r="FX109" s="390" t="str">
        <f t="shared" si="233"/>
        <v>2026//1//15</v>
      </c>
      <c r="FY109" s="390">
        <v>7017882</v>
      </c>
      <c r="FZ109" s="390">
        <v>7077982</v>
      </c>
      <c r="GA109" s="414">
        <v>-60100</v>
      </c>
      <c r="GB109" s="415">
        <v>-0.0085</v>
      </c>
      <c r="GC109" s="192"/>
      <c r="GD109" s="192"/>
      <c r="GE109" s="389"/>
      <c r="GF109" s="390" t="str">
        <f t="shared" si="234"/>
        <v>2026//1//15</v>
      </c>
      <c r="GG109" s="390">
        <v>4247269</v>
      </c>
      <c r="GH109" s="390">
        <v>4258069</v>
      </c>
      <c r="GI109" s="414">
        <v>-10800</v>
      </c>
      <c r="GJ109" s="415">
        <v>-0.0025</v>
      </c>
      <c r="GK109" s="192"/>
      <c r="GL109" s="192"/>
      <c r="GM109" s="389"/>
      <c r="GN109" s="390" t="str">
        <f t="shared" si="235"/>
        <v>2026//1//15</v>
      </c>
      <c r="GO109" s="390">
        <v>1643818</v>
      </c>
      <c r="GP109" s="390">
        <v>1644538</v>
      </c>
      <c r="GQ109" s="414">
        <v>-720</v>
      </c>
      <c r="GR109" s="415">
        <v>-0.0004</v>
      </c>
      <c r="GS109" s="192"/>
      <c r="GT109" s="192"/>
      <c r="GU109" s="389"/>
      <c r="GV109" s="390" t="str">
        <f t="shared" si="236"/>
        <v>2026//1//15</v>
      </c>
      <c r="GW109" s="390">
        <v>1012749</v>
      </c>
      <c r="GX109" s="390">
        <v>1022749</v>
      </c>
      <c r="GY109" s="414">
        <v>-10000</v>
      </c>
      <c r="GZ109" s="415">
        <v>-0.0098</v>
      </c>
      <c r="HA109" s="192"/>
      <c r="HB109" s="192"/>
      <c r="HC109" s="389"/>
      <c r="HD109" s="390" t="str">
        <f t="shared" si="237"/>
        <v>2026//1//15</v>
      </c>
      <c r="HE109" s="390">
        <v>1275765</v>
      </c>
      <c r="HF109" s="390">
        <v>1278565</v>
      </c>
      <c r="HG109" s="414">
        <v>-2800</v>
      </c>
      <c r="HH109" s="415">
        <v>-0.0022</v>
      </c>
      <c r="HI109" s="391"/>
      <c r="HJ109" s="192"/>
      <c r="HK109" s="389"/>
      <c r="HL109" s="390" t="str">
        <f t="shared" si="238"/>
        <v>2026//1//15</v>
      </c>
      <c r="HM109" s="390">
        <v>142504</v>
      </c>
      <c r="HN109" s="390">
        <v>145104</v>
      </c>
      <c r="HO109" s="414">
        <v>-2600</v>
      </c>
      <c r="HP109" s="415">
        <v>-0.0179</v>
      </c>
      <c r="HQ109" s="192"/>
      <c r="HR109" s="192"/>
      <c r="HS109" s="389"/>
      <c r="HT109" s="390" t="str">
        <f t="shared" si="239"/>
        <v>2026//1//15</v>
      </c>
      <c r="HU109" s="390">
        <v>96469</v>
      </c>
      <c r="HV109" s="390">
        <v>99069</v>
      </c>
      <c r="HW109" s="414">
        <v>-2600</v>
      </c>
      <c r="HX109" s="415">
        <v>-0.0262</v>
      </c>
      <c r="HY109" s="192"/>
      <c r="HZ109" s="192"/>
      <c r="IA109" s="389"/>
      <c r="IB109" s="390" t="str">
        <f t="shared" si="240"/>
        <v>2026//1//15</v>
      </c>
      <c r="IC109" s="200">
        <v>305259.79</v>
      </c>
      <c r="ID109" s="200">
        <v>298684.79</v>
      </c>
      <c r="IE109" s="348">
        <f t="shared" si="347"/>
        <v>6575</v>
      </c>
      <c r="IF109" s="349">
        <f t="shared" si="348"/>
        <v>0.0220131731515354</v>
      </c>
      <c r="IG109" s="391"/>
      <c r="IH109" s="192"/>
      <c r="II109" s="389"/>
      <c r="IJ109" s="390" t="str">
        <f t="shared" si="241"/>
        <v>2026//1//15</v>
      </c>
      <c r="IK109" s="390">
        <v>360796</v>
      </c>
      <c r="IL109" s="390">
        <v>360636</v>
      </c>
      <c r="IM109" s="416">
        <v>160</v>
      </c>
      <c r="IN109" s="417">
        <v>0.0004</v>
      </c>
      <c r="IO109" s="192"/>
      <c r="IP109" s="192"/>
      <c r="IQ109" s="389"/>
      <c r="IR109" s="390" t="str">
        <f t="shared" si="242"/>
        <v>2026//1//15</v>
      </c>
      <c r="IS109" s="390">
        <v>142789</v>
      </c>
      <c r="IT109" s="390">
        <v>135689</v>
      </c>
      <c r="IU109" s="416">
        <v>7100</v>
      </c>
      <c r="IV109" s="417">
        <v>0.0523</v>
      </c>
      <c r="IW109" s="192"/>
      <c r="IX109" s="192"/>
      <c r="IY109" s="389"/>
      <c r="IZ109" s="390" t="str">
        <f t="shared" si="243"/>
        <v>2026//1//15</v>
      </c>
      <c r="JA109" s="390">
        <v>4723229</v>
      </c>
      <c r="JB109" s="390">
        <v>4660229</v>
      </c>
      <c r="JC109" s="416">
        <v>63000</v>
      </c>
      <c r="JD109" s="417">
        <v>0.0135</v>
      </c>
      <c r="JE109" s="192"/>
      <c r="JF109" s="192"/>
      <c r="JG109" s="389"/>
      <c r="JH109" s="390" t="str">
        <f t="shared" si="244"/>
        <v>2026//1//15</v>
      </c>
      <c r="JI109" s="390">
        <v>1445728</v>
      </c>
      <c r="JJ109" s="390">
        <v>1475248</v>
      </c>
      <c r="JK109" s="414">
        <v>-29520</v>
      </c>
      <c r="JL109" s="415">
        <v>-0.02</v>
      </c>
      <c r="JM109" s="192"/>
      <c r="JN109" s="192"/>
      <c r="JP109" s="390" t="str">
        <f t="shared" si="245"/>
        <v>2026//1//15</v>
      </c>
      <c r="JQ109" s="390">
        <v>1136990</v>
      </c>
      <c r="JR109" s="390">
        <v>1139290</v>
      </c>
      <c r="JS109" s="414">
        <v>-2300</v>
      </c>
      <c r="JT109" s="415">
        <v>-0.002</v>
      </c>
      <c r="JU109" s="192"/>
      <c r="JV109" s="409"/>
      <c r="JX109" s="390" t="str">
        <f t="shared" si="246"/>
        <v>2026//1//15</v>
      </c>
      <c r="JY109" s="390">
        <v>1376599</v>
      </c>
      <c r="JZ109" s="390">
        <v>1378399</v>
      </c>
      <c r="KA109" s="414">
        <v>-1800</v>
      </c>
      <c r="KB109" s="415">
        <v>-0.0013</v>
      </c>
      <c r="KC109" s="192"/>
      <c r="KD109" s="409"/>
      <c r="KF109" s="390" t="str">
        <f t="shared" si="247"/>
        <v>2026//1//15</v>
      </c>
      <c r="KG109" s="390">
        <v>865556</v>
      </c>
      <c r="KH109" s="390">
        <v>865556</v>
      </c>
      <c r="KI109" s="410">
        <v>0</v>
      </c>
      <c r="KJ109" s="409">
        <v>0</v>
      </c>
      <c r="KK109" s="391"/>
      <c r="KL109" s="391"/>
      <c r="KM109" s="389"/>
      <c r="KN109" s="390" t="str">
        <f t="shared" si="248"/>
        <v>2026//1//15</v>
      </c>
      <c r="KO109" s="390">
        <v>6877976</v>
      </c>
      <c r="KP109" s="390">
        <v>6870076</v>
      </c>
      <c r="KQ109" s="416">
        <v>7900</v>
      </c>
      <c r="KR109" s="417">
        <v>0.0011</v>
      </c>
      <c r="KS109" s="192"/>
      <c r="KT109" s="192"/>
      <c r="KU109" s="389"/>
      <c r="KV109" s="390" t="str">
        <f t="shared" si="249"/>
        <v>2026//1//15</v>
      </c>
      <c r="KW109" s="390">
        <v>1043973</v>
      </c>
      <c r="KX109" s="390">
        <v>1046173</v>
      </c>
      <c r="KY109" s="346">
        <v>-2200</v>
      </c>
      <c r="KZ109" s="347">
        <v>-0.0021</v>
      </c>
      <c r="LA109" s="391"/>
      <c r="LB109" s="192"/>
      <c r="LC109" s="389"/>
      <c r="LD109" s="390" t="str">
        <f t="shared" si="250"/>
        <v>2026//1//15</v>
      </c>
      <c r="LE109" s="390">
        <v>467908</v>
      </c>
      <c r="LF109" s="390">
        <v>464858</v>
      </c>
      <c r="LG109" s="416">
        <v>3050</v>
      </c>
      <c r="LH109" s="417">
        <v>0.0066</v>
      </c>
      <c r="LI109" s="192"/>
      <c r="LJ109" s="192"/>
      <c r="LK109" s="389"/>
      <c r="LL109" s="390" t="str">
        <f t="shared" si="251"/>
        <v>2026//1//15</v>
      </c>
      <c r="LM109" s="392">
        <v>3319135</v>
      </c>
      <c r="LN109" s="390">
        <v>3306535</v>
      </c>
      <c r="LO109" s="416">
        <v>12600</v>
      </c>
      <c r="LP109" s="417">
        <v>0.0038</v>
      </c>
      <c r="LQ109" s="192"/>
      <c r="LR109" s="192"/>
      <c r="LS109" s="389"/>
      <c r="LT109" s="390" t="str">
        <f t="shared" si="252"/>
        <v>2026//1//15</v>
      </c>
      <c r="LU109" s="390">
        <v>2918663</v>
      </c>
      <c r="LV109" s="390">
        <v>2909263</v>
      </c>
      <c r="LW109" s="416">
        <v>9400</v>
      </c>
      <c r="LX109" s="417">
        <v>0.0032</v>
      </c>
      <c r="LY109" s="192"/>
      <c r="LZ109" s="192"/>
      <c r="MA109" s="389"/>
      <c r="MB109" s="390" t="str">
        <f t="shared" si="253"/>
        <v>2026//1//15</v>
      </c>
      <c r="MC109" s="390">
        <v>772068</v>
      </c>
      <c r="MD109" s="390">
        <v>789968</v>
      </c>
      <c r="ME109" s="414">
        <v>-17900</v>
      </c>
      <c r="MF109" s="415">
        <v>-0.0227</v>
      </c>
      <c r="MG109" s="192"/>
      <c r="MH109" s="192"/>
      <c r="MI109" s="342"/>
      <c r="MJ109" s="341">
        <v>1.1588</v>
      </c>
      <c r="MK109" s="341" t="str">
        <f t="shared" si="254"/>
        <v>2026//1//15</v>
      </c>
      <c r="ML109" s="341">
        <v>299266</v>
      </c>
      <c r="MM109" s="12">
        <f t="shared" si="388"/>
        <v>302866</v>
      </c>
      <c r="MN109" s="341">
        <v>-3600</v>
      </c>
      <c r="MO109" s="350">
        <v>-0.0119</v>
      </c>
      <c r="MP109" s="192"/>
      <c r="MQ109" s="394"/>
      <c r="MR109" s="394"/>
      <c r="MS109" s="204">
        <v>1.3089</v>
      </c>
      <c r="MT109" s="295" t="str">
        <f t="shared" si="255"/>
        <v>2026//1//15</v>
      </c>
      <c r="MU109" s="204">
        <v>39215</v>
      </c>
      <c r="MV109" s="204">
        <f t="shared" si="391"/>
        <v>32315</v>
      </c>
      <c r="MW109" s="204">
        <v>6900</v>
      </c>
      <c r="MX109" s="296">
        <v>0.2135</v>
      </c>
      <c r="MY109" s="192"/>
      <c r="MZ109" s="192"/>
      <c r="NA109" s="192"/>
      <c r="NB109" s="204">
        <v>1.368</v>
      </c>
      <c r="NC109" s="204" t="str">
        <f t="shared" si="256"/>
        <v>2026//1//15</v>
      </c>
      <c r="ND109" s="204">
        <v>26691</v>
      </c>
      <c r="NE109" s="204">
        <f t="shared" si="392"/>
        <v>26491</v>
      </c>
      <c r="NF109" s="204">
        <v>200</v>
      </c>
      <c r="NG109" s="296">
        <v>0.0075</v>
      </c>
      <c r="NH109" s="192"/>
      <c r="NI109" s="192"/>
      <c r="NJ109" s="192"/>
      <c r="NK109" s="192"/>
      <c r="NL109" s="205">
        <v>1.1519</v>
      </c>
      <c r="NM109" s="204" t="str">
        <f t="shared" si="257"/>
        <v>2026//1//15</v>
      </c>
      <c r="NN109" s="205">
        <v>2274911</v>
      </c>
      <c r="NO109" s="8">
        <f t="shared" si="393"/>
        <v>2266511</v>
      </c>
      <c r="NP109" s="205">
        <v>8400</v>
      </c>
      <c r="NQ109" s="292">
        <v>0.0037</v>
      </c>
      <c r="NR109" s="293"/>
      <c r="NS109" s="205">
        <v>1.0641</v>
      </c>
      <c r="NT109" s="294"/>
      <c r="NU109" s="204" t="str">
        <f t="shared" si="258"/>
        <v>2026//1//15</v>
      </c>
      <c r="NV109" s="205">
        <v>234676</v>
      </c>
      <c r="NW109" s="205">
        <f t="shared" si="394"/>
        <v>233926</v>
      </c>
      <c r="NX109" s="205">
        <v>750</v>
      </c>
      <c r="NY109" s="292">
        <v>0.0032</v>
      </c>
      <c r="NZ109" s="391"/>
      <c r="OA109" s="389"/>
      <c r="OB109" s="389"/>
      <c r="OC109" s="390" t="str">
        <f t="shared" si="259"/>
        <v>2026//1//15</v>
      </c>
      <c r="OD109" s="390">
        <v>13657</v>
      </c>
      <c r="OE109" s="390">
        <v>13734</v>
      </c>
      <c r="OF109" s="414">
        <v>-77</v>
      </c>
      <c r="OG109" s="415">
        <v>-0.0056</v>
      </c>
      <c r="OH109" s="192"/>
      <c r="OI109" s="192"/>
      <c r="OJ109" s="389"/>
      <c r="OK109" s="390" t="str">
        <f t="shared" si="260"/>
        <v>2026//1//15</v>
      </c>
      <c r="OO109" s="192"/>
      <c r="OP109" s="192"/>
      <c r="OQ109" s="192"/>
      <c r="OT109" s="234" t="str">
        <f t="shared" si="211"/>
        <v>2026//1//15</v>
      </c>
      <c r="OU109" s="206">
        <v>138072.4066</v>
      </c>
      <c r="OV109" s="8">
        <f t="shared" si="401"/>
        <v>137952.4066</v>
      </c>
      <c r="OW109" s="191">
        <f t="shared" si="402"/>
        <v>120</v>
      </c>
      <c r="OX109" s="192">
        <f t="shared" si="403"/>
        <v>0.000869865216254952</v>
      </c>
    </row>
    <row r="110" s="8" customFormat="1" ht="17" customHeight="1" spans="1:414">
      <c r="A110" s="15"/>
      <c r="B110" s="15"/>
      <c r="C110" s="385" t="s">
        <v>539</v>
      </c>
      <c r="D110" s="395">
        <v>8824279</v>
      </c>
      <c r="E110" s="395">
        <v>8881969</v>
      </c>
      <c r="F110" s="403">
        <v>-57690</v>
      </c>
      <c r="G110" s="404">
        <v>-0.0065</v>
      </c>
      <c r="H110" s="18"/>
      <c r="I110" s="453"/>
      <c r="J110" s="453"/>
      <c r="K110" s="386" t="str">
        <f t="shared" si="212"/>
        <v>2026//1//14</v>
      </c>
      <c r="L110" s="395">
        <v>6550534</v>
      </c>
      <c r="M110" s="395">
        <v>6571054</v>
      </c>
      <c r="N110" s="403">
        <v>-20520</v>
      </c>
      <c r="O110" s="404">
        <v>-0.0031</v>
      </c>
      <c r="P110" s="18"/>
      <c r="Q110" s="453"/>
      <c r="R110" s="454"/>
      <c r="S110" s="386" t="str">
        <f t="shared" si="213"/>
        <v>2026//1//14</v>
      </c>
      <c r="T110" s="395">
        <v>5583307</v>
      </c>
      <c r="U110" s="395">
        <v>5588797</v>
      </c>
      <c r="V110" s="403">
        <v>-5490</v>
      </c>
      <c r="W110" s="404">
        <v>-0.001</v>
      </c>
      <c r="X110" s="18"/>
      <c r="Y110" s="453"/>
      <c r="Z110" s="454"/>
      <c r="AA110" s="386" t="str">
        <f t="shared" si="214"/>
        <v>2026//1//14</v>
      </c>
      <c r="AB110" s="395">
        <v>1956297</v>
      </c>
      <c r="AC110" s="395">
        <v>1953937</v>
      </c>
      <c r="AD110" s="459">
        <v>2360</v>
      </c>
      <c r="AE110" s="460">
        <v>0.0012</v>
      </c>
      <c r="AF110" s="18"/>
      <c r="AG110" s="453"/>
      <c r="AH110" s="454"/>
      <c r="AI110" s="386" t="str">
        <f t="shared" si="215"/>
        <v>2026//1//14</v>
      </c>
      <c r="AJ110" s="395">
        <v>2689522</v>
      </c>
      <c r="AK110" s="386">
        <v>2695922</v>
      </c>
      <c r="AL110" s="403">
        <v>-6400</v>
      </c>
      <c r="AM110" s="404">
        <v>-0.0024</v>
      </c>
      <c r="AN110" s="18"/>
      <c r="AO110" s="18"/>
      <c r="AP110" s="454"/>
      <c r="AQ110" s="386" t="str">
        <f t="shared" si="216"/>
        <v>2026//1//14</v>
      </c>
      <c r="AR110" s="418">
        <v>2965445</v>
      </c>
      <c r="AS110" s="395">
        <v>3071945</v>
      </c>
      <c r="AT110" s="403">
        <v>-106500</v>
      </c>
      <c r="AU110" s="404">
        <v>-0.0347</v>
      </c>
      <c r="AV110" s="18"/>
      <c r="AW110" s="18"/>
      <c r="AX110" s="17"/>
      <c r="AY110" s="205">
        <v>4.9474</v>
      </c>
      <c r="AZ110" s="204" t="str">
        <f t="shared" si="217"/>
        <v>2026//1//14</v>
      </c>
      <c r="BA110" s="205">
        <v>4083052</v>
      </c>
      <c r="BB110" s="205">
        <f t="shared" si="279"/>
        <v>4090522</v>
      </c>
      <c r="BC110" s="205">
        <v>-7470</v>
      </c>
      <c r="BD110" s="292">
        <v>-0.0018</v>
      </c>
      <c r="BE110" s="18"/>
      <c r="BF110" s="18"/>
      <c r="BG110" s="74"/>
      <c r="BH110" s="387" t="str">
        <f t="shared" si="218"/>
        <v>2026//1//14</v>
      </c>
      <c r="BI110" s="387">
        <v>383327</v>
      </c>
      <c r="BJ110" s="387">
        <v>341227</v>
      </c>
      <c r="BK110" s="421">
        <v>42100</v>
      </c>
      <c r="BL110" s="422">
        <v>0.1234</v>
      </c>
      <c r="BM110" s="197"/>
      <c r="BN110" s="192"/>
      <c r="BO110" s="389"/>
      <c r="BP110" s="390" t="str">
        <f t="shared" si="219"/>
        <v>2026//1//14</v>
      </c>
      <c r="BQ110" s="392">
        <v>1292662</v>
      </c>
      <c r="BR110" s="390">
        <v>995662</v>
      </c>
      <c r="BS110" s="416">
        <v>297000</v>
      </c>
      <c r="BT110" s="417">
        <v>0.2983</v>
      </c>
      <c r="BU110" s="192"/>
      <c r="BV110" s="192"/>
      <c r="BW110" s="389"/>
      <c r="BX110" s="390" t="str">
        <f t="shared" si="220"/>
        <v>2026//1//14</v>
      </c>
      <c r="BY110" s="390">
        <v>2494611</v>
      </c>
      <c r="BZ110" s="390">
        <v>2423211</v>
      </c>
      <c r="CA110" s="416">
        <v>71400</v>
      </c>
      <c r="CB110" s="417">
        <v>0.0295</v>
      </c>
      <c r="CC110" s="192"/>
      <c r="CD110" s="409"/>
      <c r="CE110" s="389"/>
      <c r="CF110" s="390" t="str">
        <f t="shared" si="221"/>
        <v>2026//1//14</v>
      </c>
      <c r="CG110" s="390">
        <v>1418404</v>
      </c>
      <c r="CH110" s="12">
        <f t="shared" si="289"/>
        <v>1356054</v>
      </c>
      <c r="CI110" s="12">
        <f t="shared" si="290"/>
        <v>62350</v>
      </c>
      <c r="CJ110" s="199">
        <f t="shared" si="291"/>
        <v>0.0459789949367798</v>
      </c>
      <c r="CK110" s="192"/>
      <c r="CL110" s="391"/>
      <c r="CM110" s="389"/>
      <c r="CN110" s="390" t="str">
        <f t="shared" si="222"/>
        <v>2026//1//14</v>
      </c>
      <c r="CO110" s="390">
        <v>570146</v>
      </c>
      <c r="CP110" s="390">
        <v>526046</v>
      </c>
      <c r="CQ110" s="12">
        <f t="shared" si="293"/>
        <v>44100</v>
      </c>
      <c r="CR110" s="199">
        <f t="shared" si="294"/>
        <v>0.083832972781848</v>
      </c>
      <c r="CS110" s="391"/>
      <c r="CT110" s="391"/>
      <c r="CU110" s="389"/>
      <c r="CV110" s="390" t="str">
        <f t="shared" si="223"/>
        <v>2026//1//14</v>
      </c>
      <c r="CW110" s="390">
        <v>615840</v>
      </c>
      <c r="CX110" s="390">
        <v>610840</v>
      </c>
      <c r="CY110" s="416">
        <v>5000</v>
      </c>
      <c r="CZ110" s="417">
        <v>0.0082</v>
      </c>
      <c r="DA110" s="192"/>
      <c r="DB110" s="192"/>
      <c r="DC110" s="277"/>
      <c r="DD110" s="390" t="str">
        <f t="shared" si="224"/>
        <v>2026//1//14</v>
      </c>
      <c r="DE110" s="390">
        <v>1491118</v>
      </c>
      <c r="DF110" s="12">
        <f t="shared" si="298"/>
        <v>1501918</v>
      </c>
      <c r="DG110" s="414">
        <v>-5400</v>
      </c>
      <c r="DH110" s="415">
        <v>-0.0072</v>
      </c>
      <c r="DI110" s="192"/>
      <c r="DJ110" s="192"/>
      <c r="DK110" s="389"/>
      <c r="DL110" s="390" t="str">
        <f t="shared" si="225"/>
        <v>2026//1//14</v>
      </c>
      <c r="DM110" s="390">
        <v>1258700</v>
      </c>
      <c r="DN110" s="390">
        <v>1277100</v>
      </c>
      <c r="DO110" s="414">
        <v>-18400</v>
      </c>
      <c r="DP110" s="415">
        <v>-0.0144</v>
      </c>
      <c r="DQ110" s="192"/>
      <c r="DR110" s="192"/>
      <c r="DS110" s="389"/>
      <c r="DT110" s="390" t="str">
        <f t="shared" si="226"/>
        <v>2026//1//14</v>
      </c>
      <c r="DU110" s="390">
        <v>1653389</v>
      </c>
      <c r="DV110" s="390">
        <v>1678889</v>
      </c>
      <c r="DW110" s="414">
        <v>-25500</v>
      </c>
      <c r="DX110" s="415">
        <v>-0.0152</v>
      </c>
      <c r="DY110" s="192"/>
      <c r="DZ110" s="192"/>
      <c r="EA110" s="389"/>
      <c r="EB110" s="390" t="str">
        <f t="shared" si="227"/>
        <v>2026//1//14</v>
      </c>
      <c r="EC110" s="390">
        <v>5294067</v>
      </c>
      <c r="ED110" s="390">
        <v>5378667</v>
      </c>
      <c r="EE110" s="414">
        <v>-84600</v>
      </c>
      <c r="EF110" s="415">
        <v>-0.0157</v>
      </c>
      <c r="EG110" s="192"/>
      <c r="EH110" s="192"/>
      <c r="EI110" s="389"/>
      <c r="EJ110" s="390" t="str">
        <f t="shared" si="228"/>
        <v>2026//1//14</v>
      </c>
      <c r="EK110" s="390">
        <v>1498723</v>
      </c>
      <c r="EL110" s="390">
        <v>1476523</v>
      </c>
      <c r="EM110" s="416">
        <v>22200</v>
      </c>
      <c r="EN110" s="417">
        <v>0.015</v>
      </c>
      <c r="EO110" s="192"/>
      <c r="EP110" s="192"/>
      <c r="EQ110" s="340"/>
      <c r="ER110" s="341" t="str">
        <f t="shared" si="229"/>
        <v>2026//1//14</v>
      </c>
      <c r="ES110" s="341">
        <v>492047</v>
      </c>
      <c r="ET110" s="341">
        <v>478847</v>
      </c>
      <c r="EU110" s="341">
        <v>13200</v>
      </c>
      <c r="EV110" s="350">
        <v>0.0276</v>
      </c>
      <c r="EW110" s="192"/>
      <c r="EX110" s="192"/>
      <c r="EY110" s="389"/>
      <c r="EZ110" s="390" t="str">
        <f t="shared" si="230"/>
        <v>2026//1//14</v>
      </c>
      <c r="FA110" s="390">
        <v>720608</v>
      </c>
      <c r="FB110" s="390">
        <v>758008</v>
      </c>
      <c r="FC110" s="414">
        <v>-37400</v>
      </c>
      <c r="FD110" s="415">
        <v>-0.0493</v>
      </c>
      <c r="FE110" s="192"/>
      <c r="FF110" s="192"/>
      <c r="FH110" s="390" t="str">
        <f t="shared" si="231"/>
        <v>2026//1//14</v>
      </c>
      <c r="FI110" s="392">
        <v>863195</v>
      </c>
      <c r="FJ110" s="390">
        <v>740095</v>
      </c>
      <c r="FK110" s="348">
        <v>123100</v>
      </c>
      <c r="FL110" s="349">
        <v>0.1663</v>
      </c>
      <c r="FM110" s="391"/>
      <c r="FN110" s="391"/>
      <c r="FO110" s="389"/>
      <c r="FP110" s="390" t="str">
        <f t="shared" si="232"/>
        <v>2026//1//14</v>
      </c>
      <c r="FQ110" s="390">
        <v>2388419</v>
      </c>
      <c r="FR110" s="390">
        <v>2425919</v>
      </c>
      <c r="FS110" s="414">
        <v>-37500</v>
      </c>
      <c r="FT110" s="415">
        <v>-0.0155</v>
      </c>
      <c r="FU110" s="192"/>
      <c r="FV110" s="192"/>
      <c r="FW110" s="389"/>
      <c r="FX110" s="390" t="str">
        <f t="shared" si="233"/>
        <v>2026//1//14</v>
      </c>
      <c r="FY110" s="390">
        <v>7077982</v>
      </c>
      <c r="FZ110" s="390">
        <v>7197782</v>
      </c>
      <c r="GA110" s="414">
        <v>-119800</v>
      </c>
      <c r="GB110" s="415">
        <v>-0.0166</v>
      </c>
      <c r="GC110" s="192"/>
      <c r="GD110" s="192"/>
      <c r="GE110" s="389"/>
      <c r="GF110" s="390" t="str">
        <f t="shared" si="234"/>
        <v>2026//1//14</v>
      </c>
      <c r="GG110" s="390">
        <v>4258069</v>
      </c>
      <c r="GH110" s="390">
        <v>4270069</v>
      </c>
      <c r="GI110" s="414">
        <v>-12000</v>
      </c>
      <c r="GJ110" s="415">
        <v>-0.0028</v>
      </c>
      <c r="GK110" s="192"/>
      <c r="GL110" s="192"/>
      <c r="GM110" s="389"/>
      <c r="GN110" s="390" t="str">
        <f t="shared" si="235"/>
        <v>2026//1//14</v>
      </c>
      <c r="GO110" s="390">
        <v>1644538</v>
      </c>
      <c r="GP110" s="390">
        <v>1607038</v>
      </c>
      <c r="GQ110" s="416">
        <v>37500</v>
      </c>
      <c r="GR110" s="417">
        <v>0.0233</v>
      </c>
      <c r="GS110" s="192"/>
      <c r="GT110" s="192"/>
      <c r="GU110" s="389"/>
      <c r="GV110" s="390" t="str">
        <f t="shared" si="236"/>
        <v>2026//1//14</v>
      </c>
      <c r="GW110" s="390">
        <v>1022749</v>
      </c>
      <c r="GX110" s="390">
        <v>1055949</v>
      </c>
      <c r="GY110" s="414">
        <v>-33200</v>
      </c>
      <c r="GZ110" s="415">
        <v>-0.0314</v>
      </c>
      <c r="HA110" s="192"/>
      <c r="HB110" s="192"/>
      <c r="HC110" s="389"/>
      <c r="HD110" s="390" t="str">
        <f t="shared" si="237"/>
        <v>2026//1//14</v>
      </c>
      <c r="HE110" s="390">
        <v>1278565</v>
      </c>
      <c r="HF110" s="390">
        <v>1288165</v>
      </c>
      <c r="HG110" s="414">
        <v>-9600</v>
      </c>
      <c r="HH110" s="415">
        <v>-0.0075</v>
      </c>
      <c r="HI110" s="391"/>
      <c r="HJ110" s="192"/>
      <c r="HK110" s="389"/>
      <c r="HL110" s="390" t="str">
        <f t="shared" si="238"/>
        <v>2026//1//14</v>
      </c>
      <c r="HM110" s="390">
        <v>145104</v>
      </c>
      <c r="HN110" s="390">
        <v>146604</v>
      </c>
      <c r="HO110" s="414">
        <v>-1500</v>
      </c>
      <c r="HP110" s="415">
        <v>-0.0102</v>
      </c>
      <c r="HQ110" s="192"/>
      <c r="HR110" s="192"/>
      <c r="HS110" s="389"/>
      <c r="HT110" s="390" t="str">
        <f t="shared" si="239"/>
        <v>2026//1//14</v>
      </c>
      <c r="HU110" s="390">
        <v>99069</v>
      </c>
      <c r="HV110" s="390">
        <v>101669</v>
      </c>
      <c r="HW110" s="414">
        <v>-2600</v>
      </c>
      <c r="HX110" s="415">
        <v>-0.0256</v>
      </c>
      <c r="HY110" s="192"/>
      <c r="HZ110" s="192"/>
      <c r="IA110" s="389"/>
      <c r="IB110" s="390" t="str">
        <f t="shared" si="240"/>
        <v>2026//1//14</v>
      </c>
      <c r="IC110" s="200">
        <v>298684.79</v>
      </c>
      <c r="ID110" s="200">
        <v>308509.79</v>
      </c>
      <c r="IE110" s="346">
        <f t="shared" si="347"/>
        <v>-9825</v>
      </c>
      <c r="IF110" s="347">
        <f t="shared" si="348"/>
        <v>-0.0318466392914144</v>
      </c>
      <c r="IG110" s="391"/>
      <c r="IH110" s="192"/>
      <c r="II110" s="389"/>
      <c r="IJ110" s="390" t="str">
        <f t="shared" si="241"/>
        <v>2026//1//14</v>
      </c>
      <c r="IK110" s="390">
        <v>360636</v>
      </c>
      <c r="IL110" s="390">
        <v>352876</v>
      </c>
      <c r="IM110" s="416">
        <v>7760</v>
      </c>
      <c r="IN110" s="417">
        <v>0.022</v>
      </c>
      <c r="IO110" s="192"/>
      <c r="IP110" s="192"/>
      <c r="IQ110" s="389"/>
      <c r="IR110" s="390" t="str">
        <f t="shared" si="242"/>
        <v>2026//1//14</v>
      </c>
      <c r="IS110" s="390">
        <v>135689</v>
      </c>
      <c r="IT110" s="390">
        <v>127189</v>
      </c>
      <c r="IU110" s="416">
        <v>8500</v>
      </c>
      <c r="IV110" s="417">
        <v>0.0668</v>
      </c>
      <c r="IW110" s="192"/>
      <c r="IX110" s="192"/>
      <c r="IY110" s="389"/>
      <c r="IZ110" s="390" t="str">
        <f t="shared" si="243"/>
        <v>2026//1//14</v>
      </c>
      <c r="JA110" s="390">
        <v>4660229</v>
      </c>
      <c r="JB110" s="390">
        <v>4688829</v>
      </c>
      <c r="JC110" s="414">
        <v>-28600</v>
      </c>
      <c r="JD110" s="415">
        <v>-0.0061</v>
      </c>
      <c r="JE110" s="192"/>
      <c r="JF110" s="192"/>
      <c r="JG110" s="389"/>
      <c r="JH110" s="390" t="str">
        <f t="shared" si="244"/>
        <v>2026//1//14</v>
      </c>
      <c r="JI110" s="390">
        <v>1475248</v>
      </c>
      <c r="JJ110" s="390">
        <v>1463368</v>
      </c>
      <c r="JK110" s="416">
        <v>11880</v>
      </c>
      <c r="JL110" s="417">
        <v>0.0081</v>
      </c>
      <c r="JM110" s="192"/>
      <c r="JN110" s="192"/>
      <c r="JP110" s="390" t="str">
        <f t="shared" si="245"/>
        <v>2026//1//14</v>
      </c>
      <c r="JQ110" s="390">
        <v>1139290</v>
      </c>
      <c r="JR110" s="390">
        <v>1181190</v>
      </c>
      <c r="JS110" s="414">
        <v>-41900</v>
      </c>
      <c r="JT110" s="415">
        <v>-0.0355</v>
      </c>
      <c r="JU110" s="192"/>
      <c r="JV110" s="409"/>
      <c r="JX110" s="390" t="str">
        <f t="shared" si="246"/>
        <v>2026//1//14</v>
      </c>
      <c r="JY110" s="390">
        <v>1378399</v>
      </c>
      <c r="JZ110" s="390">
        <v>1386699</v>
      </c>
      <c r="KA110" s="414">
        <v>-8300</v>
      </c>
      <c r="KB110" s="415">
        <v>-0.006</v>
      </c>
      <c r="KC110" s="192"/>
      <c r="KD110" s="409"/>
      <c r="KF110" s="390" t="str">
        <f t="shared" si="247"/>
        <v>2026//1//14</v>
      </c>
      <c r="KG110" s="390">
        <v>865556</v>
      </c>
      <c r="KH110" s="390">
        <v>867956</v>
      </c>
      <c r="KI110" s="414">
        <v>-2400</v>
      </c>
      <c r="KJ110" s="415">
        <v>-0.0028</v>
      </c>
      <c r="KK110" s="391"/>
      <c r="KL110" s="391"/>
      <c r="KM110" s="389"/>
      <c r="KN110" s="390" t="str">
        <f t="shared" si="248"/>
        <v>2026//1//14</v>
      </c>
      <c r="KO110" s="390">
        <v>6870076</v>
      </c>
      <c r="KP110" s="390">
        <v>6863676</v>
      </c>
      <c r="KQ110" s="416">
        <v>6400</v>
      </c>
      <c r="KR110" s="417">
        <v>0.0009</v>
      </c>
      <c r="KS110" s="192"/>
      <c r="KT110" s="192"/>
      <c r="KU110" s="389"/>
      <c r="KV110" s="390" t="str">
        <f t="shared" si="249"/>
        <v>2026//1//14</v>
      </c>
      <c r="KW110" s="390">
        <v>1046173</v>
      </c>
      <c r="KX110" s="390">
        <v>1046173</v>
      </c>
      <c r="KY110" s="390">
        <v>0</v>
      </c>
      <c r="KZ110" s="391">
        <v>0</v>
      </c>
      <c r="LA110" s="391"/>
      <c r="LB110" s="192"/>
      <c r="LC110" s="389"/>
      <c r="LD110" s="390" t="str">
        <f t="shared" si="250"/>
        <v>2026//1//14</v>
      </c>
      <c r="LE110" s="390">
        <v>464858</v>
      </c>
      <c r="LF110" s="390">
        <v>455908</v>
      </c>
      <c r="LG110" s="416">
        <v>8950</v>
      </c>
      <c r="LH110" s="417">
        <v>0.0196</v>
      </c>
      <c r="LI110" s="192"/>
      <c r="LJ110" s="192"/>
      <c r="LK110" s="389"/>
      <c r="LL110" s="390" t="str">
        <f t="shared" si="251"/>
        <v>2026//1//14</v>
      </c>
      <c r="LM110" s="392">
        <v>3306535</v>
      </c>
      <c r="LN110" s="390">
        <v>3279355</v>
      </c>
      <c r="LO110" s="416">
        <v>27180</v>
      </c>
      <c r="LP110" s="417">
        <v>0.0083</v>
      </c>
      <c r="LQ110" s="192"/>
      <c r="LR110" s="192"/>
      <c r="LS110" s="389"/>
      <c r="LT110" s="390" t="str">
        <f t="shared" si="252"/>
        <v>2026//1//14</v>
      </c>
      <c r="LU110" s="390">
        <v>2909263</v>
      </c>
      <c r="LV110" s="390">
        <v>2855663</v>
      </c>
      <c r="LW110" s="416">
        <v>53600</v>
      </c>
      <c r="LX110" s="417">
        <v>0.0188</v>
      </c>
      <c r="LY110" s="192"/>
      <c r="LZ110" s="192"/>
      <c r="MA110" s="389"/>
      <c r="MB110" s="390" t="str">
        <f t="shared" si="253"/>
        <v>2026//1//14</v>
      </c>
      <c r="MC110" s="390">
        <v>789968</v>
      </c>
      <c r="MD110" s="390">
        <v>813468</v>
      </c>
      <c r="ME110" s="414">
        <v>-23500</v>
      </c>
      <c r="MF110" s="415">
        <v>-0.0289</v>
      </c>
      <c r="MG110" s="192"/>
      <c r="MH110" s="192"/>
      <c r="MI110" s="342"/>
      <c r="MJ110" s="341">
        <v>1.1736</v>
      </c>
      <c r="MK110" s="341" t="str">
        <f t="shared" si="254"/>
        <v>2026//1//14</v>
      </c>
      <c r="ML110" s="341">
        <v>302866</v>
      </c>
      <c r="MM110" s="12">
        <f t="shared" si="388"/>
        <v>301186</v>
      </c>
      <c r="MN110" s="341">
        <v>1680</v>
      </c>
      <c r="MO110" s="350">
        <v>0.0056</v>
      </c>
      <c r="MP110" s="192"/>
      <c r="MQ110" s="394"/>
      <c r="MR110" s="394"/>
      <c r="MS110" s="204">
        <v>1.3147</v>
      </c>
      <c r="MT110" s="295" t="str">
        <f t="shared" si="255"/>
        <v>2026//1//14</v>
      </c>
      <c r="MU110" s="204">
        <v>32315</v>
      </c>
      <c r="MV110" s="204">
        <f t="shared" si="391"/>
        <v>27215</v>
      </c>
      <c r="MW110" s="204">
        <v>5100</v>
      </c>
      <c r="MX110" s="296">
        <v>0.1874</v>
      </c>
      <c r="MY110" s="192"/>
      <c r="MZ110" s="192"/>
      <c r="NA110" s="192"/>
      <c r="NB110" s="204">
        <v>1.353</v>
      </c>
      <c r="NC110" s="204" t="str">
        <f t="shared" si="256"/>
        <v>2026//1//14</v>
      </c>
      <c r="ND110" s="204">
        <v>26491</v>
      </c>
      <c r="NE110" s="204">
        <f t="shared" si="392"/>
        <v>26691</v>
      </c>
      <c r="NF110" s="204">
        <v>-200</v>
      </c>
      <c r="NG110" s="296">
        <v>-0.0075</v>
      </c>
      <c r="NH110" s="192"/>
      <c r="NI110" s="192"/>
      <c r="NJ110" s="192"/>
      <c r="NK110" s="192"/>
      <c r="NL110" s="205">
        <v>1.1549</v>
      </c>
      <c r="NM110" s="204" t="str">
        <f t="shared" si="257"/>
        <v>2026//1//14</v>
      </c>
      <c r="NN110" s="205">
        <v>2266511</v>
      </c>
      <c r="NO110" s="8">
        <f t="shared" si="393"/>
        <v>2241411</v>
      </c>
      <c r="NP110" s="205">
        <v>25100</v>
      </c>
      <c r="NQ110" s="292">
        <v>0.0112</v>
      </c>
      <c r="NR110" s="293"/>
      <c r="NS110" s="205">
        <v>1.066</v>
      </c>
      <c r="NT110" s="294"/>
      <c r="NU110" s="204" t="str">
        <f t="shared" si="258"/>
        <v>2026//1//14</v>
      </c>
      <c r="NV110" s="205">
        <v>233926</v>
      </c>
      <c r="NW110" s="205">
        <f t="shared" si="394"/>
        <v>232176</v>
      </c>
      <c r="NX110" s="205">
        <v>1750</v>
      </c>
      <c r="NY110" s="292">
        <v>0.0075</v>
      </c>
      <c r="NZ110" s="391"/>
      <c r="OA110" s="389"/>
      <c r="OB110" s="389"/>
      <c r="OC110" s="390" t="str">
        <f t="shared" si="259"/>
        <v>2026//1//14</v>
      </c>
      <c r="OD110" s="390">
        <v>13734</v>
      </c>
      <c r="OE110" s="390">
        <v>13642</v>
      </c>
      <c r="OF110" s="416">
        <v>92</v>
      </c>
      <c r="OG110" s="417">
        <v>0.0067</v>
      </c>
      <c r="OH110" s="192"/>
      <c r="OI110" s="192"/>
      <c r="OJ110" s="389"/>
      <c r="OK110" s="390" t="str">
        <f t="shared" si="260"/>
        <v>2026//1//14</v>
      </c>
      <c r="OO110" s="192"/>
      <c r="OP110" s="192"/>
      <c r="OQ110" s="192"/>
      <c r="OT110" s="234" t="str">
        <f t="shared" si="211"/>
        <v>2026//1//14</v>
      </c>
      <c r="OU110" s="206">
        <v>137952.4066</v>
      </c>
      <c r="OV110" s="8">
        <f t="shared" si="401"/>
        <v>137832.4066</v>
      </c>
      <c r="OW110" s="191">
        <f t="shared" si="402"/>
        <v>120</v>
      </c>
      <c r="OX110" s="192">
        <f t="shared" si="403"/>
        <v>0.000870622540519437</v>
      </c>
    </row>
    <row r="111" s="8" customFormat="1" ht="17" customHeight="1" spans="1:414">
      <c r="A111" s="15"/>
      <c r="B111" s="15"/>
      <c r="C111" s="385" t="s">
        <v>540</v>
      </c>
      <c r="D111" s="395">
        <v>8881969</v>
      </c>
      <c r="E111" s="395">
        <v>8915449</v>
      </c>
      <c r="F111" s="403">
        <v>-33480</v>
      </c>
      <c r="G111" s="404">
        <v>-0.0038</v>
      </c>
      <c r="H111" s="18"/>
      <c r="I111" s="453"/>
      <c r="J111" s="453"/>
      <c r="K111" s="386" t="str">
        <f t="shared" si="212"/>
        <v>2026//1//13</v>
      </c>
      <c r="L111" s="395">
        <v>6571054</v>
      </c>
      <c r="M111" s="395">
        <v>6581314</v>
      </c>
      <c r="N111" s="403">
        <v>-10260</v>
      </c>
      <c r="O111" s="404">
        <v>-0.0016</v>
      </c>
      <c r="P111" s="18"/>
      <c r="Q111" s="453"/>
      <c r="R111" s="454"/>
      <c r="S111" s="386" t="str">
        <f t="shared" si="213"/>
        <v>2026//1//13</v>
      </c>
      <c r="T111" s="395">
        <v>5588797</v>
      </c>
      <c r="U111" s="395">
        <v>5633707</v>
      </c>
      <c r="V111" s="403">
        <v>-44910</v>
      </c>
      <c r="W111" s="404">
        <v>-0.008</v>
      </c>
      <c r="X111" s="18"/>
      <c r="Y111" s="453"/>
      <c r="Z111" s="454"/>
      <c r="AA111" s="386" t="str">
        <f t="shared" si="214"/>
        <v>2026//1//13</v>
      </c>
      <c r="AB111" s="395">
        <v>1953937</v>
      </c>
      <c r="AC111" s="395">
        <v>1955297</v>
      </c>
      <c r="AD111" s="403">
        <v>-1360</v>
      </c>
      <c r="AE111" s="404">
        <v>-0.0007</v>
      </c>
      <c r="AF111" s="18"/>
      <c r="AG111" s="453"/>
      <c r="AH111" s="454"/>
      <c r="AI111" s="386" t="str">
        <f t="shared" si="215"/>
        <v>2026//1//13</v>
      </c>
      <c r="AJ111" s="395">
        <v>2695922</v>
      </c>
      <c r="AK111" s="386">
        <v>2669522</v>
      </c>
      <c r="AL111" s="459">
        <v>26400</v>
      </c>
      <c r="AM111" s="460">
        <v>0.0099</v>
      </c>
      <c r="AN111" s="18"/>
      <c r="AO111" s="18"/>
      <c r="AP111" s="454"/>
      <c r="AQ111" s="386" t="str">
        <f t="shared" si="216"/>
        <v>2026//1//13</v>
      </c>
      <c r="AR111" s="418">
        <v>3071945</v>
      </c>
      <c r="AS111" s="395">
        <v>3113345</v>
      </c>
      <c r="AT111" s="403">
        <v>-41400</v>
      </c>
      <c r="AU111" s="404">
        <v>-0.0133</v>
      </c>
      <c r="AV111" s="18"/>
      <c r="AW111" s="18"/>
      <c r="AX111" s="17"/>
      <c r="AY111" s="205">
        <v>4.9664</v>
      </c>
      <c r="AZ111" s="204" t="str">
        <f t="shared" si="217"/>
        <v>2026//1//13</v>
      </c>
      <c r="BA111" s="205">
        <v>4090522</v>
      </c>
      <c r="BB111" s="205">
        <f t="shared" si="279"/>
        <v>4090882</v>
      </c>
      <c r="BC111" s="205">
        <v>-360</v>
      </c>
      <c r="BD111" s="292">
        <v>-0.0001</v>
      </c>
      <c r="BE111" s="18"/>
      <c r="BF111" s="18"/>
      <c r="BG111" s="74"/>
      <c r="BH111" s="387" t="str">
        <f t="shared" si="218"/>
        <v>2026//1//13</v>
      </c>
      <c r="BI111" s="387">
        <v>341227</v>
      </c>
      <c r="BJ111" s="387">
        <v>292127</v>
      </c>
      <c r="BK111" s="421">
        <v>49100</v>
      </c>
      <c r="BL111" s="422">
        <v>0.1681</v>
      </c>
      <c r="BM111" s="197"/>
      <c r="BN111" s="192"/>
      <c r="BO111" s="389"/>
      <c r="BP111" s="390" t="str">
        <f t="shared" si="219"/>
        <v>2026//1//13</v>
      </c>
      <c r="BQ111" s="392">
        <v>995662</v>
      </c>
      <c r="BR111" s="390">
        <v>851762</v>
      </c>
      <c r="BS111" s="416">
        <v>143900</v>
      </c>
      <c r="BT111" s="417">
        <v>0.1689</v>
      </c>
      <c r="BU111" s="192"/>
      <c r="BV111" s="192"/>
      <c r="BW111" s="389"/>
      <c r="BX111" s="390" t="str">
        <f t="shared" si="220"/>
        <v>2026//1//13</v>
      </c>
      <c r="BY111" s="390">
        <v>2423211</v>
      </c>
      <c r="BZ111" s="390">
        <v>2365911</v>
      </c>
      <c r="CA111" s="416">
        <v>57300</v>
      </c>
      <c r="CB111" s="417">
        <v>0.0242</v>
      </c>
      <c r="CC111" s="192"/>
      <c r="CD111" s="409"/>
      <c r="CE111" s="389"/>
      <c r="CF111" s="390" t="str">
        <f t="shared" si="221"/>
        <v>2026//1//13</v>
      </c>
      <c r="CG111" s="390">
        <v>1356054</v>
      </c>
      <c r="CH111" s="12">
        <f t="shared" si="289"/>
        <v>1309254</v>
      </c>
      <c r="CI111" s="12">
        <f t="shared" si="290"/>
        <v>46800</v>
      </c>
      <c r="CJ111" s="199">
        <f t="shared" si="291"/>
        <v>0.0357455467006402</v>
      </c>
      <c r="CK111" s="192"/>
      <c r="CL111" s="391"/>
      <c r="CM111" s="389"/>
      <c r="CN111" s="390" t="str">
        <f t="shared" si="222"/>
        <v>2026//1//13</v>
      </c>
      <c r="CO111" s="390">
        <v>526046</v>
      </c>
      <c r="CP111" s="390">
        <v>506446</v>
      </c>
      <c r="CQ111" s="12">
        <f t="shared" si="293"/>
        <v>19600</v>
      </c>
      <c r="CR111" s="199">
        <f t="shared" si="294"/>
        <v>0.0387010658589465</v>
      </c>
      <c r="CS111" s="391"/>
      <c r="CT111" s="391"/>
      <c r="CU111" s="389"/>
      <c r="CV111" s="390" t="str">
        <f t="shared" si="223"/>
        <v>2026//1//13</v>
      </c>
      <c r="CW111" s="390">
        <v>610840</v>
      </c>
      <c r="CX111" s="390">
        <v>607340</v>
      </c>
      <c r="CY111" s="416">
        <v>3500</v>
      </c>
      <c r="CZ111" s="417">
        <v>0.0058</v>
      </c>
      <c r="DA111" s="192"/>
      <c r="DB111" s="192"/>
      <c r="DC111" s="277"/>
      <c r="DD111" s="390" t="str">
        <f t="shared" si="224"/>
        <v>2026//1//13</v>
      </c>
      <c r="DE111" s="390">
        <v>1501918</v>
      </c>
      <c r="DF111" s="12">
        <f t="shared" si="298"/>
        <v>1512918</v>
      </c>
      <c r="DG111" s="414">
        <v>-5500</v>
      </c>
      <c r="DH111" s="415">
        <v>-0.0073</v>
      </c>
      <c r="DI111" s="192"/>
      <c r="DJ111" s="192"/>
      <c r="DK111" s="389"/>
      <c r="DL111" s="390" t="str">
        <f t="shared" si="225"/>
        <v>2026//1//13</v>
      </c>
      <c r="DM111" s="390">
        <v>1277100</v>
      </c>
      <c r="DN111" s="390">
        <v>1286300</v>
      </c>
      <c r="DO111" s="414">
        <v>-9200</v>
      </c>
      <c r="DP111" s="415">
        <v>-0.0072</v>
      </c>
      <c r="DQ111" s="192"/>
      <c r="DR111" s="192"/>
      <c r="DS111" s="389"/>
      <c r="DT111" s="390" t="str">
        <f t="shared" si="226"/>
        <v>2026//1//13</v>
      </c>
      <c r="DU111" s="390">
        <v>1678889</v>
      </c>
      <c r="DV111" s="390">
        <v>1663589</v>
      </c>
      <c r="DW111" s="416">
        <v>15300</v>
      </c>
      <c r="DX111" s="417">
        <v>0.0092</v>
      </c>
      <c r="DY111" s="192"/>
      <c r="DZ111" s="192"/>
      <c r="EA111" s="389"/>
      <c r="EB111" s="390" t="str">
        <f t="shared" si="227"/>
        <v>2026//1//13</v>
      </c>
      <c r="EC111" s="390">
        <v>5378667</v>
      </c>
      <c r="ED111" s="390">
        <v>5338617</v>
      </c>
      <c r="EE111" s="416">
        <v>40050</v>
      </c>
      <c r="EF111" s="417">
        <v>0.0075</v>
      </c>
      <c r="EG111" s="192"/>
      <c r="EH111" s="192"/>
      <c r="EI111" s="389"/>
      <c r="EJ111" s="390" t="str">
        <f t="shared" si="228"/>
        <v>2026//1//13</v>
      </c>
      <c r="EK111" s="390">
        <v>1476523</v>
      </c>
      <c r="EL111" s="390">
        <v>1431323</v>
      </c>
      <c r="EM111" s="416">
        <v>45200</v>
      </c>
      <c r="EN111" s="417">
        <v>0.0316</v>
      </c>
      <c r="EO111" s="192"/>
      <c r="EP111" s="192"/>
      <c r="EQ111" s="340"/>
      <c r="ER111" s="341" t="str">
        <f t="shared" si="229"/>
        <v>2026//1//13</v>
      </c>
      <c r="ES111" s="341">
        <v>478847</v>
      </c>
      <c r="ET111" s="341">
        <v>457547</v>
      </c>
      <c r="EU111" s="341">
        <v>21300</v>
      </c>
      <c r="EV111" s="350">
        <v>0.0466</v>
      </c>
      <c r="EW111" s="192"/>
      <c r="EX111" s="192"/>
      <c r="EY111" s="389"/>
      <c r="EZ111" s="390" t="str">
        <f t="shared" si="230"/>
        <v>2026//1//13</v>
      </c>
      <c r="FA111" s="390">
        <v>758008</v>
      </c>
      <c r="FB111" s="390">
        <v>764608</v>
      </c>
      <c r="FC111" s="414">
        <v>-6600</v>
      </c>
      <c r="FD111" s="415">
        <v>-0.0086</v>
      </c>
      <c r="FE111" s="192"/>
      <c r="FF111" s="192"/>
      <c r="FH111" s="390" t="str">
        <f t="shared" si="231"/>
        <v>2026//1//13</v>
      </c>
      <c r="FI111" s="392">
        <v>740095</v>
      </c>
      <c r="FJ111" s="390">
        <v>650695</v>
      </c>
      <c r="FK111" s="348">
        <v>89400</v>
      </c>
      <c r="FL111" s="349">
        <v>0.1374</v>
      </c>
      <c r="FM111" s="391"/>
      <c r="FN111" s="391"/>
      <c r="FO111" s="389"/>
      <c r="FP111" s="390" t="str">
        <f t="shared" si="232"/>
        <v>2026//1//13</v>
      </c>
      <c r="FQ111" s="390">
        <v>2425919</v>
      </c>
      <c r="FR111" s="390">
        <v>2478269</v>
      </c>
      <c r="FS111" s="414">
        <v>-52350</v>
      </c>
      <c r="FT111" s="415">
        <v>-0.0211</v>
      </c>
      <c r="FU111" s="192"/>
      <c r="FV111" s="192"/>
      <c r="FW111" s="389"/>
      <c r="FX111" s="390" t="str">
        <f t="shared" si="233"/>
        <v>2026//1//13</v>
      </c>
      <c r="FY111" s="390">
        <v>7197782</v>
      </c>
      <c r="FZ111" s="390">
        <v>7294282</v>
      </c>
      <c r="GA111" s="414">
        <v>-96500</v>
      </c>
      <c r="GB111" s="415">
        <v>-0.0132</v>
      </c>
      <c r="GC111" s="192"/>
      <c r="GD111" s="192"/>
      <c r="GE111" s="389"/>
      <c r="GF111" s="390" t="str">
        <f t="shared" si="234"/>
        <v>2026//1//13</v>
      </c>
      <c r="GG111" s="390">
        <v>4270069</v>
      </c>
      <c r="GH111" s="390">
        <v>4350169</v>
      </c>
      <c r="GI111" s="414">
        <v>-80100</v>
      </c>
      <c r="GJ111" s="415">
        <v>-0.0184</v>
      </c>
      <c r="GK111" s="192"/>
      <c r="GL111" s="192"/>
      <c r="GM111" s="389"/>
      <c r="GN111" s="390" t="str">
        <f t="shared" si="235"/>
        <v>2026//1//13</v>
      </c>
      <c r="GO111" s="390">
        <v>1607038</v>
      </c>
      <c r="GP111" s="390">
        <v>1598518</v>
      </c>
      <c r="GQ111" s="416">
        <v>8520</v>
      </c>
      <c r="GR111" s="417">
        <v>0.0053</v>
      </c>
      <c r="GS111" s="192"/>
      <c r="GT111" s="192"/>
      <c r="GU111" s="389"/>
      <c r="GV111" s="390" t="str">
        <f t="shared" si="236"/>
        <v>2026//1//13</v>
      </c>
      <c r="GW111" s="390">
        <v>1055949</v>
      </c>
      <c r="GX111" s="390">
        <v>1078749</v>
      </c>
      <c r="GY111" s="414">
        <v>-22800</v>
      </c>
      <c r="GZ111" s="415">
        <v>-0.0211</v>
      </c>
      <c r="HA111" s="192"/>
      <c r="HB111" s="192"/>
      <c r="HC111" s="389"/>
      <c r="HD111" s="390" t="str">
        <f t="shared" si="237"/>
        <v>2026//1//13</v>
      </c>
      <c r="HE111" s="390">
        <v>1288165</v>
      </c>
      <c r="HF111" s="390">
        <v>1306765</v>
      </c>
      <c r="HG111" s="414">
        <v>-18600</v>
      </c>
      <c r="HH111" s="415">
        <v>-0.0142</v>
      </c>
      <c r="HI111" s="391"/>
      <c r="HJ111" s="192"/>
      <c r="HK111" s="389"/>
      <c r="HL111" s="390" t="str">
        <f t="shared" si="238"/>
        <v>2026//1//13</v>
      </c>
      <c r="HM111" s="390">
        <v>146604</v>
      </c>
      <c r="HN111" s="390">
        <v>147804</v>
      </c>
      <c r="HO111" s="414">
        <v>-1200</v>
      </c>
      <c r="HP111" s="415">
        <v>-0.0081</v>
      </c>
      <c r="HQ111" s="192"/>
      <c r="HR111" s="192"/>
      <c r="HS111" s="389"/>
      <c r="HT111" s="390" t="str">
        <f t="shared" si="239"/>
        <v>2026//1//13</v>
      </c>
      <c r="HU111" s="390">
        <v>101669</v>
      </c>
      <c r="HV111" s="390">
        <v>102669</v>
      </c>
      <c r="HW111" s="414">
        <v>-1000</v>
      </c>
      <c r="HX111" s="415">
        <v>-0.0097</v>
      </c>
      <c r="HY111" s="192"/>
      <c r="HZ111" s="192"/>
      <c r="IA111" s="389"/>
      <c r="IB111" s="390" t="str">
        <f t="shared" si="240"/>
        <v>2026//1//13</v>
      </c>
      <c r="IC111" s="200">
        <v>308509.79</v>
      </c>
      <c r="ID111" s="200">
        <v>310209.79</v>
      </c>
      <c r="IE111" s="346">
        <f t="shared" si="347"/>
        <v>-1700</v>
      </c>
      <c r="IF111" s="347">
        <f t="shared" si="348"/>
        <v>-0.00548016231209209</v>
      </c>
      <c r="IG111" s="391"/>
      <c r="IH111" s="192"/>
      <c r="II111" s="389"/>
      <c r="IJ111" s="390" t="str">
        <f t="shared" si="241"/>
        <v>2026//1//13</v>
      </c>
      <c r="IK111" s="390">
        <v>352876</v>
      </c>
      <c r="IL111" s="390">
        <v>344316</v>
      </c>
      <c r="IM111" s="416">
        <v>8560</v>
      </c>
      <c r="IN111" s="417">
        <v>0.0249</v>
      </c>
      <c r="IO111" s="192"/>
      <c r="IP111" s="192"/>
      <c r="IQ111" s="389"/>
      <c r="IR111" s="390" t="str">
        <f t="shared" si="242"/>
        <v>2026//1//13</v>
      </c>
      <c r="IS111" s="390">
        <v>127189</v>
      </c>
      <c r="IT111" s="390">
        <v>115389</v>
      </c>
      <c r="IU111" s="416">
        <v>11800</v>
      </c>
      <c r="IV111" s="417">
        <v>0.1023</v>
      </c>
      <c r="IW111" s="192"/>
      <c r="IX111" s="192"/>
      <c r="IY111" s="389"/>
      <c r="IZ111" s="390" t="str">
        <f t="shared" si="243"/>
        <v>2026//1//13</v>
      </c>
      <c r="JA111" s="390">
        <v>4688829</v>
      </c>
      <c r="JB111" s="390">
        <v>4718729</v>
      </c>
      <c r="JC111" s="414">
        <v>-29900</v>
      </c>
      <c r="JD111" s="415">
        <v>-0.0063</v>
      </c>
      <c r="JE111" s="192"/>
      <c r="JF111" s="192"/>
      <c r="JG111" s="389"/>
      <c r="JH111" s="390" t="str">
        <f t="shared" si="244"/>
        <v>2026//1//13</v>
      </c>
      <c r="JI111" s="390">
        <v>1463368</v>
      </c>
      <c r="JJ111" s="390">
        <v>1473028</v>
      </c>
      <c r="JK111" s="414">
        <v>-9660</v>
      </c>
      <c r="JL111" s="415">
        <v>-0.0066</v>
      </c>
      <c r="JM111" s="192"/>
      <c r="JN111" s="192"/>
      <c r="JP111" s="390" t="str">
        <f t="shared" si="245"/>
        <v>2026//1//13</v>
      </c>
      <c r="JQ111" s="390">
        <v>1181190</v>
      </c>
      <c r="JR111" s="390">
        <v>1222990</v>
      </c>
      <c r="JS111" s="414">
        <v>-41800</v>
      </c>
      <c r="JT111" s="415">
        <v>-0.0342</v>
      </c>
      <c r="JU111" s="192"/>
      <c r="JV111" s="409"/>
      <c r="JX111" s="390" t="str">
        <f t="shared" si="246"/>
        <v>2026//1//13</v>
      </c>
      <c r="JY111" s="390">
        <v>1386699</v>
      </c>
      <c r="JZ111" s="390">
        <v>1388049</v>
      </c>
      <c r="KA111" s="414">
        <v>-1350</v>
      </c>
      <c r="KB111" s="415">
        <v>-0.001</v>
      </c>
      <c r="KC111" s="192"/>
      <c r="KD111" s="409"/>
      <c r="KF111" s="390" t="str">
        <f t="shared" si="247"/>
        <v>2026//1//13</v>
      </c>
      <c r="KG111" s="390">
        <v>867956</v>
      </c>
      <c r="KH111" s="390">
        <v>867956</v>
      </c>
      <c r="KI111" s="410">
        <v>0</v>
      </c>
      <c r="KJ111" s="409">
        <v>0</v>
      </c>
      <c r="KK111" s="391"/>
      <c r="KL111" s="391"/>
      <c r="KM111" s="389"/>
      <c r="KN111" s="390" t="str">
        <f t="shared" si="248"/>
        <v>2026//1//13</v>
      </c>
      <c r="KO111" s="390">
        <v>6863676</v>
      </c>
      <c r="KP111" s="390">
        <v>6855376</v>
      </c>
      <c r="KQ111" s="416">
        <v>8300</v>
      </c>
      <c r="KR111" s="417">
        <v>0.0012</v>
      </c>
      <c r="KS111" s="192"/>
      <c r="KT111" s="192"/>
      <c r="KU111" s="389"/>
      <c r="KV111" s="390" t="str">
        <f t="shared" si="249"/>
        <v>2026//1//13</v>
      </c>
      <c r="KW111" s="390">
        <v>1046173</v>
      </c>
      <c r="KX111" s="390">
        <v>1051973</v>
      </c>
      <c r="KY111" s="346">
        <v>-5800</v>
      </c>
      <c r="KZ111" s="347">
        <v>-0.0055</v>
      </c>
      <c r="LA111" s="391"/>
      <c r="LB111" s="192"/>
      <c r="LC111" s="389"/>
      <c r="LD111" s="390" t="str">
        <f t="shared" si="250"/>
        <v>2026//1//13</v>
      </c>
      <c r="LE111" s="390">
        <v>455908</v>
      </c>
      <c r="LF111" s="390">
        <v>435258</v>
      </c>
      <c r="LG111" s="416">
        <v>20650</v>
      </c>
      <c r="LH111" s="417">
        <v>0.0474</v>
      </c>
      <c r="LI111" s="192"/>
      <c r="LJ111" s="192"/>
      <c r="LK111" s="389"/>
      <c r="LL111" s="390" t="str">
        <f t="shared" si="251"/>
        <v>2026//1//13</v>
      </c>
      <c r="LM111" s="392">
        <v>3279355</v>
      </c>
      <c r="LN111" s="390">
        <v>3251455</v>
      </c>
      <c r="LO111" s="416">
        <v>27900</v>
      </c>
      <c r="LP111" s="417">
        <v>0.0086</v>
      </c>
      <c r="LQ111" s="192"/>
      <c r="LR111" s="192"/>
      <c r="LS111" s="389"/>
      <c r="LT111" s="390" t="str">
        <f t="shared" si="252"/>
        <v>2026//1//13</v>
      </c>
      <c r="LU111" s="390">
        <v>2855663</v>
      </c>
      <c r="LV111" s="390">
        <v>2786463</v>
      </c>
      <c r="LW111" s="416">
        <v>69200</v>
      </c>
      <c r="LX111" s="417">
        <v>0.0248</v>
      </c>
      <c r="LY111" s="192"/>
      <c r="LZ111" s="192"/>
      <c r="MA111" s="389"/>
      <c r="MB111" s="390" t="str">
        <f t="shared" si="253"/>
        <v>2026//1//13</v>
      </c>
      <c r="MC111" s="390">
        <v>813468</v>
      </c>
      <c r="MD111" s="390">
        <v>844868</v>
      </c>
      <c r="ME111" s="414">
        <v>-31400</v>
      </c>
      <c r="MF111" s="415">
        <v>-0.0372</v>
      </c>
      <c r="MG111" s="192"/>
      <c r="MH111" s="192"/>
      <c r="MI111" s="342"/>
      <c r="MJ111" s="341">
        <v>1.1353</v>
      </c>
      <c r="MK111" s="341" t="str">
        <f t="shared" si="254"/>
        <v>2026//1//13</v>
      </c>
      <c r="ML111" s="341">
        <v>301186</v>
      </c>
      <c r="MM111" s="12">
        <f t="shared" si="388"/>
        <v>277666</v>
      </c>
      <c r="MN111" s="341">
        <v>23520</v>
      </c>
      <c r="MO111" s="350">
        <v>0.0847</v>
      </c>
      <c r="MP111" s="192"/>
      <c r="MQ111" s="394"/>
      <c r="MR111" s="394"/>
      <c r="MS111" s="204">
        <v>1.2953</v>
      </c>
      <c r="MT111" s="295" t="str">
        <f t="shared" si="255"/>
        <v>2026//1//13</v>
      </c>
      <c r="MU111" s="204">
        <v>27215</v>
      </c>
      <c r="MV111" s="204">
        <f t="shared" si="391"/>
        <v>25015</v>
      </c>
      <c r="MW111" s="204">
        <v>2200</v>
      </c>
      <c r="MX111" s="296">
        <v>0.0879</v>
      </c>
      <c r="MY111" s="192"/>
      <c r="MZ111" s="192"/>
      <c r="NA111" s="192"/>
      <c r="NB111" s="204">
        <v>1.344</v>
      </c>
      <c r="NC111" s="204" t="str">
        <f t="shared" si="256"/>
        <v>2026//1//13</v>
      </c>
      <c r="ND111" s="204">
        <v>26691</v>
      </c>
      <c r="NE111" s="204">
        <f t="shared" si="392"/>
        <v>26691</v>
      </c>
      <c r="NF111" s="204">
        <v>0</v>
      </c>
      <c r="NG111" s="296">
        <v>0</v>
      </c>
      <c r="NH111" s="192"/>
      <c r="NI111" s="192"/>
      <c r="NJ111" s="192"/>
      <c r="NK111" s="192"/>
      <c r="NL111" s="205">
        <v>1.1668</v>
      </c>
      <c r="NM111" s="204" t="str">
        <f t="shared" si="257"/>
        <v>2026//1//13</v>
      </c>
      <c r="NN111" s="205">
        <v>2241411</v>
      </c>
      <c r="NO111" s="8">
        <f t="shared" si="393"/>
        <v>2263911</v>
      </c>
      <c r="NP111" s="205">
        <v>-22500</v>
      </c>
      <c r="NQ111" s="292">
        <v>-0.0099</v>
      </c>
      <c r="NR111" s="293"/>
      <c r="NS111" s="205">
        <v>1.0722</v>
      </c>
      <c r="NT111" s="294"/>
      <c r="NU111" s="204" t="str">
        <f t="shared" si="258"/>
        <v>2026//1//13</v>
      </c>
      <c r="NV111" s="205">
        <v>232176</v>
      </c>
      <c r="NW111" s="205">
        <f t="shared" si="394"/>
        <v>232726</v>
      </c>
      <c r="NX111" s="205">
        <v>-550</v>
      </c>
      <c r="NY111" s="292">
        <v>-0.0024</v>
      </c>
      <c r="NZ111" s="391"/>
      <c r="OA111" s="389"/>
      <c r="OB111" s="389"/>
      <c r="OC111" s="390" t="str">
        <f t="shared" si="259"/>
        <v>2026//1//13</v>
      </c>
      <c r="OD111" s="390">
        <v>13642</v>
      </c>
      <c r="OE111" s="390">
        <v>13774</v>
      </c>
      <c r="OF111" s="414">
        <v>-132</v>
      </c>
      <c r="OG111" s="415">
        <v>-0.0096</v>
      </c>
      <c r="OH111" s="192"/>
      <c r="OI111" s="192"/>
      <c r="OJ111" s="389"/>
      <c r="OK111" s="390" t="str">
        <f t="shared" si="260"/>
        <v>2026//1//13</v>
      </c>
      <c r="OO111" s="192"/>
      <c r="OP111" s="192"/>
      <c r="OQ111" s="192"/>
      <c r="OT111" s="234" t="str">
        <f t="shared" si="211"/>
        <v>2026//1//13</v>
      </c>
      <c r="OU111" s="206">
        <v>137832.4066</v>
      </c>
      <c r="OV111" s="8">
        <f t="shared" si="401"/>
        <v>137712.4066</v>
      </c>
      <c r="OW111" s="191">
        <f t="shared" si="402"/>
        <v>120</v>
      </c>
      <c r="OX111" s="192">
        <f t="shared" si="403"/>
        <v>0.000871381184620152</v>
      </c>
    </row>
    <row r="112" s="8" customFormat="1" ht="17" customHeight="1" spans="1:414">
      <c r="A112" s="15"/>
      <c r="B112" s="15"/>
      <c r="C112" s="385" t="s">
        <v>541</v>
      </c>
      <c r="D112" s="395">
        <v>8915449</v>
      </c>
      <c r="E112" s="395">
        <v>8950909</v>
      </c>
      <c r="F112" s="403">
        <v>-35460</v>
      </c>
      <c r="G112" s="404">
        <v>-0.004</v>
      </c>
      <c r="H112" s="18"/>
      <c r="I112" s="453"/>
      <c r="J112" s="453"/>
      <c r="K112" s="386" t="str">
        <f t="shared" si="212"/>
        <v>2026//1//12</v>
      </c>
      <c r="L112" s="395">
        <v>6581314</v>
      </c>
      <c r="M112" s="395">
        <v>6593464</v>
      </c>
      <c r="N112" s="403">
        <v>-12150</v>
      </c>
      <c r="O112" s="404">
        <v>-0.0018</v>
      </c>
      <c r="P112" s="18"/>
      <c r="Q112" s="453"/>
      <c r="R112" s="454"/>
      <c r="S112" s="386" t="str">
        <f t="shared" si="213"/>
        <v>2026//1//12</v>
      </c>
      <c r="T112" s="395">
        <v>5633707</v>
      </c>
      <c r="U112" s="395">
        <v>5649907</v>
      </c>
      <c r="V112" s="403">
        <v>-16200</v>
      </c>
      <c r="W112" s="404">
        <v>-0.0029</v>
      </c>
      <c r="X112" s="18"/>
      <c r="Y112" s="453"/>
      <c r="Z112" s="454"/>
      <c r="AA112" s="386" t="str">
        <f t="shared" si="214"/>
        <v>2026//1//12</v>
      </c>
      <c r="AB112" s="395">
        <v>1955297</v>
      </c>
      <c r="AC112" s="395">
        <v>1952177</v>
      </c>
      <c r="AD112" s="459">
        <v>3120</v>
      </c>
      <c r="AE112" s="460">
        <v>0.0016</v>
      </c>
      <c r="AF112" s="18"/>
      <c r="AG112" s="453"/>
      <c r="AH112" s="454"/>
      <c r="AI112" s="386" t="str">
        <f t="shared" si="215"/>
        <v>2026//1//12</v>
      </c>
      <c r="AJ112" s="395">
        <v>2669522</v>
      </c>
      <c r="AK112" s="386">
        <v>2628722</v>
      </c>
      <c r="AL112" s="459">
        <v>40800</v>
      </c>
      <c r="AM112" s="460">
        <v>0.0155</v>
      </c>
      <c r="AN112" s="18"/>
      <c r="AO112" s="18"/>
      <c r="AP112" s="454"/>
      <c r="AQ112" s="386" t="str">
        <f t="shared" si="216"/>
        <v>2026//1//12</v>
      </c>
      <c r="AR112" s="418">
        <v>3113345</v>
      </c>
      <c r="AS112" s="395">
        <v>3156745</v>
      </c>
      <c r="AT112" s="403">
        <v>-43400</v>
      </c>
      <c r="AU112" s="404">
        <v>-0.0137</v>
      </c>
      <c r="AV112" s="18"/>
      <c r="AW112" s="18"/>
      <c r="AX112" s="17"/>
      <c r="AY112" s="205">
        <v>4.9965</v>
      </c>
      <c r="AZ112" s="204" t="str">
        <f t="shared" si="217"/>
        <v>2026//1//12</v>
      </c>
      <c r="BA112" s="205">
        <v>4090882</v>
      </c>
      <c r="BB112" s="205">
        <f t="shared" si="279"/>
        <v>4092592</v>
      </c>
      <c r="BC112" s="205">
        <v>-1710</v>
      </c>
      <c r="BD112" s="292">
        <v>-0.0004</v>
      </c>
      <c r="BE112" s="18"/>
      <c r="BF112" s="18"/>
      <c r="BG112" s="74"/>
      <c r="BH112" s="387" t="str">
        <f t="shared" si="218"/>
        <v>2026//1//12</v>
      </c>
      <c r="BI112" s="387">
        <v>292127</v>
      </c>
      <c r="BJ112" s="387">
        <v>275427</v>
      </c>
      <c r="BK112" s="421">
        <v>16700</v>
      </c>
      <c r="BL112" s="422">
        <v>0.0606</v>
      </c>
      <c r="BM112" s="197"/>
      <c r="BN112" s="192"/>
      <c r="BO112" s="389"/>
      <c r="BP112" s="390" t="str">
        <f t="shared" si="219"/>
        <v>2026//1//12</v>
      </c>
      <c r="BQ112" s="392">
        <v>851762</v>
      </c>
      <c r="BR112" s="390">
        <v>725362</v>
      </c>
      <c r="BS112" s="416">
        <v>126400</v>
      </c>
      <c r="BT112" s="417">
        <v>0.1743</v>
      </c>
      <c r="BU112" s="192"/>
      <c r="BV112" s="192"/>
      <c r="BW112" s="389"/>
      <c r="BX112" s="390" t="str">
        <f t="shared" si="220"/>
        <v>2026//1//12</v>
      </c>
      <c r="BY112" s="390">
        <v>2365911</v>
      </c>
      <c r="BZ112" s="390">
        <v>2326111</v>
      </c>
      <c r="CA112" s="416">
        <v>39800</v>
      </c>
      <c r="CB112" s="417">
        <v>0.0171</v>
      </c>
      <c r="CC112" s="192"/>
      <c r="CD112" s="409"/>
      <c r="CE112" s="389"/>
      <c r="CF112" s="390" t="str">
        <f t="shared" si="221"/>
        <v>2026//1//12</v>
      </c>
      <c r="CG112" s="390">
        <v>1309254</v>
      </c>
      <c r="CH112" s="12">
        <f t="shared" si="289"/>
        <v>1251654</v>
      </c>
      <c r="CI112" s="12">
        <f t="shared" si="290"/>
        <v>57600</v>
      </c>
      <c r="CJ112" s="199">
        <f t="shared" si="291"/>
        <v>0.0460191075169336</v>
      </c>
      <c r="CK112" s="192"/>
      <c r="CL112" s="391"/>
      <c r="CM112" s="389"/>
      <c r="CN112" s="390" t="str">
        <f t="shared" si="222"/>
        <v>2026//1//12</v>
      </c>
      <c r="CO112" s="390">
        <v>506446</v>
      </c>
      <c r="CP112" s="390">
        <v>487146</v>
      </c>
      <c r="CQ112" s="12">
        <f t="shared" si="293"/>
        <v>19300</v>
      </c>
      <c r="CR112" s="199">
        <f t="shared" si="294"/>
        <v>0.0396185127251378</v>
      </c>
      <c r="CS112" s="391"/>
      <c r="CT112" s="391"/>
      <c r="CU112" s="389"/>
      <c r="CV112" s="390" t="str">
        <f t="shared" si="223"/>
        <v>2026//1//12</v>
      </c>
      <c r="CW112" s="390">
        <v>607340</v>
      </c>
      <c r="CX112" s="390">
        <v>601090</v>
      </c>
      <c r="CY112" s="416">
        <v>6250</v>
      </c>
      <c r="CZ112" s="417">
        <v>0.0104</v>
      </c>
      <c r="DA112" s="192"/>
      <c r="DB112" s="192"/>
      <c r="DC112" s="277"/>
      <c r="DD112" s="390" t="str">
        <f t="shared" si="224"/>
        <v>2026//1//12</v>
      </c>
      <c r="DE112" s="390">
        <v>1512918</v>
      </c>
      <c r="DF112" s="12">
        <f t="shared" si="298"/>
        <v>1434518</v>
      </c>
      <c r="DG112" s="416">
        <v>39200</v>
      </c>
      <c r="DH112" s="417">
        <v>0.0547</v>
      </c>
      <c r="DI112" s="192"/>
      <c r="DJ112" s="192"/>
      <c r="DK112" s="389"/>
      <c r="DL112" s="390" t="str">
        <f t="shared" si="225"/>
        <v>2026//1//12</v>
      </c>
      <c r="DM112" s="390">
        <v>1286300</v>
      </c>
      <c r="DN112" s="390">
        <v>1290700</v>
      </c>
      <c r="DO112" s="414">
        <v>-4400</v>
      </c>
      <c r="DP112" s="415">
        <v>-0.0034</v>
      </c>
      <c r="DQ112" s="192"/>
      <c r="DR112" s="192"/>
      <c r="DS112" s="389"/>
      <c r="DT112" s="390" t="str">
        <f t="shared" si="226"/>
        <v>2026//1//12</v>
      </c>
      <c r="DU112" s="390">
        <v>1663589</v>
      </c>
      <c r="DV112" s="390">
        <v>1674389</v>
      </c>
      <c r="DW112" s="414">
        <v>-10800</v>
      </c>
      <c r="DX112" s="415">
        <v>-0.0065</v>
      </c>
      <c r="DY112" s="192"/>
      <c r="DZ112" s="192"/>
      <c r="EA112" s="389"/>
      <c r="EB112" s="390" t="str">
        <f t="shared" si="227"/>
        <v>2026//1//12</v>
      </c>
      <c r="EC112" s="390">
        <v>5338617</v>
      </c>
      <c r="ED112" s="390">
        <v>5349867</v>
      </c>
      <c r="EE112" s="414">
        <v>-11250</v>
      </c>
      <c r="EF112" s="415">
        <v>-0.0021</v>
      </c>
      <c r="EG112" s="192"/>
      <c r="EH112" s="192"/>
      <c r="EI112" s="389"/>
      <c r="EJ112" s="390" t="str">
        <f t="shared" si="228"/>
        <v>2026//1//12</v>
      </c>
      <c r="EK112" s="390">
        <v>1431323</v>
      </c>
      <c r="EL112" s="390">
        <v>1411923</v>
      </c>
      <c r="EM112" s="416">
        <v>19400</v>
      </c>
      <c r="EN112" s="417">
        <v>0.0137</v>
      </c>
      <c r="EO112" s="192"/>
      <c r="EP112" s="192"/>
      <c r="EQ112" s="340"/>
      <c r="ER112" s="341" t="str">
        <f t="shared" si="229"/>
        <v>2026//1//12</v>
      </c>
      <c r="ES112" s="341">
        <v>457547</v>
      </c>
      <c r="ET112" s="341">
        <v>447647</v>
      </c>
      <c r="EU112" s="341">
        <v>9900</v>
      </c>
      <c r="EV112" s="350">
        <v>0.0221</v>
      </c>
      <c r="EW112" s="192"/>
      <c r="EX112" s="192"/>
      <c r="EY112" s="389"/>
      <c r="EZ112" s="390" t="str">
        <f t="shared" si="230"/>
        <v>2026//1//12</v>
      </c>
      <c r="FA112" s="390">
        <v>764608</v>
      </c>
      <c r="FB112" s="390">
        <v>752108</v>
      </c>
      <c r="FC112" s="416">
        <v>12500</v>
      </c>
      <c r="FD112" s="417">
        <v>0.0166</v>
      </c>
      <c r="FE112" s="192"/>
      <c r="FF112" s="192"/>
      <c r="FH112" s="390" t="str">
        <f t="shared" si="231"/>
        <v>2026//1//12</v>
      </c>
      <c r="FI112" s="392">
        <v>650695</v>
      </c>
      <c r="FJ112" s="390">
        <v>590395</v>
      </c>
      <c r="FK112" s="348">
        <v>60300</v>
      </c>
      <c r="FL112" s="349">
        <v>0.1021</v>
      </c>
      <c r="FM112" s="391"/>
      <c r="FN112" s="391"/>
      <c r="FO112" s="389"/>
      <c r="FP112" s="390" t="str">
        <f t="shared" si="232"/>
        <v>2026//1//12</v>
      </c>
      <c r="FQ112" s="390">
        <v>2478269</v>
      </c>
      <c r="FR112" s="390">
        <v>2494319</v>
      </c>
      <c r="FS112" s="414">
        <v>-16050</v>
      </c>
      <c r="FT112" s="415">
        <v>-0.0064</v>
      </c>
      <c r="FU112" s="192"/>
      <c r="FV112" s="192"/>
      <c r="FW112" s="389"/>
      <c r="FX112" s="390" t="str">
        <f t="shared" si="233"/>
        <v>2026//1//12</v>
      </c>
      <c r="FY112" s="390">
        <v>7294282</v>
      </c>
      <c r="FZ112" s="390">
        <v>7291782</v>
      </c>
      <c r="GA112" s="416">
        <v>2500</v>
      </c>
      <c r="GB112" s="417">
        <v>0.0003</v>
      </c>
      <c r="GC112" s="192"/>
      <c r="GD112" s="192"/>
      <c r="GE112" s="389"/>
      <c r="GF112" s="390" t="str">
        <f t="shared" si="234"/>
        <v>2026//1//12</v>
      </c>
      <c r="GG112" s="390">
        <v>4350169</v>
      </c>
      <c r="GH112" s="390">
        <v>4375569</v>
      </c>
      <c r="GI112" s="414">
        <v>-25400</v>
      </c>
      <c r="GJ112" s="415">
        <v>-0.0058</v>
      </c>
      <c r="GK112" s="192"/>
      <c r="GL112" s="192"/>
      <c r="GM112" s="389"/>
      <c r="GN112" s="390" t="str">
        <f t="shared" si="235"/>
        <v>2026//1//12</v>
      </c>
      <c r="GO112" s="390">
        <v>1598518</v>
      </c>
      <c r="GP112" s="390">
        <v>1549858</v>
      </c>
      <c r="GQ112" s="416">
        <v>48660</v>
      </c>
      <c r="GR112" s="417">
        <v>0.0314</v>
      </c>
      <c r="GS112" s="192"/>
      <c r="GT112" s="192"/>
      <c r="GU112" s="389"/>
      <c r="GV112" s="390" t="str">
        <f t="shared" si="236"/>
        <v>2026//1//12</v>
      </c>
      <c r="GW112" s="390">
        <v>1078749</v>
      </c>
      <c r="GX112" s="390">
        <v>1126949</v>
      </c>
      <c r="GY112" s="414">
        <v>-48200</v>
      </c>
      <c r="GZ112" s="415">
        <v>-0.0428</v>
      </c>
      <c r="HA112" s="192"/>
      <c r="HB112" s="192"/>
      <c r="HC112" s="389"/>
      <c r="HD112" s="390" t="str">
        <f t="shared" si="237"/>
        <v>2026//1//12</v>
      </c>
      <c r="HE112" s="390">
        <v>1306765</v>
      </c>
      <c r="HF112" s="390">
        <v>1315265</v>
      </c>
      <c r="HG112" s="414">
        <v>-8500</v>
      </c>
      <c r="HH112" s="415">
        <v>-0.0065</v>
      </c>
      <c r="HI112" s="391"/>
      <c r="HJ112" s="192"/>
      <c r="HK112" s="389"/>
      <c r="HL112" s="390" t="str">
        <f t="shared" si="238"/>
        <v>2026//1//12</v>
      </c>
      <c r="HM112" s="390">
        <v>147804</v>
      </c>
      <c r="HN112" s="390">
        <v>151504</v>
      </c>
      <c r="HO112" s="414">
        <v>-3700</v>
      </c>
      <c r="HP112" s="415">
        <v>-0.0244</v>
      </c>
      <c r="HQ112" s="192"/>
      <c r="HR112" s="192"/>
      <c r="HS112" s="389"/>
      <c r="HT112" s="390" t="str">
        <f t="shared" si="239"/>
        <v>2026//1//12</v>
      </c>
      <c r="HU112" s="390">
        <v>102669</v>
      </c>
      <c r="HV112" s="390">
        <v>102969</v>
      </c>
      <c r="HW112" s="414">
        <v>-300</v>
      </c>
      <c r="HX112" s="415">
        <v>-0.0029</v>
      </c>
      <c r="HY112" s="192"/>
      <c r="HZ112" s="192"/>
      <c r="IA112" s="389"/>
      <c r="IB112" s="390" t="str">
        <f t="shared" si="240"/>
        <v>2026//1//12</v>
      </c>
      <c r="IC112" s="200">
        <v>310209.79</v>
      </c>
      <c r="ID112" s="200">
        <v>313709.79</v>
      </c>
      <c r="IE112" s="346">
        <f t="shared" si="347"/>
        <v>-3500</v>
      </c>
      <c r="IF112" s="347">
        <f t="shared" si="348"/>
        <v>-0.0111568083355001</v>
      </c>
      <c r="IG112" s="391"/>
      <c r="IH112" s="192"/>
      <c r="II112" s="389"/>
      <c r="IJ112" s="390" t="str">
        <f t="shared" si="241"/>
        <v>2026//1//12</v>
      </c>
      <c r="IK112" s="390">
        <v>344316</v>
      </c>
      <c r="IL112" s="390">
        <v>342476</v>
      </c>
      <c r="IM112" s="416">
        <v>1840</v>
      </c>
      <c r="IN112" s="417">
        <v>0.0054</v>
      </c>
      <c r="IO112" s="192"/>
      <c r="IP112" s="192"/>
      <c r="IQ112" s="389"/>
      <c r="IR112" s="390" t="str">
        <f t="shared" si="242"/>
        <v>2026//1//12</v>
      </c>
      <c r="IS112" s="390">
        <v>115389</v>
      </c>
      <c r="IT112" s="390">
        <v>105289</v>
      </c>
      <c r="IU112" s="416">
        <v>10100</v>
      </c>
      <c r="IV112" s="417">
        <v>0.0959</v>
      </c>
      <c r="IW112" s="192"/>
      <c r="IX112" s="192"/>
      <c r="IY112" s="389"/>
      <c r="IZ112" s="390" t="str">
        <f t="shared" si="243"/>
        <v>2026//1//12</v>
      </c>
      <c r="JA112" s="390">
        <v>4718729</v>
      </c>
      <c r="JB112" s="390">
        <v>4749529</v>
      </c>
      <c r="JC112" s="414">
        <v>-30800</v>
      </c>
      <c r="JD112" s="415">
        <v>-0.0065</v>
      </c>
      <c r="JE112" s="192"/>
      <c r="JF112" s="192"/>
      <c r="JG112" s="389"/>
      <c r="JH112" s="390" t="str">
        <f t="shared" si="244"/>
        <v>2026//1//12</v>
      </c>
      <c r="JI112" s="390">
        <v>1473028</v>
      </c>
      <c r="JJ112" s="390">
        <v>1492828</v>
      </c>
      <c r="JK112" s="414">
        <v>-19800</v>
      </c>
      <c r="JL112" s="415">
        <v>-0.0133</v>
      </c>
      <c r="JM112" s="192"/>
      <c r="JN112" s="192"/>
      <c r="JP112" s="390" t="str">
        <f t="shared" si="245"/>
        <v>2026//1//12</v>
      </c>
      <c r="JQ112" s="390">
        <v>1222990</v>
      </c>
      <c r="JR112" s="390">
        <v>1267790</v>
      </c>
      <c r="JS112" s="414">
        <v>-44800</v>
      </c>
      <c r="JT112" s="415">
        <v>-0.0353</v>
      </c>
      <c r="JU112" s="192"/>
      <c r="JV112" s="409"/>
      <c r="JX112" s="390" t="str">
        <f t="shared" si="246"/>
        <v>2026//1//12</v>
      </c>
      <c r="JY112" s="390">
        <v>1388049</v>
      </c>
      <c r="JZ112" s="390">
        <v>1388099</v>
      </c>
      <c r="KA112" s="414">
        <v>-50</v>
      </c>
      <c r="KB112" s="409">
        <v>0</v>
      </c>
      <c r="KC112" s="192"/>
      <c r="KD112" s="409"/>
      <c r="KF112" s="390" t="str">
        <f t="shared" si="247"/>
        <v>2026//1//12</v>
      </c>
      <c r="KG112" s="390">
        <v>867956</v>
      </c>
      <c r="KH112" s="390">
        <v>867956</v>
      </c>
      <c r="KI112" s="410">
        <v>0</v>
      </c>
      <c r="KJ112" s="409">
        <v>0</v>
      </c>
      <c r="KK112" s="391"/>
      <c r="KL112" s="391"/>
      <c r="KM112" s="389"/>
      <c r="KN112" s="390" t="str">
        <f t="shared" si="248"/>
        <v>2026//1//12</v>
      </c>
      <c r="KO112" s="390">
        <v>6855376</v>
      </c>
      <c r="KP112" s="390">
        <v>6846876</v>
      </c>
      <c r="KQ112" s="416">
        <v>8500</v>
      </c>
      <c r="KR112" s="417">
        <v>0.0012</v>
      </c>
      <c r="KS112" s="192"/>
      <c r="KT112" s="192"/>
      <c r="KU112" s="389"/>
      <c r="KV112" s="390" t="str">
        <f t="shared" si="249"/>
        <v>2026//1//12</v>
      </c>
      <c r="KW112" s="390">
        <v>1051973</v>
      </c>
      <c r="KX112" s="390">
        <v>1046173</v>
      </c>
      <c r="KY112" s="348">
        <v>5800</v>
      </c>
      <c r="KZ112" s="349">
        <v>0.0055</v>
      </c>
      <c r="LA112" s="391"/>
      <c r="LB112" s="192"/>
      <c r="LC112" s="389"/>
      <c r="LD112" s="390" t="str">
        <f t="shared" si="250"/>
        <v>2026//1//12</v>
      </c>
      <c r="LE112" s="390">
        <v>435258</v>
      </c>
      <c r="LF112" s="390">
        <v>431508</v>
      </c>
      <c r="LG112" s="416">
        <v>3750</v>
      </c>
      <c r="LH112" s="417">
        <v>0.0087</v>
      </c>
      <c r="LI112" s="192"/>
      <c r="LJ112" s="192"/>
      <c r="LK112" s="389"/>
      <c r="LL112" s="390" t="str">
        <f t="shared" si="251"/>
        <v>2026//1//12</v>
      </c>
      <c r="LM112" s="392">
        <v>3251455</v>
      </c>
      <c r="LN112" s="390">
        <v>3281875</v>
      </c>
      <c r="LO112" s="414">
        <v>-30420</v>
      </c>
      <c r="LP112" s="415">
        <v>-0.0093</v>
      </c>
      <c r="LQ112" s="192"/>
      <c r="LR112" s="192"/>
      <c r="LS112" s="389"/>
      <c r="LT112" s="390" t="str">
        <f t="shared" si="252"/>
        <v>2026//1//12</v>
      </c>
      <c r="LU112" s="390">
        <v>2786463</v>
      </c>
      <c r="LV112" s="390">
        <v>2762863</v>
      </c>
      <c r="LW112" s="416">
        <v>23600</v>
      </c>
      <c r="LX112" s="417">
        <v>0.0085</v>
      </c>
      <c r="LY112" s="192"/>
      <c r="LZ112" s="192"/>
      <c r="MA112" s="389"/>
      <c r="MB112" s="390" t="str">
        <f t="shared" si="253"/>
        <v>2026//1//12</v>
      </c>
      <c r="MC112" s="390">
        <v>844868</v>
      </c>
      <c r="MD112" s="390">
        <v>873218</v>
      </c>
      <c r="ME112" s="414">
        <v>-28350</v>
      </c>
      <c r="MF112" s="415">
        <v>-0.0325</v>
      </c>
      <c r="MG112" s="192"/>
      <c r="MH112" s="192"/>
      <c r="MI112" s="342"/>
      <c r="MJ112" s="341">
        <v>1.1586</v>
      </c>
      <c r="MK112" s="341" t="str">
        <f t="shared" si="254"/>
        <v>2026//1//12</v>
      </c>
      <c r="ML112" s="341">
        <v>277666</v>
      </c>
      <c r="MM112" s="12">
        <f t="shared" si="388"/>
        <v>251146</v>
      </c>
      <c r="MN112" s="341">
        <v>26520</v>
      </c>
      <c r="MO112" s="350">
        <v>0.1056</v>
      </c>
      <c r="MP112" s="192"/>
      <c r="MQ112" s="394"/>
      <c r="MR112" s="394"/>
      <c r="MS112" s="204">
        <v>1.2774</v>
      </c>
      <c r="MT112" s="295" t="str">
        <f t="shared" si="255"/>
        <v>2026//1//12</v>
      </c>
      <c r="MU112" s="204">
        <v>25015</v>
      </c>
      <c r="MV112" s="204">
        <f t="shared" si="391"/>
        <v>24715</v>
      </c>
      <c r="MW112" s="204">
        <v>300</v>
      </c>
      <c r="MX112" s="296">
        <v>0.0121</v>
      </c>
      <c r="MY112" s="192"/>
      <c r="MZ112" s="192"/>
      <c r="NA112" s="192"/>
      <c r="NB112" s="204">
        <v>1.345</v>
      </c>
      <c r="NC112" s="204" t="str">
        <f t="shared" si="256"/>
        <v>2026//1//12</v>
      </c>
      <c r="ND112" s="204">
        <v>26691</v>
      </c>
      <c r="NE112" s="204">
        <f t="shared" si="392"/>
        <v>26491</v>
      </c>
      <c r="NF112" s="204">
        <v>200</v>
      </c>
      <c r="NG112" s="296">
        <v>0.0075</v>
      </c>
      <c r="NH112" s="192"/>
      <c r="NI112" s="192"/>
      <c r="NJ112" s="192"/>
      <c r="NK112" s="192"/>
      <c r="NL112" s="205">
        <v>1.1637</v>
      </c>
      <c r="NM112" s="204" t="str">
        <f t="shared" si="257"/>
        <v>2026//1//12</v>
      </c>
      <c r="NN112" s="205">
        <v>2263911</v>
      </c>
      <c r="NO112" s="8">
        <f t="shared" si="393"/>
        <v>2284311</v>
      </c>
      <c r="NP112" s="205">
        <v>-20400</v>
      </c>
      <c r="NQ112" s="292">
        <v>-0.0089</v>
      </c>
      <c r="NR112" s="293"/>
      <c r="NS112" s="205">
        <v>1.0727</v>
      </c>
      <c r="NT112" s="294"/>
      <c r="NU112" s="204" t="str">
        <f t="shared" si="258"/>
        <v>2026//1//12</v>
      </c>
      <c r="NV112" s="205">
        <v>232726</v>
      </c>
      <c r="NW112" s="205">
        <f t="shared" si="394"/>
        <v>232576</v>
      </c>
      <c r="NX112" s="205">
        <v>150</v>
      </c>
      <c r="NY112" s="292">
        <v>0.0006</v>
      </c>
      <c r="NZ112" s="391"/>
      <c r="OA112" s="389"/>
      <c r="OB112" s="389"/>
      <c r="OC112" s="390" t="str">
        <f t="shared" si="259"/>
        <v>2026//1//12</v>
      </c>
      <c r="OD112" s="390">
        <v>13774</v>
      </c>
      <c r="OE112" s="390">
        <v>13841</v>
      </c>
      <c r="OF112" s="414">
        <v>-67</v>
      </c>
      <c r="OG112" s="415">
        <v>-0.0048</v>
      </c>
      <c r="OH112" s="192"/>
      <c r="OI112" s="192"/>
      <c r="OJ112" s="389"/>
      <c r="OK112" s="390" t="str">
        <f t="shared" si="260"/>
        <v>2026//1//12</v>
      </c>
      <c r="OM112" s="8">
        <f t="shared" ref="OM112:OM119" si="404">OL113</f>
        <v>11281.65</v>
      </c>
      <c r="OO112" s="192"/>
      <c r="OP112" s="192"/>
      <c r="OQ112" s="192"/>
      <c r="OT112" s="234" t="str">
        <f t="shared" si="211"/>
        <v>2026//1//12</v>
      </c>
      <c r="OU112" s="206">
        <v>137712.4066</v>
      </c>
      <c r="OV112" s="8">
        <f t="shared" si="401"/>
        <v>137592.4066</v>
      </c>
      <c r="OW112" s="191">
        <f t="shared" si="402"/>
        <v>120</v>
      </c>
      <c r="OX112" s="192">
        <f t="shared" si="403"/>
        <v>0.000872141152010347</v>
      </c>
    </row>
    <row r="113" s="9" customFormat="1" ht="17" customHeight="1" spans="1:414">
      <c r="A113" s="212"/>
      <c r="B113" s="212"/>
      <c r="C113" s="425" t="s">
        <v>542</v>
      </c>
      <c r="D113" s="426">
        <v>8950909</v>
      </c>
      <c r="E113" s="426">
        <v>8914279</v>
      </c>
      <c r="F113" s="432">
        <v>36630</v>
      </c>
      <c r="G113" s="433">
        <v>0.0041</v>
      </c>
      <c r="H113" s="216">
        <f>(D113-D118)/D118</f>
        <v>0.00764947806243393</v>
      </c>
      <c r="I113" s="429"/>
      <c r="J113" s="429"/>
      <c r="K113" s="430" t="str">
        <f t="shared" si="212"/>
        <v>2026//1//9</v>
      </c>
      <c r="L113" s="426">
        <v>6593464</v>
      </c>
      <c r="M113" s="426">
        <v>6592114</v>
      </c>
      <c r="N113" s="432">
        <v>1350</v>
      </c>
      <c r="O113" s="433">
        <v>0.0002</v>
      </c>
      <c r="P113" s="216">
        <f>(L113-L118)/L118</f>
        <v>0.00123000034622232</v>
      </c>
      <c r="Q113" s="429"/>
      <c r="R113" s="431"/>
      <c r="S113" s="430" t="str">
        <f t="shared" si="213"/>
        <v>2026//1//9</v>
      </c>
      <c r="T113" s="426">
        <v>5649907</v>
      </c>
      <c r="U113" s="426">
        <v>5640457</v>
      </c>
      <c r="V113" s="432">
        <v>9450</v>
      </c>
      <c r="W113" s="433">
        <v>0.0017</v>
      </c>
      <c r="X113" s="216">
        <f>(T113-T118)/T118</f>
        <v>-0.00292245591477017</v>
      </c>
      <c r="Y113" s="429"/>
      <c r="Z113" s="431"/>
      <c r="AA113" s="430" t="str">
        <f t="shared" si="214"/>
        <v>2026//1//9</v>
      </c>
      <c r="AB113" s="426">
        <v>1952177</v>
      </c>
      <c r="AC113" s="426">
        <v>1935857</v>
      </c>
      <c r="AD113" s="432">
        <v>16320</v>
      </c>
      <c r="AE113" s="433">
        <v>0.0084</v>
      </c>
      <c r="AF113" s="216">
        <f>(AB113-AB118)/AB118</f>
        <v>0.023981658122895</v>
      </c>
      <c r="AG113" s="429"/>
      <c r="AH113" s="431"/>
      <c r="AI113" s="430" t="str">
        <f t="shared" si="215"/>
        <v>2026//1//9</v>
      </c>
      <c r="AJ113" s="426">
        <v>2628722</v>
      </c>
      <c r="AK113" s="430">
        <v>2569922</v>
      </c>
      <c r="AL113" s="432">
        <v>58800</v>
      </c>
      <c r="AM113" s="433">
        <v>0.0229</v>
      </c>
      <c r="AN113" s="216">
        <f>(AJ113-AJ118)/AJ118</f>
        <v>0.0247941423448865</v>
      </c>
      <c r="AO113" s="216"/>
      <c r="AP113" s="431"/>
      <c r="AQ113" s="430" t="str">
        <f t="shared" si="216"/>
        <v>2026//1//9</v>
      </c>
      <c r="AR113" s="461">
        <v>3156745</v>
      </c>
      <c r="AS113" s="426">
        <v>3170845</v>
      </c>
      <c r="AT113" s="427">
        <v>-14100</v>
      </c>
      <c r="AU113" s="428">
        <v>-0.0044</v>
      </c>
      <c r="AV113" s="216">
        <f>(AR113-AR118)/AR118</f>
        <v>0.00206333158214679</v>
      </c>
      <c r="AW113" s="216"/>
      <c r="AX113" s="217"/>
      <c r="AY113" s="232">
        <v>4.964</v>
      </c>
      <c r="AZ113" s="231" t="str">
        <f t="shared" si="217"/>
        <v>2026//1//9</v>
      </c>
      <c r="BA113" s="232">
        <v>4092592</v>
      </c>
      <c r="BB113" s="232">
        <f t="shared" si="279"/>
        <v>4088092</v>
      </c>
      <c r="BC113" s="232">
        <v>4500</v>
      </c>
      <c r="BD113" s="314">
        <v>0.0011</v>
      </c>
      <c r="BE113" s="216">
        <f>(BA113-BA118)/BA118</f>
        <v>0.00262378971268645</v>
      </c>
      <c r="BF113" s="216"/>
      <c r="BG113" s="219"/>
      <c r="BH113" s="435" t="str">
        <f t="shared" si="218"/>
        <v>2026//1//9</v>
      </c>
      <c r="BI113" s="435">
        <v>275427</v>
      </c>
      <c r="BJ113" s="435">
        <v>268427</v>
      </c>
      <c r="BK113" s="436">
        <v>7000</v>
      </c>
      <c r="BL113" s="437">
        <v>0.0261</v>
      </c>
      <c r="BM113" s="223"/>
      <c r="BN113" s="224"/>
      <c r="BO113" s="438"/>
      <c r="BP113" s="439" t="str">
        <f t="shared" si="219"/>
        <v>2026//1//9</v>
      </c>
      <c r="BQ113" s="440">
        <v>725362</v>
      </c>
      <c r="BR113" s="439">
        <v>730462</v>
      </c>
      <c r="BS113" s="447">
        <v>-5100</v>
      </c>
      <c r="BT113" s="448">
        <v>-0.007</v>
      </c>
      <c r="BU113" s="224"/>
      <c r="BV113" s="224"/>
      <c r="BW113" s="438"/>
      <c r="BX113" s="439" t="str">
        <f t="shared" si="220"/>
        <v>2026//1//9</v>
      </c>
      <c r="BY113" s="439">
        <v>2326111</v>
      </c>
      <c r="BZ113" s="439">
        <v>2271361</v>
      </c>
      <c r="CA113" s="441">
        <v>54750</v>
      </c>
      <c r="CB113" s="442">
        <v>0.0241</v>
      </c>
      <c r="CC113" s="224"/>
      <c r="CD113" s="443"/>
      <c r="CE113" s="438"/>
      <c r="CF113" s="439" t="str">
        <f t="shared" si="221"/>
        <v>2026//1//9</v>
      </c>
      <c r="CG113" s="439">
        <v>1251654</v>
      </c>
      <c r="CH113" s="13">
        <f t="shared" si="289"/>
        <v>1219154</v>
      </c>
      <c r="CI113" s="13">
        <f t="shared" si="290"/>
        <v>32500</v>
      </c>
      <c r="CJ113" s="226">
        <f t="shared" si="291"/>
        <v>0.0266578299378093</v>
      </c>
      <c r="CK113" s="224"/>
      <c r="CL113" s="443"/>
      <c r="CM113" s="438"/>
      <c r="CN113" s="439" t="str">
        <f t="shared" si="222"/>
        <v>2026//1//9</v>
      </c>
      <c r="CO113" s="439">
        <v>487146</v>
      </c>
      <c r="CP113" s="439">
        <v>471646</v>
      </c>
      <c r="CQ113" s="13">
        <f t="shared" si="293"/>
        <v>15500</v>
      </c>
      <c r="CR113" s="226">
        <f t="shared" si="294"/>
        <v>0.0328636307739279</v>
      </c>
      <c r="CS113" s="443"/>
      <c r="CT113" s="443"/>
      <c r="CU113" s="438"/>
      <c r="CV113" s="439" t="str">
        <f t="shared" si="223"/>
        <v>2026//1//9</v>
      </c>
      <c r="CW113" s="439">
        <v>601090</v>
      </c>
      <c r="CX113" s="439">
        <v>602290</v>
      </c>
      <c r="CY113" s="447">
        <v>-1200</v>
      </c>
      <c r="CZ113" s="448">
        <v>-0.002</v>
      </c>
      <c r="DA113" s="224"/>
      <c r="DB113" s="224"/>
      <c r="DC113" s="276"/>
      <c r="DD113" s="439" t="str">
        <f t="shared" si="224"/>
        <v>2026//1//9</v>
      </c>
      <c r="DE113" s="439">
        <v>1434518</v>
      </c>
      <c r="DF113" s="13">
        <f t="shared" si="298"/>
        <v>1303718</v>
      </c>
      <c r="DG113" s="441">
        <v>65400</v>
      </c>
      <c r="DH113" s="442">
        <v>0.1003</v>
      </c>
      <c r="DI113" s="224"/>
      <c r="DJ113" s="224"/>
      <c r="DK113" s="438"/>
      <c r="DL113" s="439" t="str">
        <f t="shared" si="225"/>
        <v>2026//1//9</v>
      </c>
      <c r="DM113" s="439">
        <v>1290700</v>
      </c>
      <c r="DN113" s="439">
        <v>1290700</v>
      </c>
      <c r="DO113" s="439">
        <v>0</v>
      </c>
      <c r="DP113" s="443">
        <v>0</v>
      </c>
      <c r="DQ113" s="224"/>
      <c r="DR113" s="224"/>
      <c r="DS113" s="438"/>
      <c r="DT113" s="439" t="str">
        <f t="shared" si="226"/>
        <v>2026//1//9</v>
      </c>
      <c r="DU113" s="439">
        <v>1674389</v>
      </c>
      <c r="DV113" s="439">
        <v>1656089</v>
      </c>
      <c r="DW113" s="441">
        <v>18300</v>
      </c>
      <c r="DX113" s="442">
        <v>0.0111</v>
      </c>
      <c r="DY113" s="224"/>
      <c r="DZ113" s="224"/>
      <c r="EA113" s="438"/>
      <c r="EB113" s="439" t="str">
        <f t="shared" si="227"/>
        <v>2026//1//9</v>
      </c>
      <c r="EC113" s="439">
        <v>5349867</v>
      </c>
      <c r="ED113" s="439">
        <v>5329617</v>
      </c>
      <c r="EE113" s="441">
        <v>20250</v>
      </c>
      <c r="EF113" s="442">
        <v>0.0038</v>
      </c>
      <c r="EG113" s="224"/>
      <c r="EH113" s="224"/>
      <c r="EI113" s="438"/>
      <c r="EJ113" s="439" t="str">
        <f t="shared" si="228"/>
        <v>2026//1//9</v>
      </c>
      <c r="EK113" s="439">
        <v>1411923</v>
      </c>
      <c r="EL113" s="439">
        <v>1412523</v>
      </c>
      <c r="EM113" s="447">
        <v>-600</v>
      </c>
      <c r="EN113" s="448">
        <v>-0.0004</v>
      </c>
      <c r="EO113" s="224"/>
      <c r="EP113" s="224"/>
      <c r="EQ113" s="444"/>
      <c r="ER113" s="445" t="str">
        <f t="shared" si="229"/>
        <v>2026//1//9</v>
      </c>
      <c r="ES113" s="445">
        <v>447647</v>
      </c>
      <c r="ET113" s="445">
        <v>448397</v>
      </c>
      <c r="EU113" s="445">
        <v>-750</v>
      </c>
      <c r="EV113" s="446">
        <v>-0.0017</v>
      </c>
      <c r="EW113" s="224"/>
      <c r="EX113" s="224"/>
      <c r="EY113" s="438"/>
      <c r="EZ113" s="439" t="str">
        <f t="shared" si="230"/>
        <v>2026//1//9</v>
      </c>
      <c r="FA113" s="439">
        <v>752108</v>
      </c>
      <c r="FB113" s="439">
        <v>740508</v>
      </c>
      <c r="FC113" s="441">
        <v>11600</v>
      </c>
      <c r="FD113" s="442">
        <v>0.0157</v>
      </c>
      <c r="FE113" s="224"/>
      <c r="FF113" s="224"/>
      <c r="FH113" s="439" t="str">
        <f t="shared" si="231"/>
        <v>2026//1//9</v>
      </c>
      <c r="FI113" s="440">
        <v>590395</v>
      </c>
      <c r="FJ113" s="439">
        <v>502595</v>
      </c>
      <c r="FK113" s="441">
        <v>87800</v>
      </c>
      <c r="FL113" s="442">
        <v>0.1747</v>
      </c>
      <c r="FM113" s="443"/>
      <c r="FN113" s="443"/>
      <c r="FO113" s="438"/>
      <c r="FP113" s="439" t="str">
        <f t="shared" si="232"/>
        <v>2026//1//9</v>
      </c>
      <c r="FQ113" s="439">
        <v>2494319</v>
      </c>
      <c r="FR113" s="439">
        <v>2509169</v>
      </c>
      <c r="FS113" s="447">
        <v>-14850</v>
      </c>
      <c r="FT113" s="448">
        <v>-0.0059</v>
      </c>
      <c r="FU113" s="224"/>
      <c r="FV113" s="224"/>
      <c r="FW113" s="438"/>
      <c r="FX113" s="439" t="str">
        <f t="shared" si="233"/>
        <v>2026//1//9</v>
      </c>
      <c r="FY113" s="439">
        <v>7291782</v>
      </c>
      <c r="FZ113" s="439">
        <v>7326782</v>
      </c>
      <c r="GA113" s="447">
        <v>-35000</v>
      </c>
      <c r="GB113" s="448">
        <v>-0.0048</v>
      </c>
      <c r="GC113" s="224"/>
      <c r="GD113" s="224"/>
      <c r="GE113" s="438"/>
      <c r="GF113" s="439" t="str">
        <f t="shared" si="234"/>
        <v>2026//1//9</v>
      </c>
      <c r="GG113" s="439">
        <v>4375569</v>
      </c>
      <c r="GH113" s="439">
        <v>4387869</v>
      </c>
      <c r="GI113" s="447">
        <v>-12300</v>
      </c>
      <c r="GJ113" s="448">
        <v>-0.0028</v>
      </c>
      <c r="GK113" s="224"/>
      <c r="GL113" s="224"/>
      <c r="GM113" s="438"/>
      <c r="GN113" s="439" t="str">
        <f t="shared" si="235"/>
        <v>2026//1//9</v>
      </c>
      <c r="GO113" s="439">
        <v>1549858</v>
      </c>
      <c r="GP113" s="439">
        <v>1543078</v>
      </c>
      <c r="GQ113" s="441">
        <v>6780</v>
      </c>
      <c r="GR113" s="442">
        <v>0.0044</v>
      </c>
      <c r="GS113" s="224"/>
      <c r="GT113" s="224"/>
      <c r="GU113" s="438"/>
      <c r="GV113" s="439" t="str">
        <f t="shared" si="236"/>
        <v>2026//1//9</v>
      </c>
      <c r="GW113" s="439">
        <v>1126949</v>
      </c>
      <c r="GX113" s="439">
        <v>1153949</v>
      </c>
      <c r="GY113" s="447">
        <v>-27000</v>
      </c>
      <c r="GZ113" s="448">
        <v>-0.0234</v>
      </c>
      <c r="HA113" s="224"/>
      <c r="HB113" s="224"/>
      <c r="HC113" s="438"/>
      <c r="HD113" s="439" t="str">
        <f t="shared" si="237"/>
        <v>2026//1//9</v>
      </c>
      <c r="HE113" s="439">
        <v>1315265</v>
      </c>
      <c r="HF113" s="439">
        <v>1312265</v>
      </c>
      <c r="HG113" s="441">
        <v>3000</v>
      </c>
      <c r="HH113" s="442">
        <v>0.0023</v>
      </c>
      <c r="HI113" s="443"/>
      <c r="HJ113" s="224"/>
      <c r="HK113" s="438"/>
      <c r="HL113" s="439" t="str">
        <f t="shared" si="238"/>
        <v>2026//1//9</v>
      </c>
      <c r="HM113" s="439">
        <v>151504</v>
      </c>
      <c r="HN113" s="439">
        <v>153804</v>
      </c>
      <c r="HO113" s="447">
        <v>-2300</v>
      </c>
      <c r="HP113" s="448">
        <v>-0.015</v>
      </c>
      <c r="HQ113" s="224"/>
      <c r="HR113" s="224"/>
      <c r="HS113" s="438"/>
      <c r="HT113" s="439" t="str">
        <f t="shared" si="239"/>
        <v>2026//1//9</v>
      </c>
      <c r="HU113" s="439">
        <v>102969</v>
      </c>
      <c r="HV113" s="439">
        <v>101069</v>
      </c>
      <c r="HW113" s="441">
        <v>1900</v>
      </c>
      <c r="HX113" s="442">
        <v>0.0188</v>
      </c>
      <c r="HY113" s="224"/>
      <c r="HZ113" s="224"/>
      <c r="IA113" s="438"/>
      <c r="IB113" s="439" t="str">
        <f t="shared" si="240"/>
        <v>2026//1//9</v>
      </c>
      <c r="IC113" s="227">
        <v>313709.79</v>
      </c>
      <c r="ID113" s="227">
        <v>313084.79</v>
      </c>
      <c r="IE113" s="441">
        <f t="shared" si="347"/>
        <v>625</v>
      </c>
      <c r="IF113" s="442">
        <f t="shared" si="348"/>
        <v>0.00199626433465516</v>
      </c>
      <c r="IG113" s="443"/>
      <c r="IH113" s="224"/>
      <c r="II113" s="438"/>
      <c r="IJ113" s="439" t="str">
        <f t="shared" si="241"/>
        <v>2026//1//9</v>
      </c>
      <c r="IK113" s="439">
        <v>342476</v>
      </c>
      <c r="IL113" s="439">
        <v>335596</v>
      </c>
      <c r="IM113" s="441">
        <v>6880</v>
      </c>
      <c r="IN113" s="442">
        <v>0.0205</v>
      </c>
      <c r="IO113" s="224"/>
      <c r="IP113" s="224"/>
      <c r="IQ113" s="438"/>
      <c r="IR113" s="439" t="str">
        <f t="shared" si="242"/>
        <v>2026//1//9</v>
      </c>
      <c r="IS113" s="439">
        <v>105289</v>
      </c>
      <c r="IT113" s="439">
        <v>103489</v>
      </c>
      <c r="IU113" s="441">
        <v>1800</v>
      </c>
      <c r="IV113" s="442">
        <v>0.0174</v>
      </c>
      <c r="IW113" s="224"/>
      <c r="IX113" s="224"/>
      <c r="IY113" s="438"/>
      <c r="IZ113" s="439" t="str">
        <f t="shared" si="243"/>
        <v>2026//1//9</v>
      </c>
      <c r="JA113" s="439">
        <v>4749529</v>
      </c>
      <c r="JB113" s="439">
        <v>4707829</v>
      </c>
      <c r="JC113" s="441">
        <v>41700</v>
      </c>
      <c r="JD113" s="442">
        <v>0.0089</v>
      </c>
      <c r="JE113" s="224"/>
      <c r="JF113" s="224"/>
      <c r="JG113" s="438"/>
      <c r="JH113" s="439" t="str">
        <f t="shared" si="244"/>
        <v>2026//1//9</v>
      </c>
      <c r="JI113" s="439">
        <v>1492828</v>
      </c>
      <c r="JJ113" s="439">
        <v>1492228</v>
      </c>
      <c r="JK113" s="441">
        <v>600</v>
      </c>
      <c r="JL113" s="442">
        <v>0.0004</v>
      </c>
      <c r="JM113" s="224"/>
      <c r="JN113" s="224"/>
      <c r="JP113" s="439" t="str">
        <f t="shared" si="245"/>
        <v>2026//1//9</v>
      </c>
      <c r="JQ113" s="439">
        <v>1267790</v>
      </c>
      <c r="JR113" s="439">
        <v>1282690</v>
      </c>
      <c r="JS113" s="447">
        <v>-14900</v>
      </c>
      <c r="JT113" s="448">
        <v>-0.0116</v>
      </c>
      <c r="JU113" s="224"/>
      <c r="JV113" s="443"/>
      <c r="JX113" s="439" t="str">
        <f t="shared" si="246"/>
        <v>2026//1//9</v>
      </c>
      <c r="JY113" s="439">
        <v>1388099</v>
      </c>
      <c r="JZ113" s="439">
        <v>1388399</v>
      </c>
      <c r="KA113" s="447">
        <v>-300</v>
      </c>
      <c r="KB113" s="448">
        <v>-0.0002</v>
      </c>
      <c r="KC113" s="224"/>
      <c r="KD113" s="443"/>
      <c r="KF113" s="439" t="str">
        <f t="shared" si="247"/>
        <v>2026//1//9</v>
      </c>
      <c r="KG113" s="439">
        <v>867956</v>
      </c>
      <c r="KH113" s="439">
        <v>867956</v>
      </c>
      <c r="KI113" s="439">
        <v>0</v>
      </c>
      <c r="KJ113" s="443">
        <v>0</v>
      </c>
      <c r="KK113" s="443"/>
      <c r="KL113" s="443"/>
      <c r="KM113" s="438"/>
      <c r="KN113" s="439" t="str">
        <f t="shared" si="248"/>
        <v>2026//1//9</v>
      </c>
      <c r="KO113" s="439">
        <v>6846876</v>
      </c>
      <c r="KP113" s="439">
        <v>6790576</v>
      </c>
      <c r="KQ113" s="441">
        <v>56300</v>
      </c>
      <c r="KR113" s="442">
        <v>0.0083</v>
      </c>
      <c r="KS113" s="224"/>
      <c r="KT113" s="224"/>
      <c r="KU113" s="438"/>
      <c r="KV113" s="439" t="str">
        <f t="shared" si="249"/>
        <v>2026//1//9</v>
      </c>
      <c r="KW113" s="439">
        <v>1046173</v>
      </c>
      <c r="KX113" s="439">
        <v>1046173</v>
      </c>
      <c r="KY113" s="439">
        <v>0</v>
      </c>
      <c r="KZ113" s="443">
        <v>0</v>
      </c>
      <c r="LA113" s="443"/>
      <c r="LB113" s="224"/>
      <c r="LC113" s="438"/>
      <c r="LD113" s="439" t="str">
        <f t="shared" si="250"/>
        <v>2026//1//9</v>
      </c>
      <c r="LE113" s="439">
        <v>431508</v>
      </c>
      <c r="LF113" s="439">
        <v>425308</v>
      </c>
      <c r="LG113" s="441">
        <v>6200</v>
      </c>
      <c r="LH113" s="442">
        <v>0.0146</v>
      </c>
      <c r="LI113" s="224"/>
      <c r="LJ113" s="224"/>
      <c r="LK113" s="438"/>
      <c r="LL113" s="439" t="str">
        <f t="shared" si="251"/>
        <v>2026//1//9</v>
      </c>
      <c r="LM113" s="440">
        <v>3281875</v>
      </c>
      <c r="LN113" s="439">
        <v>3278275</v>
      </c>
      <c r="LO113" s="441">
        <v>3600</v>
      </c>
      <c r="LP113" s="442">
        <v>0.0011</v>
      </c>
      <c r="LQ113" s="224"/>
      <c r="LR113" s="224"/>
      <c r="LS113" s="438"/>
      <c r="LT113" s="439" t="str">
        <f t="shared" si="252"/>
        <v>2026//1//9</v>
      </c>
      <c r="LU113" s="439">
        <v>2762863</v>
      </c>
      <c r="LV113" s="439">
        <v>2736263</v>
      </c>
      <c r="LW113" s="441">
        <v>26600</v>
      </c>
      <c r="LX113" s="442">
        <v>0.0097</v>
      </c>
      <c r="LY113" s="224"/>
      <c r="LZ113" s="224"/>
      <c r="MA113" s="438"/>
      <c r="MB113" s="439" t="str">
        <f t="shared" si="253"/>
        <v>2026//1//9</v>
      </c>
      <c r="MC113" s="439">
        <v>873218</v>
      </c>
      <c r="MD113" s="439">
        <v>865318</v>
      </c>
      <c r="ME113" s="441">
        <v>7900</v>
      </c>
      <c r="MF113" s="442">
        <v>0.0091</v>
      </c>
      <c r="MG113" s="224"/>
      <c r="MH113" s="224"/>
      <c r="MI113" s="451"/>
      <c r="MJ113" s="445">
        <v>1.0809</v>
      </c>
      <c r="MK113" s="445" t="str">
        <f t="shared" si="254"/>
        <v>2026//1//9</v>
      </c>
      <c r="ML113" s="445">
        <v>251146</v>
      </c>
      <c r="MM113" s="13">
        <f t="shared" si="388"/>
        <v>248386</v>
      </c>
      <c r="MN113" s="445">
        <v>2760</v>
      </c>
      <c r="MO113" s="446">
        <v>0.0111</v>
      </c>
      <c r="MP113" s="224"/>
      <c r="MQ113" s="452"/>
      <c r="MR113" s="452"/>
      <c r="MS113" s="231">
        <v>1.2701</v>
      </c>
      <c r="MT113" s="316" t="str">
        <f t="shared" si="255"/>
        <v>2026//1//9</v>
      </c>
      <c r="MU113" s="231">
        <v>24715</v>
      </c>
      <c r="MV113" s="231">
        <f t="shared" si="391"/>
        <v>22315</v>
      </c>
      <c r="MW113" s="231">
        <v>2400</v>
      </c>
      <c r="MX113" s="317">
        <v>0.1076</v>
      </c>
      <c r="MY113" s="224"/>
      <c r="MZ113" s="224"/>
      <c r="NA113" s="224"/>
      <c r="NB113" s="231">
        <v>1.336</v>
      </c>
      <c r="NC113" s="231" t="str">
        <f t="shared" si="256"/>
        <v>2026//1//9</v>
      </c>
      <c r="ND113" s="231">
        <v>26491</v>
      </c>
      <c r="NE113" s="231">
        <f t="shared" si="392"/>
        <v>26091</v>
      </c>
      <c r="NF113" s="231">
        <v>400</v>
      </c>
      <c r="NG113" s="317">
        <v>0.0153</v>
      </c>
      <c r="NH113" s="224"/>
      <c r="NI113" s="224"/>
      <c r="NJ113" s="224"/>
      <c r="NK113" s="224"/>
      <c r="NL113" s="232">
        <v>1.1616</v>
      </c>
      <c r="NM113" s="231" t="str">
        <f t="shared" si="257"/>
        <v>2026//1//9</v>
      </c>
      <c r="NN113" s="232">
        <v>2284311</v>
      </c>
      <c r="NO113" s="9">
        <f t="shared" si="393"/>
        <v>2286111</v>
      </c>
      <c r="NP113" s="232">
        <v>-1800</v>
      </c>
      <c r="NQ113" s="314">
        <v>-0.0008</v>
      </c>
      <c r="NR113" s="289"/>
      <c r="NS113" s="232">
        <v>1.0716</v>
      </c>
      <c r="NT113" s="290"/>
      <c r="NU113" s="231" t="str">
        <f t="shared" si="258"/>
        <v>2026//1//9</v>
      </c>
      <c r="NV113" s="232">
        <v>232576</v>
      </c>
      <c r="NW113" s="232">
        <f t="shared" si="394"/>
        <v>232126</v>
      </c>
      <c r="NX113" s="232">
        <v>450</v>
      </c>
      <c r="NY113" s="314">
        <v>0.0019</v>
      </c>
      <c r="NZ113" s="443"/>
      <c r="OA113" s="438"/>
      <c r="OB113" s="438"/>
      <c r="OC113" s="439" t="str">
        <f t="shared" si="259"/>
        <v>2026//1//9</v>
      </c>
      <c r="OD113" s="439">
        <v>13841</v>
      </c>
      <c r="OE113" s="439">
        <v>13911</v>
      </c>
      <c r="OF113" s="447">
        <v>-70</v>
      </c>
      <c r="OG113" s="448">
        <v>-0.005</v>
      </c>
      <c r="OH113" s="224"/>
      <c r="OI113" s="224"/>
      <c r="OJ113" s="438"/>
      <c r="OK113" s="439" t="str">
        <f t="shared" si="260"/>
        <v>2026//1//9</v>
      </c>
      <c r="OL113" s="227">
        <v>11281.65</v>
      </c>
      <c r="OM113" s="9">
        <f t="shared" si="404"/>
        <v>11481.65</v>
      </c>
      <c r="ON113" s="449">
        <f t="shared" ref="ON113:ON120" si="405">OL113-OM113</f>
        <v>-200</v>
      </c>
      <c r="OO113" s="450">
        <f t="shared" ref="OO113:OO119" si="406">ON113/OM113</f>
        <v>-0.0174190991712864</v>
      </c>
      <c r="OP113" s="224"/>
      <c r="OQ113" s="224"/>
      <c r="OT113" s="234" t="str">
        <f t="shared" si="211"/>
        <v>2026//1//9</v>
      </c>
      <c r="OU113" s="206">
        <v>137592.4066</v>
      </c>
      <c r="OV113" s="8">
        <f t="shared" si="401"/>
        <v>137472.4066</v>
      </c>
      <c r="OW113" s="191">
        <f t="shared" si="402"/>
        <v>120</v>
      </c>
      <c r="OX113" s="192">
        <f t="shared" si="403"/>
        <v>0.000872902446155329</v>
      </c>
    </row>
    <row r="114" s="8" customFormat="1" ht="17" customHeight="1" spans="1:414">
      <c r="A114" s="15"/>
      <c r="B114" s="15"/>
      <c r="C114" s="385" t="s">
        <v>543</v>
      </c>
      <c r="D114" s="395">
        <v>8914279</v>
      </c>
      <c r="E114" s="395">
        <v>8902939</v>
      </c>
      <c r="F114" s="459">
        <v>11340</v>
      </c>
      <c r="G114" s="460">
        <v>0.0013</v>
      </c>
      <c r="H114" s="18"/>
      <c r="I114" s="453"/>
      <c r="J114" s="453"/>
      <c r="K114" s="386" t="str">
        <f t="shared" si="212"/>
        <v>2026//1//8</v>
      </c>
      <c r="L114" s="395">
        <v>6592114</v>
      </c>
      <c r="M114" s="395">
        <v>6592654</v>
      </c>
      <c r="N114" s="403">
        <v>-540</v>
      </c>
      <c r="O114" s="404">
        <v>-0.0001</v>
      </c>
      <c r="P114" s="18"/>
      <c r="Q114" s="453"/>
      <c r="R114" s="454"/>
      <c r="S114" s="386" t="str">
        <f t="shared" si="213"/>
        <v>2026//1//8</v>
      </c>
      <c r="T114" s="395">
        <v>5640457</v>
      </c>
      <c r="U114" s="395">
        <v>5640907</v>
      </c>
      <c r="V114" s="403">
        <v>-450</v>
      </c>
      <c r="W114" s="404">
        <v>-0.0001</v>
      </c>
      <c r="X114" s="18"/>
      <c r="Y114" s="453"/>
      <c r="Z114" s="454"/>
      <c r="AA114" s="386" t="str">
        <f t="shared" si="214"/>
        <v>2026//1//8</v>
      </c>
      <c r="AB114" s="395">
        <v>1935857</v>
      </c>
      <c r="AC114" s="395">
        <v>1949177</v>
      </c>
      <c r="AD114" s="403">
        <v>-13320</v>
      </c>
      <c r="AE114" s="404">
        <v>-0.0068</v>
      </c>
      <c r="AF114" s="18"/>
      <c r="AG114" s="453"/>
      <c r="AH114" s="454"/>
      <c r="AI114" s="386" t="str">
        <f t="shared" si="215"/>
        <v>2026//1//8</v>
      </c>
      <c r="AJ114" s="395">
        <v>2569922</v>
      </c>
      <c r="AK114" s="386">
        <v>2571322</v>
      </c>
      <c r="AL114" s="403">
        <v>-1400</v>
      </c>
      <c r="AM114" s="404">
        <v>-0.0005</v>
      </c>
      <c r="AN114" s="18"/>
      <c r="AO114" s="18"/>
      <c r="AP114" s="454"/>
      <c r="AQ114" s="386" t="str">
        <f t="shared" si="216"/>
        <v>2026//1//8</v>
      </c>
      <c r="AR114" s="418">
        <v>3170845</v>
      </c>
      <c r="AS114" s="395">
        <v>3140745</v>
      </c>
      <c r="AT114" s="459">
        <v>30100</v>
      </c>
      <c r="AU114" s="460">
        <v>0.0096</v>
      </c>
      <c r="AV114" s="18"/>
      <c r="AW114" s="18"/>
      <c r="AX114" s="17"/>
      <c r="AY114" s="205">
        <v>4.9415</v>
      </c>
      <c r="AZ114" s="204" t="str">
        <f t="shared" si="217"/>
        <v>2026//1//8</v>
      </c>
      <c r="BA114" s="205">
        <v>4088092</v>
      </c>
      <c r="BB114" s="205">
        <f t="shared" si="279"/>
        <v>4087642</v>
      </c>
      <c r="BC114" s="205">
        <v>450</v>
      </c>
      <c r="BD114" s="292">
        <v>0.0001</v>
      </c>
      <c r="BE114" s="18"/>
      <c r="BF114" s="18"/>
      <c r="BG114" s="74"/>
      <c r="BH114" s="387" t="str">
        <f t="shared" si="218"/>
        <v>2026//1//8</v>
      </c>
      <c r="BI114" s="387">
        <v>268427</v>
      </c>
      <c r="BJ114" s="387">
        <v>264527</v>
      </c>
      <c r="BK114" s="421">
        <v>3900</v>
      </c>
      <c r="BL114" s="422">
        <v>0.0147</v>
      </c>
      <c r="BM114" s="197"/>
      <c r="BN114" s="192"/>
      <c r="BO114" s="389"/>
      <c r="BP114" s="390" t="str">
        <f t="shared" si="219"/>
        <v>2026//1//8</v>
      </c>
      <c r="BQ114" s="392">
        <v>730462</v>
      </c>
      <c r="BR114" s="390">
        <v>729362</v>
      </c>
      <c r="BS114" s="416">
        <v>1100</v>
      </c>
      <c r="BT114" s="417">
        <v>0.0015</v>
      </c>
      <c r="BU114" s="192"/>
      <c r="BV114" s="192"/>
      <c r="BW114" s="389"/>
      <c r="BX114" s="390" t="str">
        <f t="shared" si="220"/>
        <v>2026//1//8</v>
      </c>
      <c r="BY114" s="390">
        <v>2271361</v>
      </c>
      <c r="BZ114" s="390">
        <v>2238561</v>
      </c>
      <c r="CA114" s="416">
        <v>32800</v>
      </c>
      <c r="CB114" s="417">
        <v>0.0147</v>
      </c>
      <c r="CC114" s="192"/>
      <c r="CD114" s="409"/>
      <c r="CE114" s="389"/>
      <c r="CF114" s="390" t="str">
        <f t="shared" si="221"/>
        <v>2026//1//8</v>
      </c>
      <c r="CG114" s="390">
        <v>1219154</v>
      </c>
      <c r="CH114" s="12">
        <f t="shared" si="289"/>
        <v>1186504</v>
      </c>
      <c r="CI114" s="12">
        <f t="shared" si="290"/>
        <v>32650</v>
      </c>
      <c r="CJ114" s="199">
        <f t="shared" si="291"/>
        <v>0.0275178170490786</v>
      </c>
      <c r="CK114" s="192"/>
      <c r="CL114" s="391"/>
      <c r="CM114" s="389"/>
      <c r="CN114" s="390" t="str">
        <f t="shared" si="222"/>
        <v>2026//1//8</v>
      </c>
      <c r="CO114" s="390">
        <v>471646</v>
      </c>
      <c r="CP114" s="390">
        <v>420446</v>
      </c>
      <c r="CQ114" s="12">
        <f t="shared" si="293"/>
        <v>51200</v>
      </c>
      <c r="CR114" s="199">
        <f t="shared" si="294"/>
        <v>0.121775447976672</v>
      </c>
      <c r="CS114" s="391"/>
      <c r="CT114" s="391"/>
      <c r="CU114" s="389"/>
      <c r="CV114" s="390" t="str">
        <f t="shared" si="223"/>
        <v>2026//1//8</v>
      </c>
      <c r="CW114" s="390">
        <v>602290</v>
      </c>
      <c r="CX114" s="390">
        <v>602240</v>
      </c>
      <c r="CY114" s="416">
        <v>50</v>
      </c>
      <c r="CZ114" s="417">
        <v>0.0001</v>
      </c>
      <c r="DA114" s="192"/>
      <c r="DB114" s="192"/>
      <c r="DC114" s="277"/>
      <c r="DD114" s="390" t="str">
        <f t="shared" si="224"/>
        <v>2026//1//8</v>
      </c>
      <c r="DE114" s="390">
        <v>1303718</v>
      </c>
      <c r="DF114" s="12">
        <f t="shared" si="298"/>
        <v>1265918</v>
      </c>
      <c r="DG114" s="416">
        <v>18900</v>
      </c>
      <c r="DH114" s="417">
        <v>0.0299</v>
      </c>
      <c r="DI114" s="192"/>
      <c r="DJ114" s="192"/>
      <c r="DK114" s="389"/>
      <c r="DL114" s="390" t="str">
        <f t="shared" si="225"/>
        <v>2026//1//8</v>
      </c>
      <c r="DM114" s="390">
        <v>1290700</v>
      </c>
      <c r="DN114" s="390">
        <v>1307900</v>
      </c>
      <c r="DO114" s="414">
        <v>-17200</v>
      </c>
      <c r="DP114" s="415">
        <v>-0.0132</v>
      </c>
      <c r="DQ114" s="192"/>
      <c r="DR114" s="192"/>
      <c r="DS114" s="389"/>
      <c r="DT114" s="390" t="str">
        <f t="shared" si="226"/>
        <v>2026//1//8</v>
      </c>
      <c r="DU114" s="390">
        <v>1656089</v>
      </c>
      <c r="DV114" s="390">
        <v>1663589</v>
      </c>
      <c r="DW114" s="414">
        <v>-7500</v>
      </c>
      <c r="DX114" s="415">
        <v>-0.0045</v>
      </c>
      <c r="DY114" s="192"/>
      <c r="DZ114" s="192"/>
      <c r="EA114" s="389"/>
      <c r="EB114" s="390" t="str">
        <f t="shared" si="227"/>
        <v>2026//1//8</v>
      </c>
      <c r="EC114" s="390">
        <v>5329617</v>
      </c>
      <c r="ED114" s="390">
        <v>5351667</v>
      </c>
      <c r="EE114" s="414">
        <v>-22050</v>
      </c>
      <c r="EF114" s="415">
        <v>-0.0041</v>
      </c>
      <c r="EG114" s="192"/>
      <c r="EH114" s="192"/>
      <c r="EI114" s="389"/>
      <c r="EJ114" s="390" t="str">
        <f t="shared" si="228"/>
        <v>2026//1//8</v>
      </c>
      <c r="EK114" s="390">
        <v>1412523</v>
      </c>
      <c r="EL114" s="390">
        <v>1411923</v>
      </c>
      <c r="EM114" s="416">
        <v>600</v>
      </c>
      <c r="EN114" s="417">
        <v>0.0004</v>
      </c>
      <c r="EO114" s="192"/>
      <c r="EP114" s="192"/>
      <c r="EQ114" s="340"/>
      <c r="ER114" s="341" t="str">
        <f t="shared" si="229"/>
        <v>2026//1//8</v>
      </c>
      <c r="ES114" s="341">
        <v>448397</v>
      </c>
      <c r="ET114" s="341">
        <v>452447</v>
      </c>
      <c r="EU114" s="341">
        <v>-4050</v>
      </c>
      <c r="EV114" s="350">
        <v>-0.009</v>
      </c>
      <c r="EW114" s="192"/>
      <c r="EX114" s="192"/>
      <c r="EY114" s="389"/>
      <c r="EZ114" s="390" t="str">
        <f t="shared" si="230"/>
        <v>2026//1//8</v>
      </c>
      <c r="FA114" s="390">
        <v>740508</v>
      </c>
      <c r="FB114" s="390">
        <v>759108</v>
      </c>
      <c r="FC114" s="414">
        <v>-18600</v>
      </c>
      <c r="FD114" s="415">
        <v>-0.0245</v>
      </c>
      <c r="FE114" s="192"/>
      <c r="FF114" s="192"/>
      <c r="FH114" s="390" t="str">
        <f t="shared" si="231"/>
        <v>2026//1//8</v>
      </c>
      <c r="FI114" s="392">
        <v>502595</v>
      </c>
      <c r="FJ114" s="390">
        <v>464695</v>
      </c>
      <c r="FK114" s="348">
        <v>37900</v>
      </c>
      <c r="FL114" s="349">
        <v>0.0816</v>
      </c>
      <c r="FM114" s="391"/>
      <c r="FN114" s="391"/>
      <c r="FO114" s="389"/>
      <c r="FP114" s="390" t="str">
        <f t="shared" si="232"/>
        <v>2026//1//8</v>
      </c>
      <c r="FQ114" s="390">
        <v>2509169</v>
      </c>
      <c r="FR114" s="390">
        <v>2546819</v>
      </c>
      <c r="FS114" s="414">
        <v>-37650</v>
      </c>
      <c r="FT114" s="415">
        <v>-0.0148</v>
      </c>
      <c r="FU114" s="192"/>
      <c r="FV114" s="192"/>
      <c r="FW114" s="389"/>
      <c r="FX114" s="390" t="str">
        <f t="shared" si="233"/>
        <v>2026//1//8</v>
      </c>
      <c r="FY114" s="390">
        <v>7326782</v>
      </c>
      <c r="FZ114" s="390">
        <v>7397882</v>
      </c>
      <c r="GA114" s="414">
        <v>-71100</v>
      </c>
      <c r="GB114" s="415">
        <v>-0.0096</v>
      </c>
      <c r="GC114" s="192"/>
      <c r="GD114" s="192"/>
      <c r="GE114" s="389"/>
      <c r="GF114" s="390" t="str">
        <f t="shared" si="234"/>
        <v>2026//1//8</v>
      </c>
      <c r="GG114" s="390">
        <v>4387869</v>
      </c>
      <c r="GH114" s="390">
        <v>4406769</v>
      </c>
      <c r="GI114" s="414">
        <v>-18900</v>
      </c>
      <c r="GJ114" s="415">
        <v>-0.0043</v>
      </c>
      <c r="GK114" s="192"/>
      <c r="GL114" s="192"/>
      <c r="GM114" s="389"/>
      <c r="GN114" s="390" t="str">
        <f t="shared" si="235"/>
        <v>2026//1//8</v>
      </c>
      <c r="GO114" s="390">
        <v>1543078</v>
      </c>
      <c r="GP114" s="390">
        <v>1541398</v>
      </c>
      <c r="GQ114" s="416">
        <v>1680</v>
      </c>
      <c r="GR114" s="417">
        <v>0.0011</v>
      </c>
      <c r="GS114" s="192"/>
      <c r="GT114" s="192"/>
      <c r="GU114" s="389"/>
      <c r="GV114" s="390" t="str">
        <f t="shared" si="236"/>
        <v>2026//1//8</v>
      </c>
      <c r="GW114" s="390">
        <v>1153949</v>
      </c>
      <c r="GX114" s="390">
        <v>1160949</v>
      </c>
      <c r="GY114" s="414">
        <v>-7000</v>
      </c>
      <c r="GZ114" s="415">
        <v>-0.006</v>
      </c>
      <c r="HA114" s="192"/>
      <c r="HB114" s="192"/>
      <c r="HC114" s="389"/>
      <c r="HD114" s="390" t="str">
        <f t="shared" si="237"/>
        <v>2026//1//8</v>
      </c>
      <c r="HE114" s="390">
        <v>1312265</v>
      </c>
      <c r="HF114" s="390">
        <v>1307865</v>
      </c>
      <c r="HG114" s="416">
        <v>4400</v>
      </c>
      <c r="HH114" s="417">
        <v>0.0034</v>
      </c>
      <c r="HI114" s="391"/>
      <c r="HJ114" s="192"/>
      <c r="HK114" s="389"/>
      <c r="HL114" s="390" t="str">
        <f t="shared" si="238"/>
        <v>2026//1//8</v>
      </c>
      <c r="HM114" s="390">
        <v>153804</v>
      </c>
      <c r="HN114" s="390">
        <v>161004</v>
      </c>
      <c r="HO114" s="414">
        <v>-7200</v>
      </c>
      <c r="HP114" s="415">
        <v>-0.0447</v>
      </c>
      <c r="HQ114" s="192"/>
      <c r="HR114" s="192"/>
      <c r="HS114" s="389"/>
      <c r="HT114" s="390" t="str">
        <f t="shared" si="239"/>
        <v>2026//1//8</v>
      </c>
      <c r="HU114" s="390">
        <v>101069</v>
      </c>
      <c r="HV114" s="390">
        <v>100069</v>
      </c>
      <c r="HW114" s="416">
        <v>1000</v>
      </c>
      <c r="HX114" s="417">
        <v>0.01</v>
      </c>
      <c r="HY114" s="192"/>
      <c r="HZ114" s="192"/>
      <c r="IA114" s="389"/>
      <c r="IB114" s="390" t="str">
        <f t="shared" si="240"/>
        <v>2026//1//8</v>
      </c>
      <c r="IC114" s="200">
        <v>313084.79</v>
      </c>
      <c r="ID114" s="200">
        <v>312209.79</v>
      </c>
      <c r="IE114" s="348">
        <f t="shared" si="347"/>
        <v>875</v>
      </c>
      <c r="IF114" s="349">
        <f t="shared" si="348"/>
        <v>0.00280260269865336</v>
      </c>
      <c r="IG114" s="391"/>
      <c r="IH114" s="192"/>
      <c r="II114" s="389"/>
      <c r="IJ114" s="390" t="str">
        <f t="shared" si="241"/>
        <v>2026//1//8</v>
      </c>
      <c r="IK114" s="390">
        <v>335596</v>
      </c>
      <c r="IL114" s="390">
        <v>336796</v>
      </c>
      <c r="IM114" s="414">
        <v>-1200</v>
      </c>
      <c r="IN114" s="415">
        <v>-0.0036</v>
      </c>
      <c r="IO114" s="192"/>
      <c r="IP114" s="192"/>
      <c r="IQ114" s="389"/>
      <c r="IR114" s="390" t="str">
        <f t="shared" si="242"/>
        <v>2026//1//8</v>
      </c>
      <c r="IS114" s="390">
        <v>103489</v>
      </c>
      <c r="IT114" s="390">
        <v>102989</v>
      </c>
      <c r="IU114" s="416">
        <v>500</v>
      </c>
      <c r="IV114" s="417">
        <v>0.0049</v>
      </c>
      <c r="IW114" s="192"/>
      <c r="IX114" s="192"/>
      <c r="IY114" s="389"/>
      <c r="IZ114" s="390" t="str">
        <f t="shared" si="243"/>
        <v>2026//1//8</v>
      </c>
      <c r="JA114" s="390">
        <v>4707829</v>
      </c>
      <c r="JB114" s="390">
        <v>4616729</v>
      </c>
      <c r="JC114" s="416">
        <v>91100</v>
      </c>
      <c r="JD114" s="417">
        <v>0.0197</v>
      </c>
      <c r="JE114" s="192"/>
      <c r="JF114" s="192"/>
      <c r="JG114" s="389"/>
      <c r="JH114" s="390" t="str">
        <f t="shared" si="244"/>
        <v>2026//1//8</v>
      </c>
      <c r="JI114" s="390">
        <v>1492228</v>
      </c>
      <c r="JJ114" s="390">
        <v>1496068</v>
      </c>
      <c r="JK114" s="414">
        <v>-3840</v>
      </c>
      <c r="JL114" s="415">
        <v>-0.0026</v>
      </c>
      <c r="JM114" s="192"/>
      <c r="JN114" s="192"/>
      <c r="JP114" s="390" t="str">
        <f t="shared" si="245"/>
        <v>2026//1//8</v>
      </c>
      <c r="JQ114" s="390">
        <v>1282690</v>
      </c>
      <c r="JR114" s="390">
        <v>1273890</v>
      </c>
      <c r="JS114" s="416">
        <v>8800</v>
      </c>
      <c r="JT114" s="417">
        <v>0.0069</v>
      </c>
      <c r="JU114" s="192"/>
      <c r="JV114" s="409"/>
      <c r="JX114" s="390" t="str">
        <f t="shared" si="246"/>
        <v>2026//1//8</v>
      </c>
      <c r="JY114" s="390">
        <v>1388399</v>
      </c>
      <c r="JZ114" s="390">
        <v>1392499</v>
      </c>
      <c r="KA114" s="414">
        <v>-4100</v>
      </c>
      <c r="KB114" s="415">
        <v>-0.0029</v>
      </c>
      <c r="KC114" s="192"/>
      <c r="KD114" s="409"/>
      <c r="KF114" s="390" t="str">
        <f t="shared" si="247"/>
        <v>2026//1//8</v>
      </c>
      <c r="KG114" s="390">
        <v>867956</v>
      </c>
      <c r="KH114" s="390">
        <v>867956</v>
      </c>
      <c r="KI114" s="410">
        <v>0</v>
      </c>
      <c r="KJ114" s="409">
        <v>0</v>
      </c>
      <c r="KK114" s="391"/>
      <c r="KL114" s="391"/>
      <c r="KM114" s="389"/>
      <c r="KN114" s="390" t="str">
        <f t="shared" si="248"/>
        <v>2026//1//8</v>
      </c>
      <c r="KO114" s="390">
        <v>6790576</v>
      </c>
      <c r="KP114" s="390">
        <v>6644376</v>
      </c>
      <c r="KQ114" s="416">
        <v>146200</v>
      </c>
      <c r="KR114" s="417">
        <v>0.022</v>
      </c>
      <c r="KS114" s="192"/>
      <c r="KT114" s="192"/>
      <c r="KU114" s="389"/>
      <c r="KV114" s="390" t="str">
        <f t="shared" si="249"/>
        <v>2026//1//8</v>
      </c>
      <c r="KW114" s="390">
        <v>1046173</v>
      </c>
      <c r="KX114" s="390">
        <v>1046373</v>
      </c>
      <c r="KY114" s="346">
        <v>-200</v>
      </c>
      <c r="KZ114" s="347">
        <v>-0.0002</v>
      </c>
      <c r="LA114" s="391"/>
      <c r="LB114" s="192"/>
      <c r="LC114" s="389"/>
      <c r="LD114" s="390" t="str">
        <f t="shared" si="250"/>
        <v>2026//1//8</v>
      </c>
      <c r="LE114" s="390">
        <v>425308</v>
      </c>
      <c r="LF114" s="390">
        <v>427208</v>
      </c>
      <c r="LG114" s="414">
        <v>-1900</v>
      </c>
      <c r="LH114" s="415">
        <v>-0.0044</v>
      </c>
      <c r="LI114" s="192"/>
      <c r="LJ114" s="192"/>
      <c r="LK114" s="389"/>
      <c r="LL114" s="390" t="str">
        <f t="shared" si="251"/>
        <v>2026//1//8</v>
      </c>
      <c r="LM114" s="392">
        <v>3278275</v>
      </c>
      <c r="LN114" s="390">
        <v>3306355</v>
      </c>
      <c r="LO114" s="414">
        <v>-28080</v>
      </c>
      <c r="LP114" s="415">
        <v>-0.0085</v>
      </c>
      <c r="LQ114" s="192"/>
      <c r="LR114" s="192"/>
      <c r="LS114" s="389"/>
      <c r="LT114" s="390" t="str">
        <f t="shared" si="252"/>
        <v>2026//1//8</v>
      </c>
      <c r="LU114" s="390">
        <v>2736263</v>
      </c>
      <c r="LV114" s="390">
        <v>2681663</v>
      </c>
      <c r="LW114" s="416">
        <v>54600</v>
      </c>
      <c r="LX114" s="417">
        <v>0.0204</v>
      </c>
      <c r="LY114" s="192"/>
      <c r="LZ114" s="192"/>
      <c r="MA114" s="389"/>
      <c r="MB114" s="390" t="str">
        <f t="shared" si="253"/>
        <v>2026//1//8</v>
      </c>
      <c r="MC114" s="390">
        <v>865318</v>
      </c>
      <c r="MD114" s="390">
        <v>850568</v>
      </c>
      <c r="ME114" s="416">
        <v>14750</v>
      </c>
      <c r="MF114" s="417">
        <v>0.0173</v>
      </c>
      <c r="MG114" s="192"/>
      <c r="MH114" s="192"/>
      <c r="MI114" s="342"/>
      <c r="MJ114" s="341">
        <v>1.0521</v>
      </c>
      <c r="MK114" s="341" t="str">
        <f t="shared" si="254"/>
        <v>2026//1//8</v>
      </c>
      <c r="ML114" s="341">
        <v>248386</v>
      </c>
      <c r="MM114" s="12">
        <f t="shared" si="388"/>
        <v>248266</v>
      </c>
      <c r="MN114" s="341">
        <v>120</v>
      </c>
      <c r="MO114" s="350">
        <v>0.0005</v>
      </c>
      <c r="MP114" s="192"/>
      <c r="MQ114" s="394"/>
      <c r="MR114" s="394"/>
      <c r="MS114" s="204">
        <v>1.2515</v>
      </c>
      <c r="MT114" s="295" t="str">
        <f t="shared" si="255"/>
        <v>2026//1//8</v>
      </c>
      <c r="MU114" s="204">
        <v>22315</v>
      </c>
      <c r="MV114" s="204">
        <f t="shared" si="391"/>
        <v>22015</v>
      </c>
      <c r="MW114" s="204">
        <v>300</v>
      </c>
      <c r="MX114" s="296">
        <v>0.0136</v>
      </c>
      <c r="MY114" s="192"/>
      <c r="MZ114" s="192"/>
      <c r="NA114" s="192"/>
      <c r="NB114" s="204">
        <v>1.308</v>
      </c>
      <c r="NC114" s="204" t="str">
        <f t="shared" si="256"/>
        <v>2026//1//8</v>
      </c>
      <c r="ND114" s="204">
        <v>26091</v>
      </c>
      <c r="NE114" s="204">
        <f t="shared" si="392"/>
        <v>25891</v>
      </c>
      <c r="NF114" s="204">
        <v>200</v>
      </c>
      <c r="NG114" s="296">
        <v>0.0077</v>
      </c>
      <c r="NH114" s="192"/>
      <c r="NI114" s="192"/>
      <c r="NJ114" s="192"/>
      <c r="NK114" s="192"/>
      <c r="NL114" s="205">
        <v>1.1611</v>
      </c>
      <c r="NM114" s="204" t="str">
        <f t="shared" si="257"/>
        <v>2026//1//8</v>
      </c>
      <c r="NN114" s="205">
        <v>2286111</v>
      </c>
      <c r="NO114" s="8">
        <f t="shared" si="393"/>
        <v>2275911</v>
      </c>
      <c r="NP114" s="205">
        <v>10200</v>
      </c>
      <c r="NQ114" s="292">
        <v>0.0045</v>
      </c>
      <c r="NR114" s="293"/>
      <c r="NS114" s="205">
        <v>1.0662</v>
      </c>
      <c r="NT114" s="294"/>
      <c r="NU114" s="204" t="str">
        <f t="shared" si="258"/>
        <v>2026//1//8</v>
      </c>
      <c r="NV114" s="205">
        <v>232126</v>
      </c>
      <c r="NW114" s="205">
        <f t="shared" si="394"/>
        <v>232376</v>
      </c>
      <c r="NX114" s="205">
        <v>-250</v>
      </c>
      <c r="NY114" s="292">
        <v>-0.0011</v>
      </c>
      <c r="NZ114" s="391"/>
      <c r="OA114" s="389"/>
      <c r="OB114" s="389"/>
      <c r="OC114" s="390" t="str">
        <f t="shared" si="259"/>
        <v>2026//1//8</v>
      </c>
      <c r="OD114" s="390">
        <v>13911</v>
      </c>
      <c r="OE114" s="390">
        <v>13784</v>
      </c>
      <c r="OF114" s="416">
        <v>127</v>
      </c>
      <c r="OG114" s="417">
        <v>0.0092</v>
      </c>
      <c r="OH114" s="192"/>
      <c r="OI114" s="192"/>
      <c r="OJ114" s="389"/>
      <c r="OK114" s="390" t="str">
        <f t="shared" si="260"/>
        <v>2026//1//8</v>
      </c>
      <c r="OL114" s="200">
        <v>11481.65</v>
      </c>
      <c r="OM114" s="8">
        <f t="shared" si="404"/>
        <v>11656.65</v>
      </c>
      <c r="ON114" s="346">
        <f t="shared" si="405"/>
        <v>-175</v>
      </c>
      <c r="OO114" s="347">
        <f t="shared" si="406"/>
        <v>-0.0150128896381036</v>
      </c>
      <c r="OP114" s="192"/>
      <c r="OQ114" s="192"/>
      <c r="OT114" s="234" t="str">
        <f t="shared" si="211"/>
        <v>2026//1//8</v>
      </c>
      <c r="OU114" s="206">
        <v>137472.4066</v>
      </c>
      <c r="OV114" s="8">
        <f t="shared" si="401"/>
        <v>137352.4066</v>
      </c>
      <c r="OW114" s="191">
        <f t="shared" si="402"/>
        <v>120</v>
      </c>
      <c r="OX114" s="192">
        <f t="shared" si="403"/>
        <v>0.000873665070532517</v>
      </c>
    </row>
    <row r="115" s="8" customFormat="1" ht="17" customHeight="1" spans="1:414">
      <c r="A115" s="15"/>
      <c r="B115" s="15"/>
      <c r="C115" s="385" t="s">
        <v>544</v>
      </c>
      <c r="D115" s="395">
        <v>8902939</v>
      </c>
      <c r="E115" s="395">
        <v>8934439</v>
      </c>
      <c r="F115" s="403">
        <v>-31500</v>
      </c>
      <c r="G115" s="404">
        <v>-0.0035</v>
      </c>
      <c r="H115" s="18"/>
      <c r="I115" s="453"/>
      <c r="J115" s="453"/>
      <c r="K115" s="386" t="str">
        <f t="shared" si="212"/>
        <v>2026//1//7</v>
      </c>
      <c r="L115" s="395">
        <v>6592654</v>
      </c>
      <c r="M115" s="395">
        <v>6598324</v>
      </c>
      <c r="N115" s="403">
        <v>-5670</v>
      </c>
      <c r="O115" s="404">
        <v>-0.0009</v>
      </c>
      <c r="P115" s="18"/>
      <c r="Q115" s="453"/>
      <c r="R115" s="454"/>
      <c r="S115" s="386" t="str">
        <f t="shared" si="213"/>
        <v>2026//1//7</v>
      </c>
      <c r="T115" s="395">
        <v>5640907</v>
      </c>
      <c r="U115" s="395">
        <v>5668357</v>
      </c>
      <c r="V115" s="403">
        <v>-27450</v>
      </c>
      <c r="W115" s="404">
        <v>-0.0048</v>
      </c>
      <c r="X115" s="18"/>
      <c r="Y115" s="453"/>
      <c r="Z115" s="454"/>
      <c r="AA115" s="386" t="str">
        <f t="shared" si="214"/>
        <v>2026//1//7</v>
      </c>
      <c r="AB115" s="395">
        <v>1949177</v>
      </c>
      <c r="AC115" s="395">
        <v>1955937</v>
      </c>
      <c r="AD115" s="403">
        <v>-6760</v>
      </c>
      <c r="AE115" s="404">
        <v>-0.0035</v>
      </c>
      <c r="AF115" s="18"/>
      <c r="AG115" s="453"/>
      <c r="AH115" s="454"/>
      <c r="AI115" s="386" t="str">
        <f t="shared" si="215"/>
        <v>2026//1//7</v>
      </c>
      <c r="AJ115" s="395">
        <v>2571322</v>
      </c>
      <c r="AK115" s="386">
        <v>2601722</v>
      </c>
      <c r="AL115" s="403">
        <v>-30400</v>
      </c>
      <c r="AM115" s="404">
        <v>-0.0117</v>
      </c>
      <c r="AN115" s="18"/>
      <c r="AO115" s="18"/>
      <c r="AP115" s="454"/>
      <c r="AQ115" s="386" t="str">
        <f t="shared" si="216"/>
        <v>2026//1//7</v>
      </c>
      <c r="AR115" s="418">
        <v>3140745</v>
      </c>
      <c r="AS115" s="395">
        <v>3161845</v>
      </c>
      <c r="AT115" s="403">
        <v>-21100</v>
      </c>
      <c r="AU115" s="404">
        <v>-0.0067</v>
      </c>
      <c r="AV115" s="18"/>
      <c r="AW115" s="18"/>
      <c r="AX115" s="17"/>
      <c r="AY115" s="205">
        <v>4.9822</v>
      </c>
      <c r="AZ115" s="204" t="str">
        <f t="shared" si="217"/>
        <v>2026//1//7</v>
      </c>
      <c r="BA115" s="205">
        <v>4087642</v>
      </c>
      <c r="BB115" s="205">
        <f t="shared" si="279"/>
        <v>4093852</v>
      </c>
      <c r="BC115" s="205">
        <v>-6210</v>
      </c>
      <c r="BD115" s="292">
        <v>-0.0015</v>
      </c>
      <c r="BE115" s="18"/>
      <c r="BF115" s="18"/>
      <c r="BG115" s="74"/>
      <c r="BH115" s="387" t="str">
        <f t="shared" si="218"/>
        <v>2026//1//7</v>
      </c>
      <c r="BI115" s="387">
        <v>264527</v>
      </c>
      <c r="BJ115" s="387">
        <v>266427</v>
      </c>
      <c r="BK115" s="462">
        <v>-1900</v>
      </c>
      <c r="BL115" s="463">
        <v>-0.0071</v>
      </c>
      <c r="BM115" s="197"/>
      <c r="BN115" s="192"/>
      <c r="BO115" s="389"/>
      <c r="BP115" s="390" t="str">
        <f t="shared" si="219"/>
        <v>2026//1//7</v>
      </c>
      <c r="BQ115" s="392">
        <v>729362</v>
      </c>
      <c r="BR115" s="390">
        <v>689662</v>
      </c>
      <c r="BS115" s="416">
        <v>39700</v>
      </c>
      <c r="BT115" s="417">
        <v>0.0576</v>
      </c>
      <c r="BU115" s="192"/>
      <c r="BV115" s="192"/>
      <c r="BW115" s="389"/>
      <c r="BX115" s="390" t="str">
        <f t="shared" si="220"/>
        <v>2026//1//7</v>
      </c>
      <c r="BY115" s="390">
        <v>2238561</v>
      </c>
      <c r="BZ115" s="390">
        <v>2164711</v>
      </c>
      <c r="CA115" s="416">
        <v>73850</v>
      </c>
      <c r="CB115" s="417">
        <v>0.0341</v>
      </c>
      <c r="CC115" s="192"/>
      <c r="CD115" s="409"/>
      <c r="CE115" s="389"/>
      <c r="CF115" s="390" t="str">
        <f t="shared" si="221"/>
        <v>2026//1//7</v>
      </c>
      <c r="CG115" s="390">
        <v>1186504</v>
      </c>
      <c r="CH115" s="12">
        <f t="shared" si="289"/>
        <v>1153954</v>
      </c>
      <c r="CI115" s="12">
        <f t="shared" si="290"/>
        <v>32550</v>
      </c>
      <c r="CJ115" s="199">
        <f t="shared" si="291"/>
        <v>0.0282073635517534</v>
      </c>
      <c r="CK115" s="192"/>
      <c r="CL115" s="391"/>
      <c r="CM115" s="389"/>
      <c r="CN115" s="390" t="str">
        <f t="shared" si="222"/>
        <v>2026//1//7</v>
      </c>
      <c r="CO115" s="390">
        <v>420446</v>
      </c>
      <c r="CP115" s="390">
        <v>387846</v>
      </c>
      <c r="CQ115" s="12">
        <f t="shared" si="293"/>
        <v>32600</v>
      </c>
      <c r="CR115" s="199">
        <f t="shared" si="294"/>
        <v>0.0840539801880128</v>
      </c>
      <c r="CS115" s="391"/>
      <c r="CT115" s="391"/>
      <c r="CU115" s="389"/>
      <c r="CV115" s="390" t="str">
        <f t="shared" si="223"/>
        <v>2026//1//7</v>
      </c>
      <c r="CW115" s="390">
        <v>602240</v>
      </c>
      <c r="CX115" s="390">
        <v>603890</v>
      </c>
      <c r="CY115" s="414">
        <v>-1650</v>
      </c>
      <c r="CZ115" s="415">
        <v>-0.0027</v>
      </c>
      <c r="DA115" s="192"/>
      <c r="DB115" s="192"/>
      <c r="DC115" s="277"/>
      <c r="DD115" s="390" t="str">
        <f t="shared" si="224"/>
        <v>2026//1//7</v>
      </c>
      <c r="DE115" s="390">
        <v>1265918</v>
      </c>
      <c r="DF115" s="12">
        <f t="shared" si="298"/>
        <v>1237518</v>
      </c>
      <c r="DG115" s="416">
        <v>14200</v>
      </c>
      <c r="DH115" s="417">
        <v>0.0229</v>
      </c>
      <c r="DI115" s="192"/>
      <c r="DJ115" s="192"/>
      <c r="DK115" s="389"/>
      <c r="DL115" s="390" t="str">
        <f t="shared" si="225"/>
        <v>2026//1//7</v>
      </c>
      <c r="DM115" s="390">
        <v>1307900</v>
      </c>
      <c r="DN115" s="390">
        <v>1334700</v>
      </c>
      <c r="DO115" s="414">
        <v>-26800</v>
      </c>
      <c r="DP115" s="415">
        <v>-0.0201</v>
      </c>
      <c r="DQ115" s="192"/>
      <c r="DR115" s="192"/>
      <c r="DS115" s="389"/>
      <c r="DT115" s="390" t="str">
        <f t="shared" si="226"/>
        <v>2026//1//7</v>
      </c>
      <c r="DU115" s="390">
        <v>1663589</v>
      </c>
      <c r="DV115" s="390">
        <v>1701989</v>
      </c>
      <c r="DW115" s="414">
        <v>-38400</v>
      </c>
      <c r="DX115" s="415">
        <v>-0.0226</v>
      </c>
      <c r="DY115" s="192"/>
      <c r="DZ115" s="192"/>
      <c r="EA115" s="389"/>
      <c r="EB115" s="390" t="str">
        <f t="shared" si="227"/>
        <v>2026//1//7</v>
      </c>
      <c r="EC115" s="390">
        <v>5351667</v>
      </c>
      <c r="ED115" s="390">
        <v>5419617</v>
      </c>
      <c r="EE115" s="414">
        <v>-67950</v>
      </c>
      <c r="EF115" s="415">
        <v>-0.0125</v>
      </c>
      <c r="EG115" s="192"/>
      <c r="EH115" s="192"/>
      <c r="EI115" s="389"/>
      <c r="EJ115" s="390" t="str">
        <f t="shared" si="228"/>
        <v>2026//1//7</v>
      </c>
      <c r="EK115" s="390">
        <v>1411923</v>
      </c>
      <c r="EL115" s="390">
        <v>1421323</v>
      </c>
      <c r="EM115" s="414">
        <v>-9400</v>
      </c>
      <c r="EN115" s="415">
        <v>-0.0066</v>
      </c>
      <c r="EO115" s="192"/>
      <c r="EP115" s="192"/>
      <c r="EQ115" s="340"/>
      <c r="ER115" s="341" t="str">
        <f t="shared" si="229"/>
        <v>2026//1//7</v>
      </c>
      <c r="ES115" s="341">
        <v>452447</v>
      </c>
      <c r="ET115" s="341">
        <v>455897</v>
      </c>
      <c r="EU115" s="341">
        <v>-3450</v>
      </c>
      <c r="EV115" s="350">
        <v>-0.0076</v>
      </c>
      <c r="EW115" s="192"/>
      <c r="EX115" s="192"/>
      <c r="EY115" s="389"/>
      <c r="EZ115" s="390" t="str">
        <f t="shared" si="230"/>
        <v>2026//1//7</v>
      </c>
      <c r="FA115" s="390">
        <v>759108</v>
      </c>
      <c r="FB115" s="390">
        <v>771808</v>
      </c>
      <c r="FC115" s="414">
        <v>-12700</v>
      </c>
      <c r="FD115" s="415">
        <v>-0.0165</v>
      </c>
      <c r="FE115" s="192"/>
      <c r="FF115" s="192"/>
      <c r="FH115" s="390" t="str">
        <f t="shared" si="231"/>
        <v>2026//1//7</v>
      </c>
      <c r="FI115" s="392">
        <v>464695</v>
      </c>
      <c r="FJ115" s="390">
        <v>453995</v>
      </c>
      <c r="FK115" s="348">
        <v>10700</v>
      </c>
      <c r="FL115" s="349">
        <v>0.0236</v>
      </c>
      <c r="FM115" s="391"/>
      <c r="FN115" s="391"/>
      <c r="FO115" s="389"/>
      <c r="FP115" s="390" t="str">
        <f t="shared" si="232"/>
        <v>2026//1//7</v>
      </c>
      <c r="FQ115" s="390">
        <v>2546819</v>
      </c>
      <c r="FR115" s="390">
        <v>2575469</v>
      </c>
      <c r="FS115" s="414">
        <v>-28650</v>
      </c>
      <c r="FT115" s="415">
        <v>-0.0111</v>
      </c>
      <c r="FU115" s="192"/>
      <c r="FV115" s="192"/>
      <c r="FW115" s="389"/>
      <c r="FX115" s="390" t="str">
        <f t="shared" si="233"/>
        <v>2026//1//7</v>
      </c>
      <c r="FY115" s="390">
        <v>7397882</v>
      </c>
      <c r="FZ115" s="390">
        <v>7442482</v>
      </c>
      <c r="GA115" s="414">
        <v>-44600</v>
      </c>
      <c r="GB115" s="415">
        <v>-0.006</v>
      </c>
      <c r="GC115" s="192"/>
      <c r="GD115" s="192"/>
      <c r="GE115" s="389"/>
      <c r="GF115" s="390" t="str">
        <f t="shared" si="234"/>
        <v>2026//1//7</v>
      </c>
      <c r="GG115" s="390">
        <v>4406769</v>
      </c>
      <c r="GH115" s="390">
        <v>4423569</v>
      </c>
      <c r="GI115" s="414">
        <v>-16800</v>
      </c>
      <c r="GJ115" s="415">
        <v>-0.0038</v>
      </c>
      <c r="GK115" s="192"/>
      <c r="GL115" s="192"/>
      <c r="GM115" s="389"/>
      <c r="GN115" s="390" t="str">
        <f t="shared" si="235"/>
        <v>2026//1//7</v>
      </c>
      <c r="GO115" s="390">
        <v>1541398</v>
      </c>
      <c r="GP115" s="390">
        <v>1527658</v>
      </c>
      <c r="GQ115" s="416">
        <v>13740</v>
      </c>
      <c r="GR115" s="417">
        <v>0.009</v>
      </c>
      <c r="GS115" s="192"/>
      <c r="GT115" s="192"/>
      <c r="GU115" s="389"/>
      <c r="GV115" s="390" t="str">
        <f t="shared" si="236"/>
        <v>2026//1//7</v>
      </c>
      <c r="GW115" s="390">
        <v>1160949</v>
      </c>
      <c r="GX115" s="390">
        <v>1170549</v>
      </c>
      <c r="GY115" s="414">
        <v>-9600</v>
      </c>
      <c r="GZ115" s="415">
        <v>-0.0082</v>
      </c>
      <c r="HA115" s="192"/>
      <c r="HB115" s="192"/>
      <c r="HC115" s="389"/>
      <c r="HD115" s="390" t="str">
        <f t="shared" si="237"/>
        <v>2026//1//7</v>
      </c>
      <c r="HE115" s="390">
        <v>1307865</v>
      </c>
      <c r="HF115" s="390">
        <v>1312765</v>
      </c>
      <c r="HG115" s="414">
        <v>-4900</v>
      </c>
      <c r="HH115" s="415">
        <v>-0.0037</v>
      </c>
      <c r="HI115" s="391"/>
      <c r="HJ115" s="192"/>
      <c r="HK115" s="389"/>
      <c r="HL115" s="390" t="str">
        <f t="shared" si="238"/>
        <v>2026//1//7</v>
      </c>
      <c r="HM115" s="390">
        <v>161004</v>
      </c>
      <c r="HN115" s="390">
        <v>163554</v>
      </c>
      <c r="HO115" s="414">
        <v>-2550</v>
      </c>
      <c r="HP115" s="415">
        <v>-0.0156</v>
      </c>
      <c r="HQ115" s="192"/>
      <c r="HR115" s="192"/>
      <c r="HS115" s="389"/>
      <c r="HT115" s="390" t="str">
        <f t="shared" si="239"/>
        <v>2026//1//7</v>
      </c>
      <c r="HU115" s="390">
        <v>100069</v>
      </c>
      <c r="HV115" s="390">
        <v>96269</v>
      </c>
      <c r="HW115" s="416">
        <v>3800</v>
      </c>
      <c r="HX115" s="417">
        <v>0.0395</v>
      </c>
      <c r="HY115" s="192"/>
      <c r="HZ115" s="192"/>
      <c r="IA115" s="389"/>
      <c r="IB115" s="390" t="str">
        <f t="shared" si="240"/>
        <v>2026//1//7</v>
      </c>
      <c r="IC115" s="200">
        <v>312209.79</v>
      </c>
      <c r="ID115" s="200">
        <v>313784.79</v>
      </c>
      <c r="IE115" s="346">
        <f t="shared" si="347"/>
        <v>-1575</v>
      </c>
      <c r="IF115" s="347">
        <f t="shared" si="348"/>
        <v>-0.00501936374927542</v>
      </c>
      <c r="IG115" s="391"/>
      <c r="IH115" s="192"/>
      <c r="II115" s="389"/>
      <c r="IJ115" s="390" t="str">
        <f t="shared" si="241"/>
        <v>2026//1//7</v>
      </c>
      <c r="IK115" s="390">
        <v>336796</v>
      </c>
      <c r="IL115" s="390">
        <v>338636</v>
      </c>
      <c r="IM115" s="414">
        <v>-1840</v>
      </c>
      <c r="IN115" s="415">
        <v>-0.0054</v>
      </c>
      <c r="IO115" s="192"/>
      <c r="IP115" s="192"/>
      <c r="IQ115" s="389"/>
      <c r="IR115" s="390" t="str">
        <f t="shared" si="242"/>
        <v>2026//1//7</v>
      </c>
      <c r="IS115" s="390">
        <v>102989</v>
      </c>
      <c r="IT115" s="390">
        <v>103389</v>
      </c>
      <c r="IU115" s="414">
        <v>-400</v>
      </c>
      <c r="IV115" s="415">
        <v>-0.0039</v>
      </c>
      <c r="IW115" s="192"/>
      <c r="IX115" s="192"/>
      <c r="IY115" s="389"/>
      <c r="IZ115" s="390" t="str">
        <f t="shared" si="243"/>
        <v>2026//1//7</v>
      </c>
      <c r="JA115" s="390">
        <v>4616729</v>
      </c>
      <c r="JB115" s="390">
        <v>4564629</v>
      </c>
      <c r="JC115" s="416">
        <v>52100</v>
      </c>
      <c r="JD115" s="417">
        <v>0.0114</v>
      </c>
      <c r="JE115" s="192"/>
      <c r="JF115" s="192"/>
      <c r="JG115" s="389"/>
      <c r="JH115" s="390" t="str">
        <f t="shared" si="244"/>
        <v>2026//1//7</v>
      </c>
      <c r="JI115" s="390">
        <v>1496068</v>
      </c>
      <c r="JJ115" s="390">
        <v>1506988</v>
      </c>
      <c r="JK115" s="414">
        <v>-10920</v>
      </c>
      <c r="JL115" s="415">
        <v>-0.0072</v>
      </c>
      <c r="JM115" s="192"/>
      <c r="JN115" s="192"/>
      <c r="JP115" s="390" t="str">
        <f t="shared" si="245"/>
        <v>2026//1//7</v>
      </c>
      <c r="JQ115" s="390">
        <v>1273890</v>
      </c>
      <c r="JR115" s="390">
        <v>1223090</v>
      </c>
      <c r="JS115" s="416">
        <v>50800</v>
      </c>
      <c r="JT115" s="417">
        <v>0.0415</v>
      </c>
      <c r="JU115" s="192"/>
      <c r="JV115" s="409"/>
      <c r="JX115" s="390" t="str">
        <f t="shared" si="246"/>
        <v>2026//1//7</v>
      </c>
      <c r="JY115" s="390">
        <v>1392499</v>
      </c>
      <c r="JZ115" s="390">
        <v>1432499</v>
      </c>
      <c r="KA115" s="414">
        <v>-40000</v>
      </c>
      <c r="KB115" s="415">
        <v>-0.0279</v>
      </c>
      <c r="KC115" s="192"/>
      <c r="KD115" s="409"/>
      <c r="KF115" s="390" t="str">
        <f t="shared" si="247"/>
        <v>2026//1//7</v>
      </c>
      <c r="KG115" s="390">
        <v>867956</v>
      </c>
      <c r="KH115" s="390">
        <v>867956</v>
      </c>
      <c r="KI115" s="410">
        <v>0</v>
      </c>
      <c r="KJ115" s="409">
        <v>0</v>
      </c>
      <c r="KK115" s="391"/>
      <c r="KL115" s="391"/>
      <c r="KM115" s="389"/>
      <c r="KN115" s="390" t="str">
        <f t="shared" si="248"/>
        <v>2026//1//7</v>
      </c>
      <c r="KO115" s="390">
        <v>6644376</v>
      </c>
      <c r="KP115" s="390">
        <v>6611976</v>
      </c>
      <c r="KQ115" s="416">
        <v>32400</v>
      </c>
      <c r="KR115" s="417">
        <v>0.0049</v>
      </c>
      <c r="KS115" s="192"/>
      <c r="KT115" s="192"/>
      <c r="KU115" s="389"/>
      <c r="KV115" s="390" t="str">
        <f t="shared" si="249"/>
        <v>2026//1//7</v>
      </c>
      <c r="KW115" s="390">
        <v>1046373</v>
      </c>
      <c r="KX115" s="390">
        <v>1047473</v>
      </c>
      <c r="KY115" s="346">
        <v>-1100</v>
      </c>
      <c r="KZ115" s="347">
        <v>-0.0011</v>
      </c>
      <c r="LA115" s="391"/>
      <c r="LB115" s="192"/>
      <c r="LC115" s="389"/>
      <c r="LD115" s="390" t="str">
        <f t="shared" si="250"/>
        <v>2026//1//7</v>
      </c>
      <c r="LE115" s="390">
        <v>427208</v>
      </c>
      <c r="LF115" s="390">
        <v>418108</v>
      </c>
      <c r="LG115" s="416">
        <v>9100</v>
      </c>
      <c r="LH115" s="417">
        <v>0.0218</v>
      </c>
      <c r="LI115" s="192"/>
      <c r="LJ115" s="192"/>
      <c r="LK115" s="389"/>
      <c r="LL115" s="390" t="str">
        <f t="shared" si="251"/>
        <v>2026//1//7</v>
      </c>
      <c r="LM115" s="392">
        <v>3306355</v>
      </c>
      <c r="LN115" s="390">
        <v>3371335</v>
      </c>
      <c r="LO115" s="414">
        <v>-64980</v>
      </c>
      <c r="LP115" s="415">
        <v>-0.0193</v>
      </c>
      <c r="LQ115" s="192"/>
      <c r="LR115" s="192"/>
      <c r="LS115" s="389"/>
      <c r="LT115" s="390" t="str">
        <f t="shared" si="252"/>
        <v>2026//1//7</v>
      </c>
      <c r="LU115" s="390">
        <v>2681663</v>
      </c>
      <c r="LV115" s="390">
        <v>2644863</v>
      </c>
      <c r="LW115" s="416">
        <v>36800</v>
      </c>
      <c r="LX115" s="417">
        <v>0.0139</v>
      </c>
      <c r="LY115" s="192"/>
      <c r="LZ115" s="192"/>
      <c r="MA115" s="389"/>
      <c r="MB115" s="390" t="str">
        <f t="shared" si="253"/>
        <v>2026//1//7</v>
      </c>
      <c r="MC115" s="390">
        <v>850568</v>
      </c>
      <c r="MD115" s="390">
        <v>820418</v>
      </c>
      <c r="ME115" s="416">
        <v>30150</v>
      </c>
      <c r="MF115" s="417">
        <v>0.0367</v>
      </c>
      <c r="MG115" s="192"/>
      <c r="MH115" s="192"/>
      <c r="MI115" s="342"/>
      <c r="MJ115" s="341">
        <v>1.0462</v>
      </c>
      <c r="MK115" s="341" t="str">
        <f t="shared" si="254"/>
        <v>2026//1//7</v>
      </c>
      <c r="ML115" s="341">
        <v>248266</v>
      </c>
      <c r="MM115" s="12">
        <f t="shared" si="388"/>
        <v>247546</v>
      </c>
      <c r="MN115" s="341">
        <v>720</v>
      </c>
      <c r="MO115" s="350">
        <v>0.0029</v>
      </c>
      <c r="MP115" s="192"/>
      <c r="MQ115" s="394"/>
      <c r="MR115" s="394"/>
      <c r="MS115" s="204">
        <v>1.2422</v>
      </c>
      <c r="MT115" s="295" t="str">
        <f t="shared" si="255"/>
        <v>2026//1//7</v>
      </c>
      <c r="MU115" s="204">
        <v>22015</v>
      </c>
      <c r="MV115" s="204">
        <f t="shared" si="391"/>
        <v>21515</v>
      </c>
      <c r="MW115" s="204">
        <v>500</v>
      </c>
      <c r="MX115" s="296">
        <v>0.0232</v>
      </c>
      <c r="MY115" s="192"/>
      <c r="MZ115" s="192"/>
      <c r="NA115" s="192"/>
      <c r="NB115" s="204">
        <v>1.317</v>
      </c>
      <c r="NC115" s="204" t="str">
        <f t="shared" si="256"/>
        <v>2026//1//7</v>
      </c>
      <c r="ND115" s="204">
        <v>25891</v>
      </c>
      <c r="NE115" s="204">
        <f t="shared" si="392"/>
        <v>25891</v>
      </c>
      <c r="NF115" s="204">
        <v>0</v>
      </c>
      <c r="NG115" s="296">
        <v>0</v>
      </c>
      <c r="NH115" s="192"/>
      <c r="NI115" s="192"/>
      <c r="NJ115" s="192"/>
      <c r="NK115" s="192"/>
      <c r="NL115" s="205">
        <v>1.1685</v>
      </c>
      <c r="NM115" s="204" t="str">
        <f t="shared" si="257"/>
        <v>2026//1//7</v>
      </c>
      <c r="NN115" s="205">
        <v>2275911</v>
      </c>
      <c r="NO115" s="8">
        <f t="shared" si="393"/>
        <v>2269411</v>
      </c>
      <c r="NP115" s="205">
        <v>6500</v>
      </c>
      <c r="NQ115" s="292">
        <v>0.0029</v>
      </c>
      <c r="NR115" s="293"/>
      <c r="NS115" s="205">
        <v>1.0655</v>
      </c>
      <c r="NT115" s="294"/>
      <c r="NU115" s="204" t="str">
        <f t="shared" si="258"/>
        <v>2026//1//7</v>
      </c>
      <c r="NV115" s="205">
        <v>232376</v>
      </c>
      <c r="NW115" s="205">
        <f t="shared" si="394"/>
        <v>235276</v>
      </c>
      <c r="NX115" s="205">
        <v>-2900</v>
      </c>
      <c r="NY115" s="292">
        <v>-0.0123</v>
      </c>
      <c r="NZ115" s="391"/>
      <c r="OA115" s="389"/>
      <c r="OB115" s="389"/>
      <c r="OC115" s="390" t="str">
        <f t="shared" si="259"/>
        <v>2026//1//7</v>
      </c>
      <c r="OD115" s="390">
        <v>13784</v>
      </c>
      <c r="OE115" s="390">
        <v>13437</v>
      </c>
      <c r="OF115" s="416">
        <v>347</v>
      </c>
      <c r="OG115" s="417">
        <v>0.0258</v>
      </c>
      <c r="OH115" s="192"/>
      <c r="OI115" s="192"/>
      <c r="OJ115" s="389"/>
      <c r="OK115" s="390" t="str">
        <f t="shared" si="260"/>
        <v>2026//1//7</v>
      </c>
      <c r="OL115" s="200">
        <v>11656.65</v>
      </c>
      <c r="OM115" s="8">
        <f t="shared" si="404"/>
        <v>11837.65</v>
      </c>
      <c r="ON115" s="346">
        <f t="shared" si="405"/>
        <v>-181</v>
      </c>
      <c r="OO115" s="347">
        <f t="shared" si="406"/>
        <v>-0.0152901969563216</v>
      </c>
      <c r="OP115" s="192"/>
      <c r="OQ115" s="192"/>
      <c r="OT115" s="234" t="str">
        <f t="shared" si="211"/>
        <v>2026//1//7</v>
      </c>
      <c r="OU115" s="206">
        <v>137352.4066</v>
      </c>
      <c r="OV115" s="8">
        <f t="shared" si="401"/>
        <v>137232.4066</v>
      </c>
      <c r="OW115" s="191">
        <f t="shared" si="402"/>
        <v>120</v>
      </c>
      <c r="OX115" s="192">
        <f t="shared" si="403"/>
        <v>0.000874429028631492</v>
      </c>
    </row>
    <row r="116" s="8" customFormat="1" ht="17" customHeight="1" spans="1:414">
      <c r="A116" s="15"/>
      <c r="B116" s="15"/>
      <c r="C116" s="385" t="s">
        <v>545</v>
      </c>
      <c r="D116" s="395">
        <v>8934439</v>
      </c>
      <c r="E116" s="395">
        <v>8905819</v>
      </c>
      <c r="F116" s="459">
        <v>28620</v>
      </c>
      <c r="G116" s="460">
        <v>0.0032</v>
      </c>
      <c r="H116" s="18"/>
      <c r="I116" s="453"/>
      <c r="J116" s="453"/>
      <c r="K116" s="386" t="str">
        <f t="shared" si="212"/>
        <v>2026//1//6</v>
      </c>
      <c r="L116" s="395">
        <v>6598324</v>
      </c>
      <c r="M116" s="395">
        <v>6596974</v>
      </c>
      <c r="N116" s="459">
        <v>1350</v>
      </c>
      <c r="O116" s="460">
        <v>0.0002</v>
      </c>
      <c r="P116" s="18"/>
      <c r="Q116" s="453"/>
      <c r="R116" s="454"/>
      <c r="S116" s="386" t="str">
        <f t="shared" si="213"/>
        <v>2026//1//6</v>
      </c>
      <c r="T116" s="395">
        <v>5668357</v>
      </c>
      <c r="U116" s="395">
        <v>5658907</v>
      </c>
      <c r="V116" s="459">
        <v>9450</v>
      </c>
      <c r="W116" s="460">
        <v>0.0017</v>
      </c>
      <c r="X116" s="18"/>
      <c r="Y116" s="453"/>
      <c r="Z116" s="454"/>
      <c r="AA116" s="386" t="str">
        <f t="shared" si="214"/>
        <v>2026//1//6</v>
      </c>
      <c r="AB116" s="395">
        <v>1955937</v>
      </c>
      <c r="AC116" s="395">
        <v>1943177</v>
      </c>
      <c r="AD116" s="459">
        <v>12760</v>
      </c>
      <c r="AE116" s="460">
        <v>0.0066</v>
      </c>
      <c r="AF116" s="18"/>
      <c r="AG116" s="453"/>
      <c r="AH116" s="454"/>
      <c r="AI116" s="386" t="str">
        <f t="shared" si="215"/>
        <v>2026//1//6</v>
      </c>
      <c r="AJ116" s="395">
        <v>2601722</v>
      </c>
      <c r="AK116" s="386">
        <v>2586722</v>
      </c>
      <c r="AL116" s="459">
        <v>15000</v>
      </c>
      <c r="AM116" s="460">
        <v>0.0058</v>
      </c>
      <c r="AN116" s="18"/>
      <c r="AO116" s="18"/>
      <c r="AP116" s="454"/>
      <c r="AQ116" s="386" t="str">
        <f t="shared" si="216"/>
        <v>2026//1//6</v>
      </c>
      <c r="AR116" s="418">
        <v>3161845</v>
      </c>
      <c r="AS116" s="395">
        <v>3149845</v>
      </c>
      <c r="AT116" s="459">
        <v>12000</v>
      </c>
      <c r="AU116" s="460">
        <v>0.0038</v>
      </c>
      <c r="AV116" s="18"/>
      <c r="AW116" s="18"/>
      <c r="AX116" s="17"/>
      <c r="AY116" s="205">
        <v>4.9968</v>
      </c>
      <c r="AZ116" s="204" t="str">
        <f t="shared" si="217"/>
        <v>2026//1//6</v>
      </c>
      <c r="BA116" s="205">
        <v>4093852</v>
      </c>
      <c r="BB116" s="205">
        <f t="shared" si="279"/>
        <v>4087462</v>
      </c>
      <c r="BC116" s="205">
        <v>6390</v>
      </c>
      <c r="BD116" s="292">
        <v>0.0016</v>
      </c>
      <c r="BE116" s="18"/>
      <c r="BF116" s="18"/>
      <c r="BG116" s="74"/>
      <c r="BH116" s="387" t="str">
        <f t="shared" si="218"/>
        <v>2026//1//6</v>
      </c>
      <c r="BI116" s="387">
        <v>266427</v>
      </c>
      <c r="BJ116" s="387">
        <v>264827</v>
      </c>
      <c r="BK116" s="421">
        <v>1600</v>
      </c>
      <c r="BL116" s="422">
        <v>0.006</v>
      </c>
      <c r="BM116" s="197"/>
      <c r="BN116" s="192"/>
      <c r="BO116" s="389"/>
      <c r="BP116" s="390" t="str">
        <f t="shared" si="219"/>
        <v>2026//1//6</v>
      </c>
      <c r="BQ116" s="392">
        <v>689662</v>
      </c>
      <c r="BR116" s="390">
        <v>684862</v>
      </c>
      <c r="BS116" s="416">
        <v>4800</v>
      </c>
      <c r="BT116" s="417">
        <v>0.007</v>
      </c>
      <c r="BU116" s="192"/>
      <c r="BV116" s="192"/>
      <c r="BW116" s="389"/>
      <c r="BX116" s="390" t="str">
        <f t="shared" si="220"/>
        <v>2026//1//6</v>
      </c>
      <c r="BY116" s="390">
        <v>2164711</v>
      </c>
      <c r="BZ116" s="390">
        <v>2082611</v>
      </c>
      <c r="CA116" s="416">
        <v>82100</v>
      </c>
      <c r="CB116" s="417">
        <v>0.0394</v>
      </c>
      <c r="CC116" s="192"/>
      <c r="CD116" s="409"/>
      <c r="CE116" s="389"/>
      <c r="CF116" s="390" t="str">
        <f t="shared" si="221"/>
        <v>2026//1//6</v>
      </c>
      <c r="CG116" s="390">
        <v>1153954</v>
      </c>
      <c r="CH116" s="12">
        <f t="shared" si="289"/>
        <v>1115304</v>
      </c>
      <c r="CI116" s="12">
        <f t="shared" si="290"/>
        <v>38650</v>
      </c>
      <c r="CJ116" s="199">
        <f t="shared" si="291"/>
        <v>0.0346542288021921</v>
      </c>
      <c r="CK116" s="192"/>
      <c r="CL116" s="391"/>
      <c r="CM116" s="389"/>
      <c r="CN116" s="390" t="str">
        <f t="shared" si="222"/>
        <v>2026//1//6</v>
      </c>
      <c r="CO116" s="390">
        <v>387846</v>
      </c>
      <c r="CP116" s="390">
        <v>359846</v>
      </c>
      <c r="CQ116" s="12">
        <f t="shared" si="293"/>
        <v>28000</v>
      </c>
      <c r="CR116" s="199">
        <f t="shared" si="294"/>
        <v>0.0778110636216604</v>
      </c>
      <c r="CS116" s="391"/>
      <c r="CT116" s="391"/>
      <c r="CU116" s="389"/>
      <c r="CV116" s="390" t="str">
        <f t="shared" si="223"/>
        <v>2026//1//6</v>
      </c>
      <c r="CW116" s="390">
        <v>603890</v>
      </c>
      <c r="CX116" s="390">
        <v>605440</v>
      </c>
      <c r="CY116" s="414">
        <v>-1550</v>
      </c>
      <c r="CZ116" s="415">
        <v>-0.0026</v>
      </c>
      <c r="DA116" s="192"/>
      <c r="DB116" s="192"/>
      <c r="DC116" s="277"/>
      <c r="DD116" s="390" t="str">
        <f t="shared" si="224"/>
        <v>2026//1//6</v>
      </c>
      <c r="DE116" s="390">
        <v>1237518</v>
      </c>
      <c r="DF116" s="12">
        <f t="shared" si="298"/>
        <v>1203918</v>
      </c>
      <c r="DG116" s="416">
        <v>16800</v>
      </c>
      <c r="DH116" s="417">
        <v>0.0279</v>
      </c>
      <c r="DI116" s="192"/>
      <c r="DJ116" s="192"/>
      <c r="DK116" s="389"/>
      <c r="DL116" s="390" t="str">
        <f t="shared" si="225"/>
        <v>2026//1//6</v>
      </c>
      <c r="DM116" s="390">
        <v>1334700</v>
      </c>
      <c r="DN116" s="390">
        <v>1340900</v>
      </c>
      <c r="DO116" s="414">
        <v>-6200</v>
      </c>
      <c r="DP116" s="415">
        <v>-0.0046</v>
      </c>
      <c r="DQ116" s="192"/>
      <c r="DR116" s="192"/>
      <c r="DS116" s="389"/>
      <c r="DT116" s="390" t="str">
        <f t="shared" si="226"/>
        <v>2026//1//6</v>
      </c>
      <c r="DU116" s="390">
        <v>1701989</v>
      </c>
      <c r="DV116" s="390">
        <v>1675889</v>
      </c>
      <c r="DW116" s="416">
        <v>26100</v>
      </c>
      <c r="DX116" s="417">
        <v>0.0156</v>
      </c>
      <c r="DY116" s="192"/>
      <c r="DZ116" s="192"/>
      <c r="EA116" s="389"/>
      <c r="EB116" s="390" t="str">
        <f t="shared" si="227"/>
        <v>2026//1//6</v>
      </c>
      <c r="EC116" s="390">
        <v>5419617</v>
      </c>
      <c r="ED116" s="390">
        <v>5316567</v>
      </c>
      <c r="EE116" s="416">
        <v>103050</v>
      </c>
      <c r="EF116" s="417">
        <v>0.0194</v>
      </c>
      <c r="EG116" s="192"/>
      <c r="EH116" s="192"/>
      <c r="EI116" s="389"/>
      <c r="EJ116" s="390" t="str">
        <f t="shared" si="228"/>
        <v>2026//1//6</v>
      </c>
      <c r="EK116" s="390">
        <v>1421323</v>
      </c>
      <c r="EL116" s="390">
        <v>1411923</v>
      </c>
      <c r="EM116" s="416">
        <v>9400</v>
      </c>
      <c r="EN116" s="417">
        <v>0.0067</v>
      </c>
      <c r="EO116" s="192"/>
      <c r="EP116" s="192"/>
      <c r="EQ116" s="340"/>
      <c r="ER116" s="341" t="str">
        <f t="shared" si="229"/>
        <v>2026//1//6</v>
      </c>
      <c r="ES116" s="341">
        <v>455897</v>
      </c>
      <c r="ET116" s="341">
        <v>455597</v>
      </c>
      <c r="EU116" s="341">
        <v>300</v>
      </c>
      <c r="EV116" s="350">
        <v>0.0007</v>
      </c>
      <c r="EW116" s="192"/>
      <c r="EX116" s="192"/>
      <c r="EY116" s="389"/>
      <c r="EZ116" s="390" t="str">
        <f t="shared" si="230"/>
        <v>2026//1//6</v>
      </c>
      <c r="FA116" s="390">
        <v>771808</v>
      </c>
      <c r="FB116" s="390">
        <v>777408</v>
      </c>
      <c r="FC116" s="414">
        <v>-5600</v>
      </c>
      <c r="FD116" s="415">
        <v>-0.0072</v>
      </c>
      <c r="FE116" s="192"/>
      <c r="FF116" s="192"/>
      <c r="FH116" s="390" t="str">
        <f t="shared" si="231"/>
        <v>2026//1//6</v>
      </c>
      <c r="FI116" s="392">
        <v>453995</v>
      </c>
      <c r="FJ116" s="390">
        <v>436895</v>
      </c>
      <c r="FK116" s="348">
        <v>17100</v>
      </c>
      <c r="FL116" s="349">
        <v>0.0391</v>
      </c>
      <c r="FM116" s="391"/>
      <c r="FN116" s="391"/>
      <c r="FO116" s="389"/>
      <c r="FP116" s="390" t="str">
        <f t="shared" si="232"/>
        <v>2026//1//6</v>
      </c>
      <c r="FQ116" s="390">
        <v>2575469</v>
      </c>
      <c r="FR116" s="390">
        <v>2578919</v>
      </c>
      <c r="FS116" s="414">
        <v>-3450</v>
      </c>
      <c r="FT116" s="415">
        <v>-0.0013</v>
      </c>
      <c r="FU116" s="192"/>
      <c r="FV116" s="192"/>
      <c r="FW116" s="389"/>
      <c r="FX116" s="390" t="str">
        <f t="shared" si="233"/>
        <v>2026//1//6</v>
      </c>
      <c r="FY116" s="390">
        <v>7442482</v>
      </c>
      <c r="FZ116" s="390">
        <v>7422782</v>
      </c>
      <c r="GA116" s="416">
        <v>19700</v>
      </c>
      <c r="GB116" s="417">
        <v>0.0027</v>
      </c>
      <c r="GC116" s="192"/>
      <c r="GD116" s="192"/>
      <c r="GE116" s="389"/>
      <c r="GF116" s="390" t="str">
        <f t="shared" si="234"/>
        <v>2026//1//6</v>
      </c>
      <c r="GG116" s="390">
        <v>4423569</v>
      </c>
      <c r="GH116" s="390">
        <v>4407869</v>
      </c>
      <c r="GI116" s="416">
        <v>15700</v>
      </c>
      <c r="GJ116" s="417">
        <v>0.0036</v>
      </c>
      <c r="GK116" s="192"/>
      <c r="GL116" s="192"/>
      <c r="GM116" s="389"/>
      <c r="GN116" s="390" t="str">
        <f t="shared" si="235"/>
        <v>2026//1//6</v>
      </c>
      <c r="GO116" s="390">
        <v>1527658</v>
      </c>
      <c r="GP116" s="390">
        <v>1496818</v>
      </c>
      <c r="GQ116" s="416">
        <v>30840</v>
      </c>
      <c r="GR116" s="417">
        <v>0.0206</v>
      </c>
      <c r="GS116" s="192"/>
      <c r="GT116" s="192"/>
      <c r="GU116" s="389"/>
      <c r="GV116" s="390" t="str">
        <f t="shared" si="236"/>
        <v>2026//1//6</v>
      </c>
      <c r="GW116" s="390">
        <v>1170549</v>
      </c>
      <c r="GX116" s="390">
        <v>1173949</v>
      </c>
      <c r="GY116" s="414">
        <v>-3400</v>
      </c>
      <c r="GZ116" s="415">
        <v>-0.0029</v>
      </c>
      <c r="HA116" s="192"/>
      <c r="HB116" s="192"/>
      <c r="HC116" s="389"/>
      <c r="HD116" s="390" t="str">
        <f t="shared" si="237"/>
        <v>2026//1//6</v>
      </c>
      <c r="HE116" s="390">
        <v>1312765</v>
      </c>
      <c r="HF116" s="390">
        <v>1309765</v>
      </c>
      <c r="HG116" s="416">
        <v>3000</v>
      </c>
      <c r="HH116" s="417">
        <v>0.0023</v>
      </c>
      <c r="HI116" s="391"/>
      <c r="HJ116" s="192"/>
      <c r="HK116" s="389"/>
      <c r="HL116" s="390" t="str">
        <f t="shared" si="238"/>
        <v>2026//1//6</v>
      </c>
      <c r="HM116" s="390">
        <v>163554</v>
      </c>
      <c r="HN116" s="390">
        <v>165154</v>
      </c>
      <c r="HO116" s="414">
        <v>-1600</v>
      </c>
      <c r="HP116" s="415">
        <v>-0.0097</v>
      </c>
      <c r="HQ116" s="192"/>
      <c r="HR116" s="192"/>
      <c r="HS116" s="389"/>
      <c r="HT116" s="390" t="str">
        <f t="shared" si="239"/>
        <v>2026//1//6</v>
      </c>
      <c r="HU116" s="390">
        <v>96269</v>
      </c>
      <c r="HV116" s="390">
        <v>93169</v>
      </c>
      <c r="HW116" s="416">
        <v>3100</v>
      </c>
      <c r="HX116" s="417">
        <v>0.0333</v>
      </c>
      <c r="HY116" s="192"/>
      <c r="HZ116" s="192"/>
      <c r="IA116" s="389"/>
      <c r="IB116" s="390" t="str">
        <f t="shared" si="240"/>
        <v>2026//1//6</v>
      </c>
      <c r="IC116" s="200">
        <v>313784.79</v>
      </c>
      <c r="ID116" s="200">
        <v>314209.79</v>
      </c>
      <c r="IE116" s="346">
        <f t="shared" si="347"/>
        <v>-425</v>
      </c>
      <c r="IF116" s="347">
        <f t="shared" si="348"/>
        <v>-0.0013525994845673</v>
      </c>
      <c r="IG116" s="391"/>
      <c r="IH116" s="192"/>
      <c r="II116" s="389"/>
      <c r="IJ116" s="390" t="str">
        <f t="shared" si="241"/>
        <v>2026//1//6</v>
      </c>
      <c r="IK116" s="390">
        <v>338636</v>
      </c>
      <c r="IL116" s="390">
        <v>370716</v>
      </c>
      <c r="IM116" s="414">
        <v>-32080</v>
      </c>
      <c r="IN116" s="415">
        <v>-0.0865</v>
      </c>
      <c r="IO116" s="192"/>
      <c r="IP116" s="192"/>
      <c r="IQ116" s="389"/>
      <c r="IR116" s="390" t="str">
        <f t="shared" si="242"/>
        <v>2026//1//6</v>
      </c>
      <c r="IS116" s="390">
        <v>103389</v>
      </c>
      <c r="IT116" s="390">
        <v>102989</v>
      </c>
      <c r="IU116" s="416">
        <v>400</v>
      </c>
      <c r="IV116" s="417">
        <v>0.0039</v>
      </c>
      <c r="IW116" s="192"/>
      <c r="IX116" s="192"/>
      <c r="IY116" s="389"/>
      <c r="IZ116" s="390" t="str">
        <f t="shared" si="243"/>
        <v>2026//1//6</v>
      </c>
      <c r="JA116" s="390">
        <v>4564629</v>
      </c>
      <c r="JB116" s="390">
        <v>4703729</v>
      </c>
      <c r="JC116" s="414">
        <v>-139100</v>
      </c>
      <c r="JD116" s="415">
        <v>-0.0296</v>
      </c>
      <c r="JE116" s="192"/>
      <c r="JF116" s="192"/>
      <c r="JG116" s="389"/>
      <c r="JH116" s="390" t="str">
        <f t="shared" si="244"/>
        <v>2026//1//6</v>
      </c>
      <c r="JI116" s="390">
        <v>1506988</v>
      </c>
      <c r="JJ116" s="390">
        <v>1546108</v>
      </c>
      <c r="JK116" s="414">
        <v>-39120</v>
      </c>
      <c r="JL116" s="415">
        <v>-0.0253</v>
      </c>
      <c r="JM116" s="192"/>
      <c r="JN116" s="192"/>
      <c r="JP116" s="390" t="str">
        <f t="shared" si="245"/>
        <v>2026//1//6</v>
      </c>
      <c r="JQ116" s="390">
        <v>1223090</v>
      </c>
      <c r="JR116" s="390">
        <v>1204990</v>
      </c>
      <c r="JS116" s="416">
        <v>18100</v>
      </c>
      <c r="JT116" s="417">
        <v>0.015</v>
      </c>
      <c r="JU116" s="192"/>
      <c r="JV116" s="409"/>
      <c r="JX116" s="390" t="str">
        <f t="shared" si="246"/>
        <v>2026//1//6</v>
      </c>
      <c r="JY116" s="390">
        <v>1432499</v>
      </c>
      <c r="JZ116" s="390">
        <v>1449449</v>
      </c>
      <c r="KA116" s="414">
        <v>-16950</v>
      </c>
      <c r="KB116" s="415">
        <v>-0.0117</v>
      </c>
      <c r="KC116" s="192"/>
      <c r="KD116" s="409"/>
      <c r="KF116" s="390" t="str">
        <f t="shared" si="247"/>
        <v>2026//1//6</v>
      </c>
      <c r="KG116" s="390">
        <v>867956</v>
      </c>
      <c r="KH116" s="390">
        <v>867956</v>
      </c>
      <c r="KI116" s="410">
        <v>0</v>
      </c>
      <c r="KJ116" s="409">
        <v>0</v>
      </c>
      <c r="KK116" s="391"/>
      <c r="KL116" s="391"/>
      <c r="KM116" s="389"/>
      <c r="KN116" s="390" t="str">
        <f t="shared" si="248"/>
        <v>2026//1//6</v>
      </c>
      <c r="KO116" s="390">
        <v>6611976</v>
      </c>
      <c r="KP116" s="390">
        <v>6611176</v>
      </c>
      <c r="KQ116" s="416">
        <v>800</v>
      </c>
      <c r="KR116" s="417">
        <v>0.0001</v>
      </c>
      <c r="KS116" s="192"/>
      <c r="KT116" s="192"/>
      <c r="KU116" s="389"/>
      <c r="KV116" s="390" t="str">
        <f t="shared" si="249"/>
        <v>2026//1//6</v>
      </c>
      <c r="KW116" s="390">
        <v>1047473</v>
      </c>
      <c r="KX116" s="390">
        <v>1047873</v>
      </c>
      <c r="KY116" s="346">
        <v>-400</v>
      </c>
      <c r="KZ116" s="347">
        <v>-0.0004</v>
      </c>
      <c r="LA116" s="391"/>
      <c r="LB116" s="192"/>
      <c r="LC116" s="389"/>
      <c r="LD116" s="390" t="str">
        <f t="shared" si="250"/>
        <v>2026//1//6</v>
      </c>
      <c r="LE116" s="390">
        <v>418108</v>
      </c>
      <c r="LF116" s="390">
        <v>421908</v>
      </c>
      <c r="LG116" s="414">
        <v>-3800</v>
      </c>
      <c r="LH116" s="415">
        <v>-0.009</v>
      </c>
      <c r="LI116" s="192"/>
      <c r="LJ116" s="192"/>
      <c r="LK116" s="389"/>
      <c r="LL116" s="390" t="str">
        <f t="shared" si="251"/>
        <v>2026//1//6</v>
      </c>
      <c r="LM116" s="392">
        <v>3371335</v>
      </c>
      <c r="LN116" s="390">
        <v>3400855</v>
      </c>
      <c r="LO116" s="414">
        <v>-29520</v>
      </c>
      <c r="LP116" s="415">
        <v>-0.0087</v>
      </c>
      <c r="LQ116" s="192"/>
      <c r="LR116" s="192"/>
      <c r="LS116" s="389"/>
      <c r="LT116" s="390" t="str">
        <f t="shared" si="252"/>
        <v>2026//1//6</v>
      </c>
      <c r="LU116" s="390">
        <v>2644863</v>
      </c>
      <c r="LV116" s="390">
        <v>2586863</v>
      </c>
      <c r="LW116" s="416">
        <v>58000</v>
      </c>
      <c r="LX116" s="417">
        <v>0.0224</v>
      </c>
      <c r="LY116" s="192"/>
      <c r="LZ116" s="192"/>
      <c r="MA116" s="389"/>
      <c r="MB116" s="390" t="str">
        <f t="shared" si="253"/>
        <v>2026//1//6</v>
      </c>
      <c r="MC116" s="390">
        <v>820418</v>
      </c>
      <c r="MD116" s="390">
        <v>838568</v>
      </c>
      <c r="ME116" s="414">
        <v>-18150</v>
      </c>
      <c r="MF116" s="415">
        <v>-0.0216</v>
      </c>
      <c r="MG116" s="192"/>
      <c r="MH116" s="192"/>
      <c r="MI116" s="342"/>
      <c r="MJ116" s="341">
        <v>1.0539</v>
      </c>
      <c r="MK116" s="341" t="str">
        <f t="shared" si="254"/>
        <v>2026//1//6</v>
      </c>
      <c r="ML116" s="341">
        <v>247546</v>
      </c>
      <c r="MM116" s="12">
        <f t="shared" si="388"/>
        <v>242506</v>
      </c>
      <c r="MN116" s="341">
        <v>5040</v>
      </c>
      <c r="MO116" s="350">
        <v>0.0208</v>
      </c>
      <c r="MP116" s="192"/>
      <c r="MQ116" s="394"/>
      <c r="MR116" s="394"/>
      <c r="MS116" s="204">
        <v>1.256</v>
      </c>
      <c r="MT116" s="295" t="str">
        <f t="shared" si="255"/>
        <v>2026//1//6</v>
      </c>
      <c r="MU116" s="204">
        <v>21515</v>
      </c>
      <c r="MV116" s="204">
        <f t="shared" si="391"/>
        <v>21315</v>
      </c>
      <c r="MW116" s="204">
        <v>200</v>
      </c>
      <c r="MX116" s="296">
        <v>0.0094</v>
      </c>
      <c r="MY116" s="192"/>
      <c r="MZ116" s="192"/>
      <c r="NA116" s="192"/>
      <c r="NB116" s="204">
        <v>1.301</v>
      </c>
      <c r="NC116" s="204" t="str">
        <f t="shared" si="256"/>
        <v>2026//1//6</v>
      </c>
      <c r="ND116" s="204">
        <v>25891</v>
      </c>
      <c r="NE116" s="204">
        <f t="shared" si="392"/>
        <v>25891</v>
      </c>
      <c r="NF116" s="204">
        <v>0</v>
      </c>
      <c r="NG116" s="296">
        <v>0</v>
      </c>
      <c r="NH116" s="192"/>
      <c r="NI116" s="192"/>
      <c r="NJ116" s="192"/>
      <c r="NK116" s="192"/>
      <c r="NL116" s="205">
        <v>1.1747</v>
      </c>
      <c r="NM116" s="204" t="str">
        <f t="shared" si="257"/>
        <v>2026//1//6</v>
      </c>
      <c r="NN116" s="205">
        <v>2269411</v>
      </c>
      <c r="NO116" s="8">
        <f t="shared" si="393"/>
        <v>2296111</v>
      </c>
      <c r="NP116" s="205">
        <v>-26700</v>
      </c>
      <c r="NQ116" s="292">
        <v>-0.0116</v>
      </c>
      <c r="NR116" s="293"/>
      <c r="NS116" s="205">
        <v>1.0709</v>
      </c>
      <c r="NT116" s="294"/>
      <c r="NU116" s="204" t="str">
        <f t="shared" si="258"/>
        <v>2026//1//6</v>
      </c>
      <c r="NV116" s="205">
        <v>235276</v>
      </c>
      <c r="NW116" s="205">
        <f t="shared" si="394"/>
        <v>235426</v>
      </c>
      <c r="NX116" s="205">
        <v>-150</v>
      </c>
      <c r="NY116" s="292">
        <v>-0.0006</v>
      </c>
      <c r="NZ116" s="391"/>
      <c r="OA116" s="389"/>
      <c r="OB116" s="389"/>
      <c r="OC116" s="390" t="str">
        <f t="shared" si="259"/>
        <v>2026//1//6</v>
      </c>
      <c r="OD116" s="390">
        <v>13437</v>
      </c>
      <c r="OE116" s="390">
        <v>13606</v>
      </c>
      <c r="OF116" s="414">
        <v>-169</v>
      </c>
      <c r="OG116" s="415">
        <v>-0.0124</v>
      </c>
      <c r="OH116" s="192"/>
      <c r="OI116" s="192"/>
      <c r="OJ116" s="389"/>
      <c r="OK116" s="390" t="str">
        <f t="shared" si="260"/>
        <v>2026//1//6</v>
      </c>
      <c r="OL116" s="200">
        <v>11837.65</v>
      </c>
      <c r="OM116" s="8">
        <f t="shared" si="404"/>
        <v>12017.65</v>
      </c>
      <c r="ON116" s="346">
        <f t="shared" si="405"/>
        <v>-180</v>
      </c>
      <c r="OO116" s="347">
        <f t="shared" si="406"/>
        <v>-0.0149779699026016</v>
      </c>
      <c r="OP116" s="192"/>
      <c r="OQ116" s="192"/>
      <c r="OT116" s="234" t="str">
        <f t="shared" si="211"/>
        <v>2026//1//6</v>
      </c>
      <c r="OU116" s="206">
        <v>137232.4066</v>
      </c>
      <c r="OV116" s="8">
        <f t="shared" si="401"/>
        <v>137112.4066</v>
      </c>
      <c r="OW116" s="191">
        <f t="shared" si="402"/>
        <v>120</v>
      </c>
      <c r="OX116" s="192">
        <f t="shared" si="403"/>
        <v>0.000875194323954051</v>
      </c>
    </row>
    <row r="117" s="8" customFormat="1" ht="17" customHeight="1" spans="1:414">
      <c r="A117" s="15"/>
      <c r="B117" s="15"/>
      <c r="C117" s="385" t="s">
        <v>546</v>
      </c>
      <c r="D117" s="395">
        <v>8905819</v>
      </c>
      <c r="E117" s="395">
        <v>8882959</v>
      </c>
      <c r="F117" s="459">
        <v>22860</v>
      </c>
      <c r="G117" s="460">
        <v>0.0026</v>
      </c>
      <c r="H117" s="18"/>
      <c r="I117" s="453"/>
      <c r="J117" s="464"/>
      <c r="K117" s="386" t="str">
        <f t="shared" si="212"/>
        <v>2026//1//5</v>
      </c>
      <c r="L117" s="395">
        <v>6596974</v>
      </c>
      <c r="M117" s="395">
        <v>6585364</v>
      </c>
      <c r="N117" s="459">
        <v>11610</v>
      </c>
      <c r="O117" s="460">
        <v>0.0018</v>
      </c>
      <c r="P117" s="18"/>
      <c r="Q117" s="453"/>
      <c r="R117" s="454"/>
      <c r="S117" s="386" t="str">
        <f t="shared" si="213"/>
        <v>2026//1//5</v>
      </c>
      <c r="T117" s="395">
        <v>5658907</v>
      </c>
      <c r="U117" s="395">
        <v>5666467</v>
      </c>
      <c r="V117" s="403">
        <v>-7560</v>
      </c>
      <c r="W117" s="404">
        <v>-0.0013</v>
      </c>
      <c r="X117" s="18"/>
      <c r="Y117" s="453"/>
      <c r="Z117" s="454"/>
      <c r="AA117" s="386" t="str">
        <f t="shared" si="214"/>
        <v>2026//1//5</v>
      </c>
      <c r="AB117" s="395">
        <v>1943177</v>
      </c>
      <c r="AC117" s="395">
        <v>1906457</v>
      </c>
      <c r="AD117" s="459">
        <v>36720</v>
      </c>
      <c r="AE117" s="460">
        <v>0.0193</v>
      </c>
      <c r="AF117" s="18"/>
      <c r="AG117" s="453"/>
      <c r="AH117" s="454"/>
      <c r="AI117" s="386" t="str">
        <f t="shared" si="215"/>
        <v>2026//1//5</v>
      </c>
      <c r="AJ117" s="395">
        <v>2586722</v>
      </c>
      <c r="AK117" s="386">
        <v>2565122</v>
      </c>
      <c r="AL117" s="459">
        <v>21600</v>
      </c>
      <c r="AM117" s="460">
        <v>0.0084</v>
      </c>
      <c r="AN117" s="18"/>
      <c r="AO117" s="18"/>
      <c r="AP117" s="454"/>
      <c r="AQ117" s="386" t="str">
        <f t="shared" si="216"/>
        <v>2026//1//5</v>
      </c>
      <c r="AR117" s="418">
        <v>3149845</v>
      </c>
      <c r="AS117" s="395">
        <v>3150245</v>
      </c>
      <c r="AT117" s="403">
        <v>-400</v>
      </c>
      <c r="AU117" s="404">
        <v>-0.0001</v>
      </c>
      <c r="AV117" s="18"/>
      <c r="AW117" s="18"/>
      <c r="AX117" s="17"/>
      <c r="AY117" s="205">
        <v>4.9208</v>
      </c>
      <c r="AZ117" s="204" t="str">
        <f t="shared" si="217"/>
        <v>2026//1//5</v>
      </c>
      <c r="BA117" s="205">
        <v>4087462</v>
      </c>
      <c r="BB117" s="205">
        <f t="shared" si="279"/>
        <v>4081882</v>
      </c>
      <c r="BC117" s="205">
        <v>5580</v>
      </c>
      <c r="BD117" s="292">
        <v>0.0014</v>
      </c>
      <c r="BE117" s="18"/>
      <c r="BF117" s="18"/>
      <c r="BG117" s="74"/>
      <c r="BH117" s="387" t="str">
        <f t="shared" si="218"/>
        <v>2026//1//5</v>
      </c>
      <c r="BI117" s="387">
        <v>264827</v>
      </c>
      <c r="BJ117" s="387">
        <v>262327</v>
      </c>
      <c r="BK117" s="421">
        <v>2500</v>
      </c>
      <c r="BL117" s="422">
        <v>0.0095</v>
      </c>
      <c r="BM117" s="197"/>
      <c r="BN117" s="192"/>
      <c r="BO117" s="389"/>
      <c r="BP117" s="390" t="str">
        <f t="shared" si="219"/>
        <v>2026//1//5</v>
      </c>
      <c r="BQ117" s="392">
        <v>684862</v>
      </c>
      <c r="BR117" s="390">
        <v>697662</v>
      </c>
      <c r="BS117" s="414">
        <v>-12800</v>
      </c>
      <c r="BT117" s="415">
        <v>-0.0183</v>
      </c>
      <c r="BU117" s="192"/>
      <c r="BV117" s="192"/>
      <c r="BW117" s="389"/>
      <c r="BX117" s="390" t="str">
        <f t="shared" si="220"/>
        <v>2026//1//5</v>
      </c>
      <c r="BY117" s="390">
        <v>2082611</v>
      </c>
      <c r="BZ117" s="390">
        <v>2059961</v>
      </c>
      <c r="CA117" s="416">
        <v>22650</v>
      </c>
      <c r="CB117" s="417">
        <v>0.011</v>
      </c>
      <c r="CC117" s="192"/>
      <c r="CD117" s="409"/>
      <c r="CE117" s="389"/>
      <c r="CF117" s="390" t="str">
        <f t="shared" si="221"/>
        <v>2026//1//5</v>
      </c>
      <c r="CG117" s="390">
        <v>1115304</v>
      </c>
      <c r="CH117" s="12">
        <f t="shared" si="289"/>
        <v>1068754</v>
      </c>
      <c r="CI117" s="12">
        <f t="shared" si="290"/>
        <v>46550</v>
      </c>
      <c r="CJ117" s="199">
        <f t="shared" si="291"/>
        <v>0.0435553925412209</v>
      </c>
      <c r="CK117" s="192"/>
      <c r="CL117" s="391"/>
      <c r="CM117" s="389"/>
      <c r="CN117" s="390" t="str">
        <f t="shared" si="222"/>
        <v>2026//1//5</v>
      </c>
      <c r="CO117" s="390">
        <v>359846</v>
      </c>
      <c r="CP117" s="390">
        <v>348246</v>
      </c>
      <c r="CQ117" s="12">
        <f t="shared" si="293"/>
        <v>11600</v>
      </c>
      <c r="CR117" s="199">
        <f t="shared" si="294"/>
        <v>0.0333097867599341</v>
      </c>
      <c r="CS117" s="391"/>
      <c r="CT117" s="391"/>
      <c r="CU117" s="389"/>
      <c r="CV117" s="390" t="str">
        <f t="shared" si="223"/>
        <v>2026//1//5</v>
      </c>
      <c r="CW117" s="390">
        <v>605440</v>
      </c>
      <c r="CX117" s="390">
        <v>611840</v>
      </c>
      <c r="CY117" s="414">
        <v>-6400</v>
      </c>
      <c r="CZ117" s="415">
        <v>-0.0105</v>
      </c>
      <c r="DA117" s="192"/>
      <c r="DB117" s="192"/>
      <c r="DC117" s="277"/>
      <c r="DD117" s="390" t="str">
        <f t="shared" si="224"/>
        <v>2026//1//5</v>
      </c>
      <c r="DE117" s="390">
        <v>1203918</v>
      </c>
      <c r="DF117" s="12">
        <f t="shared" si="298"/>
        <v>1170518</v>
      </c>
      <c r="DG117" s="416">
        <v>16700</v>
      </c>
      <c r="DH117" s="417">
        <v>0.0285</v>
      </c>
      <c r="DI117" s="192"/>
      <c r="DJ117" s="192"/>
      <c r="DK117" s="389"/>
      <c r="DL117" s="390" t="str">
        <f t="shared" si="225"/>
        <v>2026//1//5</v>
      </c>
      <c r="DM117" s="390">
        <v>1340900</v>
      </c>
      <c r="DN117" s="390">
        <v>1378100</v>
      </c>
      <c r="DO117" s="414">
        <v>-37200</v>
      </c>
      <c r="DP117" s="415">
        <v>-0.027</v>
      </c>
      <c r="DQ117" s="192"/>
      <c r="DR117" s="192"/>
      <c r="DS117" s="389"/>
      <c r="DT117" s="390" t="str">
        <f t="shared" si="226"/>
        <v>2026//1//5</v>
      </c>
      <c r="DU117" s="390">
        <v>1675889</v>
      </c>
      <c r="DV117" s="390">
        <v>1693889</v>
      </c>
      <c r="DW117" s="414">
        <v>-18000</v>
      </c>
      <c r="DX117" s="415">
        <v>-0.0106</v>
      </c>
      <c r="DY117" s="192"/>
      <c r="DZ117" s="192"/>
      <c r="EA117" s="389"/>
      <c r="EB117" s="390" t="str">
        <f t="shared" si="227"/>
        <v>2026//1//5</v>
      </c>
      <c r="EC117" s="390">
        <v>5316567</v>
      </c>
      <c r="ED117" s="390">
        <v>5371017</v>
      </c>
      <c r="EE117" s="414">
        <v>-54450</v>
      </c>
      <c r="EF117" s="415">
        <v>-0.0101</v>
      </c>
      <c r="EG117" s="192"/>
      <c r="EH117" s="192"/>
      <c r="EI117" s="389"/>
      <c r="EJ117" s="390" t="str">
        <f t="shared" si="228"/>
        <v>2026//1//5</v>
      </c>
      <c r="EK117" s="390">
        <v>1411923</v>
      </c>
      <c r="EL117" s="390">
        <v>1423523</v>
      </c>
      <c r="EM117" s="414">
        <v>-11600</v>
      </c>
      <c r="EN117" s="415">
        <v>-0.0081</v>
      </c>
      <c r="EO117" s="192"/>
      <c r="EP117" s="192"/>
      <c r="EQ117" s="340"/>
      <c r="ER117" s="341" t="str">
        <f t="shared" si="229"/>
        <v>2026//1//5</v>
      </c>
      <c r="ES117" s="341">
        <v>455597</v>
      </c>
      <c r="ET117" s="341">
        <v>456797</v>
      </c>
      <c r="EU117" s="341">
        <v>-1200</v>
      </c>
      <c r="EV117" s="350">
        <v>-0.0026</v>
      </c>
      <c r="EW117" s="192"/>
      <c r="EX117" s="192"/>
      <c r="EY117" s="389"/>
      <c r="EZ117" s="390" t="str">
        <f t="shared" si="230"/>
        <v>2026//1//5</v>
      </c>
      <c r="FA117" s="390">
        <v>777408</v>
      </c>
      <c r="FB117" s="390">
        <v>776608</v>
      </c>
      <c r="FC117" s="416">
        <v>800</v>
      </c>
      <c r="FD117" s="417">
        <v>0.001</v>
      </c>
      <c r="FE117" s="192"/>
      <c r="FF117" s="192"/>
      <c r="FH117" s="390" t="str">
        <f t="shared" si="231"/>
        <v>2026//1//5</v>
      </c>
      <c r="FI117" s="392">
        <v>436895</v>
      </c>
      <c r="FJ117" s="390">
        <v>396895</v>
      </c>
      <c r="FK117" s="348">
        <v>40000</v>
      </c>
      <c r="FL117" s="349">
        <v>0.1008</v>
      </c>
      <c r="FM117" s="391"/>
      <c r="FN117" s="391"/>
      <c r="FO117" s="389"/>
      <c r="FP117" s="390" t="str">
        <f t="shared" si="232"/>
        <v>2026//1//5</v>
      </c>
      <c r="FQ117" s="390">
        <v>2578919</v>
      </c>
      <c r="FR117" s="390">
        <v>2598869</v>
      </c>
      <c r="FS117" s="414">
        <v>-19950</v>
      </c>
      <c r="FT117" s="415">
        <v>-0.0077</v>
      </c>
      <c r="FU117" s="192"/>
      <c r="FV117" s="192"/>
      <c r="FW117" s="389"/>
      <c r="FX117" s="390" t="str">
        <f t="shared" si="233"/>
        <v>2026//1//5</v>
      </c>
      <c r="FY117" s="390">
        <v>7422782</v>
      </c>
      <c r="FZ117" s="390">
        <v>7442382</v>
      </c>
      <c r="GA117" s="414">
        <v>-19600</v>
      </c>
      <c r="GB117" s="415">
        <v>-0.0026</v>
      </c>
      <c r="GC117" s="192"/>
      <c r="GD117" s="192"/>
      <c r="GE117" s="389"/>
      <c r="GF117" s="390" t="str">
        <f t="shared" si="234"/>
        <v>2026//1//5</v>
      </c>
      <c r="GG117" s="390">
        <v>4407869</v>
      </c>
      <c r="GH117" s="390">
        <v>4483469</v>
      </c>
      <c r="GI117" s="414">
        <v>-75600</v>
      </c>
      <c r="GJ117" s="415">
        <v>-0.0169</v>
      </c>
      <c r="GK117" s="192"/>
      <c r="GL117" s="192"/>
      <c r="GM117" s="389"/>
      <c r="GN117" s="390" t="str">
        <f t="shared" si="235"/>
        <v>2026//1//5</v>
      </c>
      <c r="GO117" s="390">
        <v>1496818</v>
      </c>
      <c r="GP117" s="390">
        <v>1492378</v>
      </c>
      <c r="GQ117" s="416">
        <v>4440</v>
      </c>
      <c r="GR117" s="417">
        <v>0.003</v>
      </c>
      <c r="GS117" s="192"/>
      <c r="GT117" s="192"/>
      <c r="GU117" s="389"/>
      <c r="GV117" s="390" t="str">
        <f t="shared" si="236"/>
        <v>2026//1//5</v>
      </c>
      <c r="GW117" s="390">
        <v>1173949</v>
      </c>
      <c r="GX117" s="390">
        <v>1169749</v>
      </c>
      <c r="GY117" s="416">
        <v>4200</v>
      </c>
      <c r="GZ117" s="417">
        <v>0.0036</v>
      </c>
      <c r="HA117" s="192"/>
      <c r="HB117" s="192"/>
      <c r="HC117" s="389"/>
      <c r="HD117" s="390" t="str">
        <f t="shared" si="237"/>
        <v>2026//1//5</v>
      </c>
      <c r="HE117" s="390">
        <v>1309765</v>
      </c>
      <c r="HF117" s="390">
        <v>1317465</v>
      </c>
      <c r="HG117" s="414">
        <v>-7700</v>
      </c>
      <c r="HH117" s="415">
        <v>-0.0058</v>
      </c>
      <c r="HI117" s="391"/>
      <c r="HJ117" s="192"/>
      <c r="HK117" s="389"/>
      <c r="HL117" s="390" t="str">
        <f t="shared" si="238"/>
        <v>2026//1//5</v>
      </c>
      <c r="HM117" s="390">
        <v>165154</v>
      </c>
      <c r="HN117" s="390">
        <v>166904</v>
      </c>
      <c r="HO117" s="414">
        <v>-1750</v>
      </c>
      <c r="HP117" s="415">
        <v>-0.0105</v>
      </c>
      <c r="HQ117" s="192"/>
      <c r="HR117" s="192"/>
      <c r="HS117" s="389"/>
      <c r="HT117" s="390" t="str">
        <f t="shared" si="239"/>
        <v>2026//1//5</v>
      </c>
      <c r="HU117" s="390">
        <v>93169</v>
      </c>
      <c r="HV117" s="390">
        <v>93869</v>
      </c>
      <c r="HW117" s="414">
        <v>-700</v>
      </c>
      <c r="HX117" s="415">
        <v>-0.0075</v>
      </c>
      <c r="HY117" s="192"/>
      <c r="HZ117" s="192"/>
      <c r="IA117" s="389"/>
      <c r="IB117" s="390" t="str">
        <f t="shared" si="240"/>
        <v>2026//1//5</v>
      </c>
      <c r="IC117" s="200">
        <v>314209.79</v>
      </c>
      <c r="ID117" s="200">
        <v>312534.79</v>
      </c>
      <c r="IE117" s="348">
        <f t="shared" si="347"/>
        <v>1675</v>
      </c>
      <c r="IF117" s="349">
        <f t="shared" si="348"/>
        <v>0.00535940334834404</v>
      </c>
      <c r="IG117" s="391"/>
      <c r="IH117" s="192"/>
      <c r="II117" s="389"/>
      <c r="IJ117" s="390" t="str">
        <f t="shared" si="241"/>
        <v>2026//1//5</v>
      </c>
      <c r="IK117" s="390">
        <v>370716</v>
      </c>
      <c r="IL117" s="390">
        <v>368956</v>
      </c>
      <c r="IM117" s="416">
        <v>1760</v>
      </c>
      <c r="IN117" s="417">
        <v>0.0048</v>
      </c>
      <c r="IO117" s="192"/>
      <c r="IP117" s="192"/>
      <c r="IQ117" s="389"/>
      <c r="IR117" s="390" t="str">
        <f t="shared" si="242"/>
        <v>2026//1//5</v>
      </c>
      <c r="IS117" s="390">
        <v>102989</v>
      </c>
      <c r="IT117" s="390">
        <v>103289</v>
      </c>
      <c r="IU117" s="414">
        <v>-300</v>
      </c>
      <c r="IV117" s="415">
        <v>-0.0029</v>
      </c>
      <c r="IW117" s="192"/>
      <c r="IX117" s="192"/>
      <c r="IY117" s="389"/>
      <c r="IZ117" s="390" t="str">
        <f t="shared" si="243"/>
        <v>2026//1//5</v>
      </c>
      <c r="JA117" s="390">
        <v>4703729</v>
      </c>
      <c r="JB117" s="390">
        <v>4703529</v>
      </c>
      <c r="JC117" s="416">
        <v>200</v>
      </c>
      <c r="JD117" s="409">
        <v>0</v>
      </c>
      <c r="JE117" s="192"/>
      <c r="JF117" s="192"/>
      <c r="JG117" s="389"/>
      <c r="JH117" s="390" t="str">
        <f t="shared" si="244"/>
        <v>2026//1//5</v>
      </c>
      <c r="JI117" s="390">
        <v>1546108</v>
      </c>
      <c r="JJ117" s="390">
        <v>1552768</v>
      </c>
      <c r="JK117" s="414">
        <v>-6660</v>
      </c>
      <c r="JL117" s="415">
        <v>-0.0043</v>
      </c>
      <c r="JM117" s="192"/>
      <c r="JN117" s="192"/>
      <c r="JP117" s="390" t="str">
        <f t="shared" si="245"/>
        <v>2026//1//5</v>
      </c>
      <c r="JQ117" s="390">
        <v>1204990</v>
      </c>
      <c r="JR117" s="390">
        <v>1191890</v>
      </c>
      <c r="JS117" s="416">
        <v>13100</v>
      </c>
      <c r="JT117" s="417">
        <v>0.011</v>
      </c>
      <c r="JU117" s="192"/>
      <c r="JV117" s="409"/>
      <c r="JX117" s="390" t="str">
        <f t="shared" si="246"/>
        <v>2026//1//5</v>
      </c>
      <c r="JY117" s="390">
        <v>1449449</v>
      </c>
      <c r="JZ117" s="390">
        <v>1481849</v>
      </c>
      <c r="KA117" s="414">
        <v>-32400</v>
      </c>
      <c r="KB117" s="415">
        <v>-0.0219</v>
      </c>
      <c r="KC117" s="192"/>
      <c r="KD117" s="409"/>
      <c r="KF117" s="390" t="str">
        <f t="shared" si="247"/>
        <v>2026//1//5</v>
      </c>
      <c r="KG117" s="390">
        <v>867956</v>
      </c>
      <c r="KH117" s="390">
        <v>879356</v>
      </c>
      <c r="KI117" s="414">
        <v>-11400</v>
      </c>
      <c r="KJ117" s="415">
        <v>-0.013</v>
      </c>
      <c r="KK117" s="391"/>
      <c r="KL117" s="391"/>
      <c r="KM117" s="389"/>
      <c r="KN117" s="390" t="str">
        <f t="shared" si="248"/>
        <v>2026//1//5</v>
      </c>
      <c r="KO117" s="390">
        <v>6611176</v>
      </c>
      <c r="KP117" s="390">
        <v>6660776</v>
      </c>
      <c r="KQ117" s="414">
        <v>-49600</v>
      </c>
      <c r="KR117" s="415">
        <v>-0.0074</v>
      </c>
      <c r="KS117" s="192"/>
      <c r="KT117" s="192"/>
      <c r="KU117" s="389"/>
      <c r="KV117" s="390" t="str">
        <f t="shared" si="249"/>
        <v>2026//1//5</v>
      </c>
      <c r="KW117" s="390">
        <v>1047873</v>
      </c>
      <c r="KX117" s="390">
        <v>1049173</v>
      </c>
      <c r="KY117" s="346">
        <v>-1300</v>
      </c>
      <c r="KZ117" s="347">
        <v>-0.0012</v>
      </c>
      <c r="LA117" s="391"/>
      <c r="LB117" s="192"/>
      <c r="LC117" s="389"/>
      <c r="LD117" s="390" t="str">
        <f t="shared" si="250"/>
        <v>2026//1//5</v>
      </c>
      <c r="LE117" s="390">
        <v>421908</v>
      </c>
      <c r="LF117" s="390">
        <v>425858</v>
      </c>
      <c r="LG117" s="414">
        <v>-3950</v>
      </c>
      <c r="LH117" s="415">
        <v>-0.0093</v>
      </c>
      <c r="LI117" s="192"/>
      <c r="LJ117" s="192"/>
      <c r="LK117" s="389"/>
      <c r="LL117" s="390" t="str">
        <f t="shared" si="251"/>
        <v>2026//1//5</v>
      </c>
      <c r="LM117" s="392">
        <v>3400855</v>
      </c>
      <c r="LN117" s="390">
        <v>3521815</v>
      </c>
      <c r="LO117" s="414">
        <v>-120960</v>
      </c>
      <c r="LP117" s="415">
        <v>-0.0343</v>
      </c>
      <c r="LQ117" s="192"/>
      <c r="LR117" s="192"/>
      <c r="LS117" s="389"/>
      <c r="LT117" s="390" t="str">
        <f t="shared" si="252"/>
        <v>2026//1//5</v>
      </c>
      <c r="LU117" s="390">
        <v>2586863</v>
      </c>
      <c r="LV117" s="390">
        <v>2637263</v>
      </c>
      <c r="LW117" s="414">
        <v>-50400</v>
      </c>
      <c r="LX117" s="415">
        <v>-0.0191</v>
      </c>
      <c r="LY117" s="192"/>
      <c r="LZ117" s="192"/>
      <c r="MA117" s="389"/>
      <c r="MB117" s="390" t="str">
        <f t="shared" si="253"/>
        <v>2026//1//5</v>
      </c>
      <c r="MC117" s="390">
        <v>838568</v>
      </c>
      <c r="MD117" s="390">
        <v>840918</v>
      </c>
      <c r="ME117" s="414">
        <v>-2350</v>
      </c>
      <c r="MF117" s="415">
        <v>-0.0028</v>
      </c>
      <c r="MG117" s="192"/>
      <c r="MH117" s="192"/>
      <c r="MI117" s="342"/>
      <c r="MJ117" s="341">
        <v>1.0326</v>
      </c>
      <c r="MK117" s="341" t="str">
        <f t="shared" si="254"/>
        <v>2026//1//5</v>
      </c>
      <c r="ML117" s="341">
        <v>242506</v>
      </c>
      <c r="MM117" s="12">
        <f t="shared" si="388"/>
        <v>236506</v>
      </c>
      <c r="MN117" s="341">
        <v>6000</v>
      </c>
      <c r="MO117" s="350">
        <v>0.0254</v>
      </c>
      <c r="MP117" s="192"/>
      <c r="MQ117" s="394"/>
      <c r="MR117" s="394"/>
      <c r="MS117" s="204">
        <v>1.2248</v>
      </c>
      <c r="MT117" s="295" t="str">
        <f t="shared" si="255"/>
        <v>2026//1//5</v>
      </c>
      <c r="MU117" s="204">
        <v>21315</v>
      </c>
      <c r="MV117" s="204">
        <f t="shared" si="391"/>
        <v>20715</v>
      </c>
      <c r="MW117" s="204">
        <v>600</v>
      </c>
      <c r="MX117" s="296">
        <v>0.029</v>
      </c>
      <c r="MY117" s="192"/>
      <c r="MZ117" s="192"/>
      <c r="NA117" s="192"/>
      <c r="NB117" s="204">
        <v>1.261</v>
      </c>
      <c r="NC117" s="204" t="str">
        <f t="shared" si="256"/>
        <v>2026//1//5</v>
      </c>
      <c r="ND117" s="204">
        <v>25891</v>
      </c>
      <c r="NE117" s="204">
        <f t="shared" si="392"/>
        <v>25891</v>
      </c>
      <c r="NF117" s="204">
        <v>0</v>
      </c>
      <c r="NG117" s="296">
        <v>0</v>
      </c>
      <c r="NH117" s="192"/>
      <c r="NI117" s="192"/>
      <c r="NJ117" s="192"/>
      <c r="NK117" s="192"/>
      <c r="NL117" s="205">
        <v>1.1736</v>
      </c>
      <c r="NM117" s="204" t="str">
        <f t="shared" si="257"/>
        <v>2026//1//5</v>
      </c>
      <c r="NN117" s="205">
        <v>2296111</v>
      </c>
      <c r="NO117" s="8">
        <f t="shared" si="393"/>
        <v>2278011</v>
      </c>
      <c r="NP117" s="205">
        <v>18100</v>
      </c>
      <c r="NQ117" s="292">
        <v>0.0079</v>
      </c>
      <c r="NR117" s="293"/>
      <c r="NS117" s="205">
        <v>1.064</v>
      </c>
      <c r="NT117" s="294"/>
      <c r="NU117" s="204" t="str">
        <f t="shared" si="258"/>
        <v>2026//1//5</v>
      </c>
      <c r="NV117" s="205">
        <v>235426</v>
      </c>
      <c r="NW117" s="205">
        <f t="shared" si="394"/>
        <v>234776</v>
      </c>
      <c r="NX117" s="205">
        <v>650</v>
      </c>
      <c r="NY117" s="292">
        <v>0.0028</v>
      </c>
      <c r="NZ117" s="391"/>
      <c r="OA117" s="389"/>
      <c r="OB117" s="389"/>
      <c r="OC117" s="390" t="str">
        <f t="shared" si="259"/>
        <v>2026//1//5</v>
      </c>
      <c r="OD117" s="390">
        <v>13606</v>
      </c>
      <c r="OE117" s="390">
        <v>13648</v>
      </c>
      <c r="OF117" s="414">
        <v>-42</v>
      </c>
      <c r="OG117" s="415">
        <v>-0.0031</v>
      </c>
      <c r="OH117" s="192"/>
      <c r="OI117" s="192"/>
      <c r="OJ117" s="389"/>
      <c r="OK117" s="390" t="str">
        <f t="shared" si="260"/>
        <v>2026//1//5</v>
      </c>
      <c r="OL117" s="200">
        <v>12017.65</v>
      </c>
      <c r="OM117" s="8">
        <f t="shared" si="404"/>
        <v>12198.65</v>
      </c>
      <c r="ON117" s="346">
        <f t="shared" si="405"/>
        <v>-181</v>
      </c>
      <c r="OO117" s="347">
        <f t="shared" si="406"/>
        <v>-0.0148377074512344</v>
      </c>
      <c r="OP117" s="192"/>
      <c r="OQ117" s="192"/>
      <c r="OT117" s="234" t="str">
        <f t="shared" si="211"/>
        <v>2026//1//5</v>
      </c>
      <c r="OU117" s="206">
        <v>137112.4066</v>
      </c>
      <c r="OV117" s="8">
        <f t="shared" si="401"/>
        <v>136992.4066</v>
      </c>
      <c r="OW117" s="191">
        <f t="shared" si="402"/>
        <v>120</v>
      </c>
      <c r="OX117" s="192">
        <f t="shared" si="403"/>
        <v>0.000875960960014261</v>
      </c>
    </row>
    <row r="118" s="14" customFormat="1" ht="17" customHeight="1" spans="1:414">
      <c r="A118" s="465"/>
      <c r="B118" s="465"/>
      <c r="C118" s="466" t="s">
        <v>547</v>
      </c>
      <c r="D118" s="467">
        <v>8882959</v>
      </c>
      <c r="E118" s="467">
        <v>8902849</v>
      </c>
      <c r="F118" s="468">
        <v>-19890</v>
      </c>
      <c r="G118" s="469">
        <v>-0.0022</v>
      </c>
      <c r="H118" s="470">
        <f>(D118-D141)/D141</f>
        <v>-0.0143504053187819</v>
      </c>
      <c r="I118" s="471"/>
      <c r="J118" s="470"/>
      <c r="K118" s="472" t="str">
        <f t="shared" si="212"/>
        <v>2025//12//31</v>
      </c>
      <c r="L118" s="467">
        <v>6585364</v>
      </c>
      <c r="M118" s="467">
        <v>6600214</v>
      </c>
      <c r="N118" s="468">
        <v>-14850</v>
      </c>
      <c r="O118" s="469">
        <v>-0.0022</v>
      </c>
      <c r="P118" s="470">
        <f>(L118-L141)/L141</f>
        <v>-0.00751444111005145</v>
      </c>
      <c r="Q118" s="473"/>
      <c r="R118" s="474"/>
      <c r="S118" s="472" t="str">
        <f t="shared" si="213"/>
        <v>2025//12//31</v>
      </c>
      <c r="T118" s="467">
        <v>5666467</v>
      </c>
      <c r="U118" s="467">
        <v>5725147</v>
      </c>
      <c r="V118" s="468">
        <v>-58680</v>
      </c>
      <c r="W118" s="469">
        <v>-0.0102</v>
      </c>
      <c r="X118" s="470">
        <f>(T118-T141)/T141</f>
        <v>-0.0221929751753083</v>
      </c>
      <c r="Y118" s="473"/>
      <c r="Z118" s="474"/>
      <c r="AA118" s="472" t="str">
        <f t="shared" si="214"/>
        <v>2025//12//31</v>
      </c>
      <c r="AB118" s="467">
        <v>1906457</v>
      </c>
      <c r="AC118" s="467">
        <v>1909977</v>
      </c>
      <c r="AD118" s="468">
        <v>-3520</v>
      </c>
      <c r="AE118" s="469">
        <v>-0.0018</v>
      </c>
      <c r="AF118" s="470">
        <f>(AB118-AB141)/AB141</f>
        <v>0.0358156342415284</v>
      </c>
      <c r="AG118" s="473"/>
      <c r="AH118" s="474"/>
      <c r="AI118" s="472" t="str">
        <f t="shared" si="215"/>
        <v>2025//12//31</v>
      </c>
      <c r="AJ118" s="467">
        <v>2565122</v>
      </c>
      <c r="AK118" s="472">
        <v>2583522</v>
      </c>
      <c r="AL118" s="468">
        <v>-18400</v>
      </c>
      <c r="AM118" s="469">
        <v>-0.0071</v>
      </c>
      <c r="AN118" s="470">
        <f>(AJ118-AJ141)/AJ141</f>
        <v>0.0311128011892004</v>
      </c>
      <c r="AO118" s="470"/>
      <c r="AP118" s="474"/>
      <c r="AQ118" s="472" t="str">
        <f t="shared" si="216"/>
        <v>2025//12//31</v>
      </c>
      <c r="AR118" s="475">
        <v>3150245</v>
      </c>
      <c r="AS118" s="467">
        <v>3146145</v>
      </c>
      <c r="AT118" s="476">
        <v>4100</v>
      </c>
      <c r="AU118" s="477">
        <v>0.0013</v>
      </c>
      <c r="AV118" s="470">
        <f>(AR118-AR141)/AR141</f>
        <v>-0.0190873862891537</v>
      </c>
      <c r="AW118" s="470"/>
      <c r="AX118" s="478"/>
      <c r="AY118" s="205">
        <v>4.8292</v>
      </c>
      <c r="AZ118" s="204" t="str">
        <f t="shared" si="217"/>
        <v>2025//12//31</v>
      </c>
      <c r="BA118" s="205">
        <v>4081882</v>
      </c>
      <c r="BB118" s="205">
        <f t="shared" si="279"/>
        <v>4076932</v>
      </c>
      <c r="BC118" s="205">
        <v>4950</v>
      </c>
      <c r="BD118" s="292">
        <v>0.0012</v>
      </c>
      <c r="BE118" s="470" t="e">
        <f>(BA118-BA141)/BA141</f>
        <v>#DIV/0!</v>
      </c>
      <c r="BF118" s="470"/>
      <c r="BG118" s="479"/>
      <c r="BH118" s="480" t="str">
        <f t="shared" si="218"/>
        <v>2025//12//31</v>
      </c>
      <c r="BI118" s="480">
        <v>262327</v>
      </c>
      <c r="BJ118" s="480">
        <v>267127</v>
      </c>
      <c r="BK118" s="481">
        <v>-4800</v>
      </c>
      <c r="BL118" s="482">
        <v>-0.018</v>
      </c>
      <c r="BM118" s="483"/>
      <c r="BN118" s="484"/>
      <c r="BO118" s="485"/>
      <c r="BP118" s="486" t="str">
        <f t="shared" si="219"/>
        <v>2025//12//31</v>
      </c>
      <c r="BQ118" s="487">
        <v>697662</v>
      </c>
      <c r="BR118" s="486">
        <v>702762</v>
      </c>
      <c r="BS118" s="488">
        <v>-5100</v>
      </c>
      <c r="BT118" s="489">
        <v>-0.0073</v>
      </c>
      <c r="BU118" s="484"/>
      <c r="BV118" s="484"/>
      <c r="BW118" s="485"/>
      <c r="BX118" s="486" t="str">
        <f t="shared" si="220"/>
        <v>2025//12//31</v>
      </c>
      <c r="BY118" s="486">
        <v>2059961</v>
      </c>
      <c r="BZ118" s="486">
        <v>2058061</v>
      </c>
      <c r="CA118" s="490">
        <v>1900</v>
      </c>
      <c r="CB118" s="491">
        <v>0.0009</v>
      </c>
      <c r="CC118" s="484"/>
      <c r="CD118" s="492"/>
      <c r="CE118" s="485"/>
      <c r="CF118" s="486" t="str">
        <f t="shared" si="221"/>
        <v>2025//12//31</v>
      </c>
      <c r="CG118" s="486">
        <v>1068754</v>
      </c>
      <c r="CH118" s="493">
        <f t="shared" si="289"/>
        <v>1074004</v>
      </c>
      <c r="CI118" s="493">
        <f t="shared" si="290"/>
        <v>-5250</v>
      </c>
      <c r="CJ118" s="494">
        <f t="shared" si="291"/>
        <v>-0.00488824995065195</v>
      </c>
      <c r="CK118" s="484"/>
      <c r="CL118" s="492"/>
      <c r="CM118" s="485"/>
      <c r="CN118" s="486" t="str">
        <f t="shared" si="222"/>
        <v>2025//12//31</v>
      </c>
      <c r="CO118" s="486">
        <v>348246</v>
      </c>
      <c r="CP118" s="486">
        <v>331046</v>
      </c>
      <c r="CQ118" s="493">
        <f t="shared" si="293"/>
        <v>17200</v>
      </c>
      <c r="CR118" s="494">
        <f t="shared" si="294"/>
        <v>0.0519565256792107</v>
      </c>
      <c r="CS118" s="492"/>
      <c r="CT118" s="492"/>
      <c r="CU118" s="485"/>
      <c r="CV118" s="486" t="str">
        <f t="shared" si="223"/>
        <v>2025//12//31</v>
      </c>
      <c r="CW118" s="486">
        <v>611840</v>
      </c>
      <c r="CX118" s="486">
        <v>611840</v>
      </c>
      <c r="CY118" s="486">
        <v>0</v>
      </c>
      <c r="CZ118" s="492">
        <v>0</v>
      </c>
      <c r="DA118" s="484"/>
      <c r="DB118" s="484"/>
      <c r="DC118" s="277"/>
      <c r="DD118" s="486" t="str">
        <f t="shared" si="224"/>
        <v>2025//12//31</v>
      </c>
      <c r="DE118" s="486">
        <v>1170518</v>
      </c>
      <c r="DF118" s="12">
        <f t="shared" si="298"/>
        <v>1141918</v>
      </c>
      <c r="DG118" s="490">
        <v>14300</v>
      </c>
      <c r="DH118" s="491">
        <v>0.025</v>
      </c>
      <c r="DI118" s="484"/>
      <c r="DJ118" s="484"/>
      <c r="DK118" s="485"/>
      <c r="DL118" s="486" t="str">
        <f t="shared" si="225"/>
        <v>2025//12//31</v>
      </c>
      <c r="DM118" s="486">
        <v>1378100</v>
      </c>
      <c r="DN118" s="486">
        <v>1373100</v>
      </c>
      <c r="DO118" s="490">
        <v>5000</v>
      </c>
      <c r="DP118" s="491">
        <v>0.0036</v>
      </c>
      <c r="DQ118" s="484"/>
      <c r="DR118" s="484"/>
      <c r="DS118" s="485"/>
      <c r="DT118" s="486" t="str">
        <f t="shared" si="226"/>
        <v>2025//12//31</v>
      </c>
      <c r="DU118" s="486">
        <v>1693889</v>
      </c>
      <c r="DV118" s="486">
        <v>1670189</v>
      </c>
      <c r="DW118" s="490">
        <v>23700</v>
      </c>
      <c r="DX118" s="491">
        <v>0.0142</v>
      </c>
      <c r="DY118" s="484"/>
      <c r="DZ118" s="484"/>
      <c r="EA118" s="485"/>
      <c r="EB118" s="486" t="str">
        <f t="shared" si="227"/>
        <v>2025//12//31</v>
      </c>
      <c r="EC118" s="486">
        <v>5371017</v>
      </c>
      <c r="ED118" s="486">
        <v>5308917</v>
      </c>
      <c r="EE118" s="490">
        <v>62100</v>
      </c>
      <c r="EF118" s="491">
        <v>0.0117</v>
      </c>
      <c r="EG118" s="484"/>
      <c r="EH118" s="484"/>
      <c r="EI118" s="485"/>
      <c r="EJ118" s="486" t="str">
        <f t="shared" si="228"/>
        <v>2025//12//31</v>
      </c>
      <c r="EK118" s="486">
        <v>1423523</v>
      </c>
      <c r="EL118" s="486">
        <v>1418523</v>
      </c>
      <c r="EM118" s="490">
        <v>5000</v>
      </c>
      <c r="EN118" s="491">
        <v>0.0035</v>
      </c>
      <c r="EO118" s="484"/>
      <c r="EP118" s="484"/>
      <c r="EQ118" s="495"/>
      <c r="ER118" s="496" t="str">
        <f t="shared" si="229"/>
        <v>2025//12//31</v>
      </c>
      <c r="ES118" s="496">
        <v>456797</v>
      </c>
      <c r="ET118" s="496">
        <v>458147</v>
      </c>
      <c r="EU118" s="496">
        <v>-1350</v>
      </c>
      <c r="EV118" s="497">
        <v>-0.0029</v>
      </c>
      <c r="EW118" s="484"/>
      <c r="EX118" s="484"/>
      <c r="EY118" s="485"/>
      <c r="EZ118" s="486" t="str">
        <f t="shared" si="230"/>
        <v>2025//12//31</v>
      </c>
      <c r="FA118" s="486">
        <v>776608</v>
      </c>
      <c r="FB118" s="486">
        <v>797508</v>
      </c>
      <c r="FC118" s="488">
        <v>-20900</v>
      </c>
      <c r="FD118" s="489">
        <v>-0.0262</v>
      </c>
      <c r="FE118" s="484"/>
      <c r="FF118" s="484"/>
      <c r="FH118" s="486" t="str">
        <f t="shared" si="231"/>
        <v>2025//12//31</v>
      </c>
      <c r="FI118" s="487">
        <v>396895</v>
      </c>
      <c r="FJ118" s="486">
        <v>360695</v>
      </c>
      <c r="FK118" s="490">
        <v>36200</v>
      </c>
      <c r="FL118" s="491">
        <v>0.1004</v>
      </c>
      <c r="FM118" s="491"/>
      <c r="FN118" s="492"/>
      <c r="FO118" s="485"/>
      <c r="FP118" s="486" t="str">
        <f t="shared" si="232"/>
        <v>2025//12//31</v>
      </c>
      <c r="FQ118" s="486">
        <v>2598869</v>
      </c>
      <c r="FR118" s="486">
        <v>2576969</v>
      </c>
      <c r="FS118" s="490">
        <v>21900</v>
      </c>
      <c r="FT118" s="491">
        <v>0.0085</v>
      </c>
      <c r="FU118" s="484"/>
      <c r="FV118" s="484"/>
      <c r="FW118" s="485"/>
      <c r="FX118" s="486" t="str">
        <f t="shared" si="233"/>
        <v>2025//12//31</v>
      </c>
      <c r="FY118" s="486">
        <v>7442382</v>
      </c>
      <c r="FZ118" s="486">
        <v>7421682</v>
      </c>
      <c r="GA118" s="490">
        <v>20700</v>
      </c>
      <c r="GB118" s="491">
        <v>0.0028</v>
      </c>
      <c r="GC118" s="484"/>
      <c r="GD118" s="484"/>
      <c r="GE118" s="485"/>
      <c r="GF118" s="486" t="str">
        <f t="shared" si="234"/>
        <v>2025//12//31</v>
      </c>
      <c r="GG118" s="486">
        <v>4483469</v>
      </c>
      <c r="GH118" s="486">
        <v>4461769</v>
      </c>
      <c r="GI118" s="490">
        <v>21700</v>
      </c>
      <c r="GJ118" s="491">
        <v>0.0049</v>
      </c>
      <c r="GK118" s="484"/>
      <c r="GL118" s="484"/>
      <c r="GM118" s="485"/>
      <c r="GN118" s="486" t="str">
        <f t="shared" si="235"/>
        <v>2025//12//31</v>
      </c>
      <c r="GO118" s="486">
        <v>1492378</v>
      </c>
      <c r="GP118" s="486">
        <v>1505458</v>
      </c>
      <c r="GQ118" s="488">
        <v>-13080</v>
      </c>
      <c r="GR118" s="489">
        <v>-0.0087</v>
      </c>
      <c r="GS118" s="484"/>
      <c r="GT118" s="484"/>
      <c r="GU118" s="485"/>
      <c r="GV118" s="486" t="str">
        <f t="shared" si="236"/>
        <v>2025//12//31</v>
      </c>
      <c r="GW118" s="486">
        <v>1169749</v>
      </c>
      <c r="GX118" s="486">
        <v>1176349</v>
      </c>
      <c r="GY118" s="488">
        <v>-6600</v>
      </c>
      <c r="GZ118" s="489">
        <v>-0.0056</v>
      </c>
      <c r="HA118" s="484"/>
      <c r="HB118" s="484"/>
      <c r="HC118" s="485"/>
      <c r="HD118" s="486" t="str">
        <f t="shared" si="237"/>
        <v>2025//12//31</v>
      </c>
      <c r="HE118" s="486">
        <v>1317465</v>
      </c>
      <c r="HF118" s="486">
        <v>1323765</v>
      </c>
      <c r="HG118" s="488">
        <v>-6300</v>
      </c>
      <c r="HH118" s="489">
        <v>-0.0048</v>
      </c>
      <c r="HI118" s="492"/>
      <c r="HJ118" s="484"/>
      <c r="HK118" s="485"/>
      <c r="HL118" s="486" t="str">
        <f t="shared" si="238"/>
        <v>2025//12//31</v>
      </c>
      <c r="HM118" s="486">
        <v>166904</v>
      </c>
      <c r="HN118" s="486">
        <v>166504</v>
      </c>
      <c r="HO118" s="490">
        <v>400</v>
      </c>
      <c r="HP118" s="491">
        <v>0.0024</v>
      </c>
      <c r="HQ118" s="484"/>
      <c r="HR118" s="484"/>
      <c r="HS118" s="485"/>
      <c r="HT118" s="486" t="str">
        <f t="shared" si="239"/>
        <v>2025//12//31</v>
      </c>
      <c r="HU118" s="486">
        <v>93869</v>
      </c>
      <c r="HV118" s="486">
        <v>97269</v>
      </c>
      <c r="HW118" s="488">
        <v>-3400</v>
      </c>
      <c r="HX118" s="489">
        <v>-0.035</v>
      </c>
      <c r="HY118" s="484"/>
      <c r="HZ118" s="484"/>
      <c r="IA118" s="485"/>
      <c r="IB118" s="486" t="str">
        <f t="shared" si="240"/>
        <v>2025//12//31</v>
      </c>
      <c r="IC118" s="498">
        <v>312534.79</v>
      </c>
      <c r="ID118" s="498">
        <v>318134.79</v>
      </c>
      <c r="IE118" s="499">
        <f t="shared" si="347"/>
        <v>-5600</v>
      </c>
      <c r="IF118" s="500">
        <f t="shared" si="348"/>
        <v>-0.0176026017148266</v>
      </c>
      <c r="IG118" s="500"/>
      <c r="IH118" s="484"/>
      <c r="II118" s="485"/>
      <c r="IJ118" s="486" t="str">
        <f t="shared" si="241"/>
        <v>2025//12//31</v>
      </c>
      <c r="IK118" s="486">
        <v>368956</v>
      </c>
      <c r="IL118" s="486">
        <v>367916</v>
      </c>
      <c r="IM118" s="490">
        <v>1040</v>
      </c>
      <c r="IN118" s="491">
        <v>0.0028</v>
      </c>
      <c r="IO118" s="484"/>
      <c r="IP118" s="484"/>
      <c r="IQ118" s="485"/>
      <c r="IR118" s="486" t="str">
        <f t="shared" si="242"/>
        <v>2025//12//31</v>
      </c>
      <c r="IS118" s="486">
        <v>103289</v>
      </c>
      <c r="IT118" s="486">
        <v>103289</v>
      </c>
      <c r="IU118" s="486">
        <v>0</v>
      </c>
      <c r="IV118" s="492">
        <v>0</v>
      </c>
      <c r="IW118" s="484"/>
      <c r="IX118" s="484"/>
      <c r="IY118" s="485"/>
      <c r="IZ118" s="486" t="str">
        <f t="shared" si="243"/>
        <v>2025//12//31</v>
      </c>
      <c r="JA118" s="486">
        <v>4703529</v>
      </c>
      <c r="JB118" s="486">
        <v>4717729</v>
      </c>
      <c r="JC118" s="488">
        <v>-14200</v>
      </c>
      <c r="JD118" s="489">
        <v>-0.003</v>
      </c>
      <c r="JE118" s="484"/>
      <c r="JF118" s="484"/>
      <c r="JG118" s="485"/>
      <c r="JH118" s="486" t="str">
        <f t="shared" si="244"/>
        <v>2025//12//31</v>
      </c>
      <c r="JI118" s="486">
        <v>1552768</v>
      </c>
      <c r="JJ118" s="486">
        <v>1559308</v>
      </c>
      <c r="JK118" s="488">
        <v>-6540</v>
      </c>
      <c r="JL118" s="489">
        <v>-0.0042</v>
      </c>
      <c r="JM118" s="484"/>
      <c r="JN118" s="484"/>
      <c r="JP118" s="486" t="str">
        <f t="shared" si="245"/>
        <v>2025//12//31</v>
      </c>
      <c r="JQ118" s="486">
        <v>1191890</v>
      </c>
      <c r="JR118" s="486">
        <v>1190890</v>
      </c>
      <c r="JS118" s="490">
        <v>1000</v>
      </c>
      <c r="JT118" s="491">
        <v>0.0008</v>
      </c>
      <c r="JU118" s="484"/>
      <c r="JV118" s="492"/>
      <c r="JX118" s="486" t="str">
        <f t="shared" si="246"/>
        <v>2025//12//31</v>
      </c>
      <c r="JY118" s="486">
        <v>1481849</v>
      </c>
      <c r="JZ118" s="486">
        <v>1481849</v>
      </c>
      <c r="KA118" s="486">
        <v>0</v>
      </c>
      <c r="KB118" s="492">
        <v>0</v>
      </c>
      <c r="KC118" s="484"/>
      <c r="KD118" s="492"/>
      <c r="KF118" s="486" t="str">
        <f t="shared" si="247"/>
        <v>2025//12//31</v>
      </c>
      <c r="KG118" s="486">
        <v>879356</v>
      </c>
      <c r="KH118" s="486">
        <v>879356</v>
      </c>
      <c r="KI118" s="486">
        <v>0</v>
      </c>
      <c r="KJ118" s="492">
        <v>0</v>
      </c>
      <c r="KK118" s="492"/>
      <c r="KL118" s="492">
        <f>(KG118-KG141)/KG141</f>
        <v>-0.0280738674294506</v>
      </c>
      <c r="KM118" s="485"/>
      <c r="KN118" s="486" t="str">
        <f t="shared" si="248"/>
        <v>2025//12//31</v>
      </c>
      <c r="KO118" s="486">
        <v>6660776</v>
      </c>
      <c r="KP118" s="486">
        <v>6660776</v>
      </c>
      <c r="KQ118" s="486">
        <v>0</v>
      </c>
      <c r="KR118" s="492">
        <v>0</v>
      </c>
      <c r="KS118" s="484"/>
      <c r="KT118" s="484"/>
      <c r="KU118" s="485"/>
      <c r="KV118" s="486" t="str">
        <f t="shared" si="249"/>
        <v>2025//12//31</v>
      </c>
      <c r="KW118" s="486">
        <v>1049173</v>
      </c>
      <c r="KX118" s="486">
        <v>1049173</v>
      </c>
      <c r="KY118" s="486">
        <v>0</v>
      </c>
      <c r="KZ118" s="492">
        <v>0</v>
      </c>
      <c r="LA118" s="492"/>
      <c r="LB118" s="484"/>
      <c r="LC118" s="485"/>
      <c r="LD118" s="486" t="str">
        <f t="shared" si="250"/>
        <v>2025//12//31</v>
      </c>
      <c r="LE118" s="486">
        <v>425858</v>
      </c>
      <c r="LF118" s="486">
        <v>430058</v>
      </c>
      <c r="LG118" s="488">
        <v>-4200</v>
      </c>
      <c r="LH118" s="489">
        <v>-0.0098</v>
      </c>
      <c r="LI118" s="484"/>
      <c r="LJ118" s="484"/>
      <c r="LK118" s="485"/>
      <c r="LL118" s="486" t="str">
        <f t="shared" si="251"/>
        <v>2025//12//31</v>
      </c>
      <c r="LM118" s="487">
        <v>3521815</v>
      </c>
      <c r="LN118" s="486">
        <v>3514795</v>
      </c>
      <c r="LO118" s="490">
        <v>7020</v>
      </c>
      <c r="LP118" s="491">
        <v>0.002</v>
      </c>
      <c r="LQ118" s="484"/>
      <c r="LR118" s="484">
        <f>(LM118-LM141)/LM141</f>
        <v>-0.0669094454549188</v>
      </c>
      <c r="LS118" s="485"/>
      <c r="LT118" s="486" t="str">
        <f t="shared" si="252"/>
        <v>2025//12//31</v>
      </c>
      <c r="LU118" s="486">
        <v>2637263</v>
      </c>
      <c r="LV118" s="486">
        <v>2642063</v>
      </c>
      <c r="LW118" s="488">
        <v>-4800</v>
      </c>
      <c r="LX118" s="489">
        <v>-0.0018</v>
      </c>
      <c r="LY118" s="484"/>
      <c r="LZ118" s="484">
        <f>(LU118-LU141)/LU141</f>
        <v>0.0205877333486064</v>
      </c>
      <c r="MA118" s="485"/>
      <c r="MB118" s="486" t="str">
        <f t="shared" si="253"/>
        <v>2025//12//31</v>
      </c>
      <c r="MC118" s="486">
        <v>840918</v>
      </c>
      <c r="MD118" s="486">
        <v>840068</v>
      </c>
      <c r="ME118" s="490">
        <v>850</v>
      </c>
      <c r="MF118" s="491">
        <v>0.001</v>
      </c>
      <c r="MG118" s="484"/>
      <c r="MH118" s="484"/>
      <c r="MI118" s="501"/>
      <c r="MJ118" s="496">
        <v>0.9983</v>
      </c>
      <c r="MK118" s="496" t="str">
        <f t="shared" si="254"/>
        <v>2025//12//31</v>
      </c>
      <c r="ML118" s="496">
        <v>236506</v>
      </c>
      <c r="MM118" s="493">
        <f t="shared" si="388"/>
        <v>233386</v>
      </c>
      <c r="MN118" s="496">
        <v>3120</v>
      </c>
      <c r="MO118" s="497">
        <v>0.0134</v>
      </c>
      <c r="MP118" s="484"/>
      <c r="MQ118" s="502"/>
      <c r="MR118" s="502"/>
      <c r="MS118" s="503">
        <v>1.2319</v>
      </c>
      <c r="MT118" s="504" t="str">
        <f t="shared" si="255"/>
        <v>2025//12//31</v>
      </c>
      <c r="MU118" s="503">
        <v>20715</v>
      </c>
      <c r="MV118" s="503">
        <f t="shared" si="391"/>
        <v>20315</v>
      </c>
      <c r="MW118" s="503">
        <v>400</v>
      </c>
      <c r="MX118" s="505">
        <v>0.0197</v>
      </c>
      <c r="MY118" s="484"/>
      <c r="MZ118" s="484"/>
      <c r="NA118" s="484"/>
      <c r="NB118" s="503">
        <v>1.245</v>
      </c>
      <c r="NC118" s="503" t="str">
        <f t="shared" si="256"/>
        <v>2025//12//31</v>
      </c>
      <c r="ND118" s="503">
        <v>25891</v>
      </c>
      <c r="NE118" s="503">
        <f t="shared" si="392"/>
        <v>25891</v>
      </c>
      <c r="NF118" s="503">
        <v>0</v>
      </c>
      <c r="NG118" s="505">
        <v>0</v>
      </c>
      <c r="NH118" s="484"/>
      <c r="NI118" s="484"/>
      <c r="NJ118" s="484"/>
      <c r="NK118" s="484"/>
      <c r="NL118" s="205">
        <v>1.1745</v>
      </c>
      <c r="NM118" s="204" t="str">
        <f t="shared" si="257"/>
        <v>2025//12//31</v>
      </c>
      <c r="NN118" s="205">
        <v>2278011</v>
      </c>
      <c r="NO118" s="8">
        <f t="shared" si="393"/>
        <v>2262211</v>
      </c>
      <c r="NP118" s="205">
        <v>15800</v>
      </c>
      <c r="NQ118" s="292">
        <v>0.007</v>
      </c>
      <c r="NR118" s="293"/>
      <c r="NS118" s="205">
        <v>1.0446</v>
      </c>
      <c r="NT118" s="294"/>
      <c r="NU118" s="204" t="str">
        <f t="shared" si="258"/>
        <v>2025//12//31</v>
      </c>
      <c r="NV118" s="205">
        <v>234776</v>
      </c>
      <c r="NW118" s="205">
        <f t="shared" si="394"/>
        <v>233926</v>
      </c>
      <c r="NX118" s="205">
        <v>850</v>
      </c>
      <c r="NY118" s="292">
        <v>0.0036</v>
      </c>
      <c r="NZ118" s="492"/>
      <c r="OA118" s="485"/>
      <c r="OB118" s="485"/>
      <c r="OC118" s="486" t="str">
        <f t="shared" si="259"/>
        <v>2025//12//31</v>
      </c>
      <c r="OD118" s="486">
        <v>13648</v>
      </c>
      <c r="OE118" s="486">
        <v>13662</v>
      </c>
      <c r="OF118" s="488">
        <v>-14</v>
      </c>
      <c r="OG118" s="489">
        <v>-0.001</v>
      </c>
      <c r="OH118" s="484"/>
      <c r="OI118" s="484"/>
      <c r="OJ118" s="485"/>
      <c r="OK118" s="486" t="str">
        <f t="shared" si="260"/>
        <v>2025//12//31</v>
      </c>
      <c r="OL118" s="498">
        <v>12198.65</v>
      </c>
      <c r="OM118" s="14">
        <f t="shared" si="404"/>
        <v>12203.65</v>
      </c>
      <c r="ON118" s="499">
        <f t="shared" si="405"/>
        <v>-5</v>
      </c>
      <c r="OO118" s="500">
        <f t="shared" si="406"/>
        <v>-0.00040971348735829</v>
      </c>
      <c r="OP118" s="484"/>
      <c r="OQ118" s="484"/>
      <c r="OT118" s="506" t="str">
        <f t="shared" si="211"/>
        <v>2025//12//31</v>
      </c>
      <c r="OU118" s="206">
        <v>136992.4066</v>
      </c>
      <c r="OV118" s="8">
        <f t="shared" si="401"/>
        <v>136872.4066</v>
      </c>
      <c r="OW118" s="191">
        <f t="shared" si="402"/>
        <v>120</v>
      </c>
      <c r="OX118" s="192">
        <f t="shared" si="403"/>
        <v>0.000876728940338512</v>
      </c>
    </row>
    <row r="119" s="8" customFormat="1" ht="17" customHeight="1" spans="1:414">
      <c r="A119" s="15"/>
      <c r="B119" s="15"/>
      <c r="C119" s="385" t="s">
        <v>548</v>
      </c>
      <c r="D119" s="395">
        <v>8902849</v>
      </c>
      <c r="E119" s="395">
        <v>8902219</v>
      </c>
      <c r="F119" s="459">
        <v>630</v>
      </c>
      <c r="G119" s="460">
        <v>0.0001</v>
      </c>
      <c r="H119" s="18"/>
      <c r="I119" s="453"/>
      <c r="J119" s="453"/>
      <c r="K119" s="386" t="str">
        <f t="shared" si="212"/>
        <v>2025//12//30</v>
      </c>
      <c r="L119" s="395">
        <v>6600214</v>
      </c>
      <c r="M119" s="395">
        <v>6601834</v>
      </c>
      <c r="N119" s="403">
        <v>-1620</v>
      </c>
      <c r="O119" s="404">
        <v>-0.0002</v>
      </c>
      <c r="P119" s="18"/>
      <c r="Q119" s="453"/>
      <c r="R119" s="454"/>
      <c r="S119" s="386" t="str">
        <f t="shared" si="213"/>
        <v>2025//12//30</v>
      </c>
      <c r="T119" s="395">
        <v>5725147</v>
      </c>
      <c r="U119" s="395">
        <v>5746657</v>
      </c>
      <c r="V119" s="403">
        <v>-21510</v>
      </c>
      <c r="W119" s="404">
        <v>-0.0037</v>
      </c>
      <c r="X119" s="18"/>
      <c r="Y119" s="453"/>
      <c r="Z119" s="454"/>
      <c r="AA119" s="386" t="str">
        <f t="shared" si="214"/>
        <v>2025//12//30</v>
      </c>
      <c r="AB119" s="395">
        <v>1909977</v>
      </c>
      <c r="AC119" s="395">
        <v>1903297</v>
      </c>
      <c r="AD119" s="459">
        <v>6680</v>
      </c>
      <c r="AE119" s="460">
        <v>0.0035</v>
      </c>
      <c r="AF119" s="18"/>
      <c r="AG119" s="453"/>
      <c r="AH119" s="454"/>
      <c r="AI119" s="386" t="str">
        <f t="shared" si="215"/>
        <v>2025//12//30</v>
      </c>
      <c r="AJ119" s="395">
        <v>2583522</v>
      </c>
      <c r="AK119" s="386">
        <v>2573922</v>
      </c>
      <c r="AL119" s="459">
        <v>9600</v>
      </c>
      <c r="AM119" s="460">
        <v>0.0037</v>
      </c>
      <c r="AN119" s="18"/>
      <c r="AO119" s="18"/>
      <c r="AP119" s="454"/>
      <c r="AQ119" s="386" t="str">
        <f t="shared" si="216"/>
        <v>2025//12//30</v>
      </c>
      <c r="AR119" s="418">
        <v>3146145</v>
      </c>
      <c r="AS119" s="395">
        <v>3145445</v>
      </c>
      <c r="AT119" s="459">
        <v>700</v>
      </c>
      <c r="AU119" s="460">
        <v>0.0002</v>
      </c>
      <c r="AV119" s="18"/>
      <c r="AW119" s="18"/>
      <c r="AX119" s="17"/>
      <c r="AY119" s="205">
        <v>4.8516</v>
      </c>
      <c r="AZ119" s="204" t="str">
        <f t="shared" si="217"/>
        <v>2025//12//30</v>
      </c>
      <c r="BA119" s="205">
        <v>4076932</v>
      </c>
      <c r="BB119" s="205">
        <f t="shared" si="279"/>
        <v>4063882</v>
      </c>
      <c r="BC119" s="205">
        <v>13050</v>
      </c>
      <c r="BD119" s="292">
        <v>0.0032</v>
      </c>
      <c r="BE119" s="18"/>
      <c r="BF119" s="18"/>
      <c r="BG119" s="74"/>
      <c r="BH119" s="387" t="str">
        <f t="shared" si="218"/>
        <v>2025//12//30</v>
      </c>
      <c r="BI119" s="387">
        <v>267127</v>
      </c>
      <c r="BJ119" s="387">
        <v>257027</v>
      </c>
      <c r="BK119" s="421">
        <v>10100</v>
      </c>
      <c r="BL119" s="422">
        <v>0.0393</v>
      </c>
      <c r="BM119" s="197"/>
      <c r="BN119" s="192"/>
      <c r="BO119" s="389"/>
      <c r="BP119" s="390" t="str">
        <f t="shared" si="219"/>
        <v>2025//12//30</v>
      </c>
      <c r="BQ119" s="392">
        <v>702762</v>
      </c>
      <c r="BR119" s="390">
        <v>701362</v>
      </c>
      <c r="BS119" s="416">
        <v>1400</v>
      </c>
      <c r="BT119" s="417">
        <v>0.002</v>
      </c>
      <c r="BU119" s="192"/>
      <c r="BV119" s="192"/>
      <c r="BW119" s="389"/>
      <c r="BX119" s="390" t="str">
        <f t="shared" si="220"/>
        <v>2025//12//30</v>
      </c>
      <c r="BY119" s="390">
        <v>2058061</v>
      </c>
      <c r="BZ119" s="390">
        <v>2023811</v>
      </c>
      <c r="CA119" s="416">
        <v>34250</v>
      </c>
      <c r="CB119" s="417">
        <v>0.0169</v>
      </c>
      <c r="CC119" s="192"/>
      <c r="CD119" s="409"/>
      <c r="CE119" s="389"/>
      <c r="CF119" s="390" t="str">
        <f t="shared" si="221"/>
        <v>2025//12//30</v>
      </c>
      <c r="CG119" s="390">
        <v>1074004</v>
      </c>
      <c r="CH119" s="12">
        <f t="shared" si="289"/>
        <v>1080054</v>
      </c>
      <c r="CI119" s="12">
        <f t="shared" si="290"/>
        <v>-6050</v>
      </c>
      <c r="CJ119" s="199">
        <f t="shared" si="291"/>
        <v>-0.00560157177326319</v>
      </c>
      <c r="CK119" s="192"/>
      <c r="CL119" s="391"/>
      <c r="CM119" s="389"/>
      <c r="CN119" s="390" t="str">
        <f t="shared" si="222"/>
        <v>2025//12//30</v>
      </c>
      <c r="CO119" s="390">
        <v>331046</v>
      </c>
      <c r="CP119" s="390">
        <v>185646</v>
      </c>
      <c r="CQ119" s="12">
        <f t="shared" si="293"/>
        <v>145400</v>
      </c>
      <c r="CR119" s="199">
        <f t="shared" si="294"/>
        <v>0.783211057604258</v>
      </c>
      <c r="CS119" s="391"/>
      <c r="CT119" s="391"/>
      <c r="CU119" s="389"/>
      <c r="CV119" s="390" t="str">
        <f t="shared" si="223"/>
        <v>2025//12//30</v>
      </c>
      <c r="CW119" s="390">
        <v>611840</v>
      </c>
      <c r="CX119" s="390">
        <v>614740</v>
      </c>
      <c r="CY119" s="414">
        <v>-2900</v>
      </c>
      <c r="CZ119" s="415">
        <v>-0.0047</v>
      </c>
      <c r="DA119" s="192"/>
      <c r="DB119" s="192"/>
      <c r="DC119" s="277"/>
      <c r="DD119" s="390" t="str">
        <f t="shared" si="224"/>
        <v>2025//12//30</v>
      </c>
      <c r="DE119" s="390">
        <v>1141918</v>
      </c>
      <c r="DF119" s="12">
        <f t="shared" si="298"/>
        <v>1107318</v>
      </c>
      <c r="DG119" s="416">
        <v>17300</v>
      </c>
      <c r="DH119" s="417">
        <v>0.0312</v>
      </c>
      <c r="DI119" s="192"/>
      <c r="DJ119" s="192"/>
      <c r="DK119" s="389"/>
      <c r="DL119" s="390" t="str">
        <f t="shared" si="225"/>
        <v>2025//12//30</v>
      </c>
      <c r="DM119" s="390">
        <v>1373100</v>
      </c>
      <c r="DN119" s="390">
        <v>1386300</v>
      </c>
      <c r="DO119" s="414">
        <v>-13200</v>
      </c>
      <c r="DP119" s="415">
        <v>-0.0095</v>
      </c>
      <c r="DQ119" s="192"/>
      <c r="DR119" s="192"/>
      <c r="DS119" s="389"/>
      <c r="DT119" s="390" t="str">
        <f t="shared" si="226"/>
        <v>2025//12//30</v>
      </c>
      <c r="DU119" s="390">
        <v>1670189</v>
      </c>
      <c r="DV119" s="390">
        <v>1671689</v>
      </c>
      <c r="DW119" s="414">
        <v>-1500</v>
      </c>
      <c r="DX119" s="415">
        <v>-0.0009</v>
      </c>
      <c r="DY119" s="192"/>
      <c r="DZ119" s="192"/>
      <c r="EA119" s="389"/>
      <c r="EB119" s="390" t="str">
        <f t="shared" si="227"/>
        <v>2025//12//30</v>
      </c>
      <c r="EC119" s="390">
        <v>5308917</v>
      </c>
      <c r="ED119" s="390">
        <v>5370567</v>
      </c>
      <c r="EE119" s="414">
        <v>-61650</v>
      </c>
      <c r="EF119" s="415">
        <v>-0.0115</v>
      </c>
      <c r="EG119" s="192"/>
      <c r="EH119" s="192"/>
      <c r="EI119" s="389"/>
      <c r="EJ119" s="390" t="str">
        <f t="shared" si="228"/>
        <v>2025//12//30</v>
      </c>
      <c r="EK119" s="390">
        <v>1418523</v>
      </c>
      <c r="EL119" s="390">
        <v>1427923</v>
      </c>
      <c r="EM119" s="414">
        <v>-9400</v>
      </c>
      <c r="EN119" s="415">
        <v>-0.0066</v>
      </c>
      <c r="EO119" s="192"/>
      <c r="EP119" s="192"/>
      <c r="EQ119" s="340"/>
      <c r="ER119" s="341" t="str">
        <f t="shared" si="229"/>
        <v>2025//12//30</v>
      </c>
      <c r="ES119" s="341">
        <v>458147</v>
      </c>
      <c r="ET119" s="341">
        <v>462647</v>
      </c>
      <c r="EU119" s="341">
        <v>-4500</v>
      </c>
      <c r="EV119" s="350">
        <v>-0.0097</v>
      </c>
      <c r="EW119" s="192"/>
      <c r="EX119" s="192"/>
      <c r="EY119" s="389"/>
      <c r="EZ119" s="390" t="str">
        <f t="shared" si="230"/>
        <v>2025//12//30</v>
      </c>
      <c r="FA119" s="390">
        <v>797508</v>
      </c>
      <c r="FB119" s="390">
        <v>817208</v>
      </c>
      <c r="FC119" s="414">
        <v>-19700</v>
      </c>
      <c r="FD119" s="415">
        <v>-0.0241</v>
      </c>
      <c r="FE119" s="192"/>
      <c r="FF119" s="192"/>
      <c r="FG119" s="192"/>
      <c r="FH119" s="390" t="str">
        <f t="shared" si="231"/>
        <v>2025//12//30</v>
      </c>
      <c r="FI119" s="392">
        <v>360695</v>
      </c>
      <c r="FJ119" s="390">
        <v>368595</v>
      </c>
      <c r="FK119" s="346">
        <v>-7900</v>
      </c>
      <c r="FL119" s="347">
        <v>-0.0214</v>
      </c>
      <c r="FM119" s="391"/>
      <c r="FN119" s="391"/>
      <c r="FO119" s="389"/>
      <c r="FP119" s="390" t="str">
        <f t="shared" si="232"/>
        <v>2025//12//30</v>
      </c>
      <c r="FQ119" s="390">
        <v>2576969</v>
      </c>
      <c r="FR119" s="390">
        <v>2598119</v>
      </c>
      <c r="FS119" s="414">
        <v>-21150</v>
      </c>
      <c r="FT119" s="415">
        <v>-0.0081</v>
      </c>
      <c r="FU119" s="192"/>
      <c r="FV119" s="192"/>
      <c r="FW119" s="389"/>
      <c r="FX119" s="390" t="str">
        <f t="shared" si="233"/>
        <v>2025//12//30</v>
      </c>
      <c r="FY119" s="390">
        <v>7421682</v>
      </c>
      <c r="FZ119" s="390">
        <v>7405182</v>
      </c>
      <c r="GA119" s="416">
        <v>16500</v>
      </c>
      <c r="GB119" s="417">
        <v>0.0022</v>
      </c>
      <c r="GC119" s="192"/>
      <c r="GD119" s="192"/>
      <c r="GE119" s="389"/>
      <c r="GF119" s="390" t="str">
        <f t="shared" si="234"/>
        <v>2025//12//30</v>
      </c>
      <c r="GG119" s="390">
        <v>4461769</v>
      </c>
      <c r="GH119" s="390">
        <v>4447469</v>
      </c>
      <c r="GI119" s="416">
        <v>14300</v>
      </c>
      <c r="GJ119" s="417">
        <v>0.0032</v>
      </c>
      <c r="GK119" s="192"/>
      <c r="GL119" s="192"/>
      <c r="GM119" s="389"/>
      <c r="GN119" s="390" t="str">
        <f t="shared" si="235"/>
        <v>2025//12//30</v>
      </c>
      <c r="GO119" s="390">
        <v>1505458</v>
      </c>
      <c r="GP119" s="390">
        <v>1492138</v>
      </c>
      <c r="GQ119" s="416">
        <v>13320</v>
      </c>
      <c r="GR119" s="417">
        <v>0.0089</v>
      </c>
      <c r="GS119" s="192"/>
      <c r="GT119" s="192"/>
      <c r="GU119" s="389"/>
      <c r="GV119" s="390" t="str">
        <f t="shared" si="236"/>
        <v>2025//12//30</v>
      </c>
      <c r="GW119" s="390">
        <v>1176349</v>
      </c>
      <c r="GX119" s="390">
        <v>1174149</v>
      </c>
      <c r="GY119" s="416">
        <v>2200</v>
      </c>
      <c r="GZ119" s="417">
        <v>0.0019</v>
      </c>
      <c r="HA119" s="192"/>
      <c r="HB119" s="192"/>
      <c r="HC119" s="389"/>
      <c r="HD119" s="390" t="str">
        <f t="shared" si="237"/>
        <v>2025//12//30</v>
      </c>
      <c r="HE119" s="390">
        <v>1323765</v>
      </c>
      <c r="HF119" s="390">
        <v>1338765</v>
      </c>
      <c r="HG119" s="414">
        <v>-15000</v>
      </c>
      <c r="HH119" s="415">
        <v>-0.0112</v>
      </c>
      <c r="HI119" s="391"/>
      <c r="HJ119" s="192"/>
      <c r="HK119" s="389"/>
      <c r="HL119" s="390" t="str">
        <f t="shared" si="238"/>
        <v>2025//12//30</v>
      </c>
      <c r="HM119" s="390">
        <v>166504</v>
      </c>
      <c r="HN119" s="390">
        <v>167554</v>
      </c>
      <c r="HO119" s="414">
        <v>-1050</v>
      </c>
      <c r="HP119" s="415">
        <v>-0.0063</v>
      </c>
      <c r="HQ119" s="192"/>
      <c r="HR119" s="192"/>
      <c r="HS119" s="389"/>
      <c r="HT119" s="390" t="str">
        <f t="shared" si="239"/>
        <v>2025//12//30</v>
      </c>
      <c r="HU119" s="390">
        <v>97269</v>
      </c>
      <c r="HV119" s="390">
        <v>97569</v>
      </c>
      <c r="HW119" s="414">
        <v>-300</v>
      </c>
      <c r="HX119" s="415">
        <v>-0.0031</v>
      </c>
      <c r="HY119" s="192"/>
      <c r="HZ119" s="192"/>
      <c r="IA119" s="389"/>
      <c r="IB119" s="390" t="str">
        <f t="shared" si="240"/>
        <v>2025//12//30</v>
      </c>
      <c r="IC119" s="200">
        <v>318134.79</v>
      </c>
      <c r="ID119" s="390"/>
      <c r="IE119" s="390">
        <f t="shared" si="347"/>
        <v>318134.79</v>
      </c>
      <c r="IF119" s="391"/>
      <c r="IG119" s="391"/>
      <c r="IH119" s="192"/>
      <c r="II119" s="389"/>
      <c r="IJ119" s="390" t="str">
        <f t="shared" si="241"/>
        <v>2025//12//30</v>
      </c>
      <c r="IK119" s="390">
        <v>367916</v>
      </c>
      <c r="IL119" s="390">
        <v>366396</v>
      </c>
      <c r="IM119" s="416">
        <v>1520</v>
      </c>
      <c r="IN119" s="417">
        <v>0.0041</v>
      </c>
      <c r="IO119" s="192"/>
      <c r="IP119" s="192"/>
      <c r="IQ119" s="389"/>
      <c r="IR119" s="390" t="str">
        <f t="shared" si="242"/>
        <v>2025//12//30</v>
      </c>
      <c r="IS119" s="390">
        <v>103289</v>
      </c>
      <c r="IT119" s="390">
        <v>104189</v>
      </c>
      <c r="IU119" s="414">
        <v>-900</v>
      </c>
      <c r="IV119" s="415">
        <v>-0.0086</v>
      </c>
      <c r="IW119" s="192"/>
      <c r="IX119" s="192"/>
      <c r="IY119" s="389"/>
      <c r="IZ119" s="390" t="str">
        <f t="shared" si="243"/>
        <v>2025//12//30</v>
      </c>
      <c r="JA119" s="390">
        <v>4717729</v>
      </c>
      <c r="JB119" s="390">
        <v>4696929</v>
      </c>
      <c r="JC119" s="416">
        <v>20800</v>
      </c>
      <c r="JD119" s="417">
        <v>0.0044</v>
      </c>
      <c r="JE119" s="192"/>
      <c r="JF119" s="192"/>
      <c r="JG119" s="389"/>
      <c r="JH119" s="390" t="str">
        <f t="shared" si="244"/>
        <v>2025//12//30</v>
      </c>
      <c r="JI119" s="390">
        <v>1559308</v>
      </c>
      <c r="JJ119" s="390">
        <v>1561528</v>
      </c>
      <c r="JK119" s="414">
        <v>-2220</v>
      </c>
      <c r="JL119" s="415">
        <v>-0.0014</v>
      </c>
      <c r="JM119" s="192"/>
      <c r="JN119" s="192"/>
      <c r="JP119" s="390" t="str">
        <f t="shared" si="245"/>
        <v>2025//12//30</v>
      </c>
      <c r="JQ119" s="390">
        <v>1190890</v>
      </c>
      <c r="JR119" s="390">
        <v>1188290</v>
      </c>
      <c r="JS119" s="416">
        <v>2600</v>
      </c>
      <c r="JT119" s="417">
        <v>0.0022</v>
      </c>
      <c r="JU119" s="192"/>
      <c r="JV119" s="409"/>
      <c r="JX119" s="390" t="str">
        <f t="shared" si="246"/>
        <v>2025//12//30</v>
      </c>
      <c r="JY119" s="390">
        <v>1481849</v>
      </c>
      <c r="JZ119" s="390">
        <v>1481849</v>
      </c>
      <c r="KA119" s="410">
        <v>0</v>
      </c>
      <c r="KB119" s="409">
        <v>0</v>
      </c>
      <c r="KC119" s="192"/>
      <c r="KD119" s="409"/>
      <c r="KF119" s="390" t="str">
        <f t="shared" si="247"/>
        <v>2025//12//30</v>
      </c>
      <c r="KG119" s="390">
        <v>879356</v>
      </c>
      <c r="KH119" s="390">
        <v>892556</v>
      </c>
      <c r="KI119" s="414">
        <v>-13200</v>
      </c>
      <c r="KJ119" s="415">
        <v>-0.0148</v>
      </c>
      <c r="KK119" s="391"/>
      <c r="KL119" s="391"/>
      <c r="KM119" s="389"/>
      <c r="KN119" s="390" t="str">
        <f t="shared" si="248"/>
        <v>2025//12//30</v>
      </c>
      <c r="KO119" s="390">
        <v>6660776</v>
      </c>
      <c r="KP119" s="390">
        <v>6659976</v>
      </c>
      <c r="KQ119" s="416">
        <v>800</v>
      </c>
      <c r="KR119" s="417">
        <v>0.0001</v>
      </c>
      <c r="KS119" s="192"/>
      <c r="KT119" s="192"/>
      <c r="KU119" s="389"/>
      <c r="KV119" s="390" t="str">
        <f t="shared" si="249"/>
        <v>2025//12//30</v>
      </c>
      <c r="KW119" s="390">
        <v>1049173</v>
      </c>
      <c r="KX119" s="390">
        <v>1049573</v>
      </c>
      <c r="KY119" s="346">
        <v>-400</v>
      </c>
      <c r="KZ119" s="347">
        <v>-0.0004</v>
      </c>
      <c r="LA119" s="391"/>
      <c r="LB119" s="192"/>
      <c r="LC119" s="389"/>
      <c r="LD119" s="390" t="str">
        <f t="shared" si="250"/>
        <v>2025//12//30</v>
      </c>
      <c r="LE119" s="390">
        <v>430058</v>
      </c>
      <c r="LF119" s="390">
        <v>431458</v>
      </c>
      <c r="LG119" s="414">
        <v>-1400</v>
      </c>
      <c r="LH119" s="415">
        <v>-0.0032</v>
      </c>
      <c r="LI119" s="192"/>
      <c r="LJ119" s="192"/>
      <c r="LK119" s="389"/>
      <c r="LL119" s="390" t="str">
        <f t="shared" si="251"/>
        <v>2025//12//30</v>
      </c>
      <c r="LM119" s="392">
        <v>3514795</v>
      </c>
      <c r="LN119" s="390">
        <v>3511735</v>
      </c>
      <c r="LO119" s="416">
        <v>3060</v>
      </c>
      <c r="LP119" s="417">
        <v>0.0009</v>
      </c>
      <c r="LQ119" s="192"/>
      <c r="LR119" s="192"/>
      <c r="LS119" s="389"/>
      <c r="LT119" s="390" t="str">
        <f t="shared" si="252"/>
        <v>2025//12//30</v>
      </c>
      <c r="LU119" s="390">
        <v>2642063</v>
      </c>
      <c r="LV119" s="390">
        <v>2648663</v>
      </c>
      <c r="LW119" s="414">
        <v>-6600</v>
      </c>
      <c r="LX119" s="415">
        <v>-0.0025</v>
      </c>
      <c r="LY119" s="192"/>
      <c r="LZ119" s="192"/>
      <c r="MA119" s="389"/>
      <c r="MB119" s="390" t="str">
        <f t="shared" si="253"/>
        <v>2025//12//30</v>
      </c>
      <c r="MC119" s="390">
        <v>840068</v>
      </c>
      <c r="MD119" s="390">
        <v>840618</v>
      </c>
      <c r="ME119" s="414">
        <v>-550</v>
      </c>
      <c r="MF119" s="415">
        <v>-0.0007</v>
      </c>
      <c r="MG119" s="192"/>
      <c r="MH119" s="192"/>
      <c r="MI119" s="342"/>
      <c r="MJ119" s="341">
        <v>0.9922</v>
      </c>
      <c r="MK119" s="341" t="str">
        <f t="shared" si="254"/>
        <v>2025//12//30</v>
      </c>
      <c r="ML119" s="341">
        <v>233386</v>
      </c>
      <c r="MM119" s="12">
        <f t="shared" si="388"/>
        <v>233146</v>
      </c>
      <c r="MN119" s="341">
        <v>240</v>
      </c>
      <c r="MO119" s="350">
        <v>0.001</v>
      </c>
      <c r="MP119" s="192"/>
      <c r="MQ119" s="394"/>
      <c r="MR119" s="394"/>
      <c r="MS119" s="204">
        <v>1.2371</v>
      </c>
      <c r="MT119" s="295" t="str">
        <f t="shared" si="255"/>
        <v>2025//12//30</v>
      </c>
      <c r="MU119" s="204">
        <v>20315</v>
      </c>
      <c r="MV119" s="204">
        <f t="shared" si="391"/>
        <v>20015</v>
      </c>
      <c r="MW119" s="204">
        <v>300</v>
      </c>
      <c r="MX119" s="296">
        <v>0.015</v>
      </c>
      <c r="MY119" s="192"/>
      <c r="MZ119" s="192"/>
      <c r="NA119" s="192"/>
      <c r="NB119" s="204">
        <v>1.243</v>
      </c>
      <c r="NC119" s="204" t="str">
        <f t="shared" si="256"/>
        <v>2025//12//30</v>
      </c>
      <c r="ND119" s="204">
        <v>25891</v>
      </c>
      <c r="NE119" s="204">
        <f t="shared" si="392"/>
        <v>25691</v>
      </c>
      <c r="NF119" s="204">
        <v>200</v>
      </c>
      <c r="NG119" s="296">
        <v>0.0078</v>
      </c>
      <c r="NH119" s="192"/>
      <c r="NI119" s="192"/>
      <c r="NJ119" s="192"/>
      <c r="NK119" s="192"/>
      <c r="NL119" s="205">
        <v>1.1741</v>
      </c>
      <c r="NM119" s="204" t="str">
        <f t="shared" si="257"/>
        <v>2025//12//30</v>
      </c>
      <c r="NN119" s="205">
        <v>2262211</v>
      </c>
      <c r="NO119" s="8">
        <f t="shared" si="393"/>
        <v>2250611</v>
      </c>
      <c r="NP119" s="205">
        <v>11600</v>
      </c>
      <c r="NQ119" s="292">
        <v>0.0052</v>
      </c>
      <c r="NR119" s="293"/>
      <c r="NS119" s="205">
        <v>1.0485</v>
      </c>
      <c r="NT119" s="294"/>
      <c r="NU119" s="204" t="str">
        <f t="shared" si="258"/>
        <v>2025//12//30</v>
      </c>
      <c r="NV119" s="205">
        <v>233926</v>
      </c>
      <c r="NW119" s="205">
        <f t="shared" si="394"/>
        <v>233526</v>
      </c>
      <c r="NX119" s="205">
        <v>400</v>
      </c>
      <c r="NY119" s="292">
        <v>0.0017</v>
      </c>
      <c r="NZ119" s="391"/>
      <c r="OA119" s="389"/>
      <c r="OB119" s="389"/>
      <c r="OC119" s="390" t="str">
        <f t="shared" si="259"/>
        <v>2025//12//30</v>
      </c>
      <c r="OD119" s="390">
        <v>13662</v>
      </c>
      <c r="OE119" s="390">
        <v>13775</v>
      </c>
      <c r="OF119" s="414">
        <v>-113</v>
      </c>
      <c r="OG119" s="415">
        <v>-0.0082</v>
      </c>
      <c r="OH119" s="192"/>
      <c r="OI119" s="192"/>
      <c r="OJ119" s="389"/>
      <c r="OK119" s="390" t="str">
        <f t="shared" si="260"/>
        <v>2025//12//30</v>
      </c>
      <c r="OL119" s="200">
        <v>12203.65</v>
      </c>
      <c r="OM119" s="8">
        <f t="shared" si="404"/>
        <v>12203.65</v>
      </c>
      <c r="ON119" s="8">
        <f t="shared" si="405"/>
        <v>0</v>
      </c>
      <c r="OO119" s="192">
        <f t="shared" si="406"/>
        <v>0</v>
      </c>
      <c r="OP119" s="192"/>
      <c r="OQ119" s="192"/>
      <c r="OT119" s="26" t="str">
        <f t="shared" si="211"/>
        <v>2025//12//30</v>
      </c>
      <c r="OU119" s="206">
        <v>136872.4066</v>
      </c>
      <c r="OV119" s="8">
        <f t="shared" si="401"/>
        <v>136752.4066</v>
      </c>
      <c r="OW119" s="191">
        <f t="shared" si="402"/>
        <v>120</v>
      </c>
      <c r="OX119" s="192">
        <f t="shared" si="403"/>
        <v>0.000877498268465573</v>
      </c>
    </row>
    <row r="120" s="8" customFormat="1" ht="17" customHeight="1" spans="1:414">
      <c r="A120" s="15"/>
      <c r="B120" s="15"/>
      <c r="C120" s="385" t="s">
        <v>549</v>
      </c>
      <c r="D120" s="395">
        <v>8902219</v>
      </c>
      <c r="E120" s="395">
        <v>8931289</v>
      </c>
      <c r="F120" s="403">
        <v>-29070</v>
      </c>
      <c r="G120" s="404">
        <v>-0.0033</v>
      </c>
      <c r="H120" s="18"/>
      <c r="I120" s="453"/>
      <c r="J120" s="453"/>
      <c r="K120" s="386" t="str">
        <f t="shared" si="212"/>
        <v>2025//12//29</v>
      </c>
      <c r="L120" s="395">
        <v>6601834</v>
      </c>
      <c r="M120" s="395">
        <v>6615334</v>
      </c>
      <c r="N120" s="403">
        <v>-13500</v>
      </c>
      <c r="O120" s="404">
        <v>-0.002</v>
      </c>
      <c r="P120" s="18"/>
      <c r="Q120" s="453"/>
      <c r="R120" s="454"/>
      <c r="S120" s="386" t="str">
        <f t="shared" si="213"/>
        <v>2025//12//29</v>
      </c>
      <c r="T120" s="395">
        <v>5746657</v>
      </c>
      <c r="U120" s="395">
        <v>5765107</v>
      </c>
      <c r="V120" s="403">
        <v>-18450</v>
      </c>
      <c r="W120" s="404">
        <v>-0.0032</v>
      </c>
      <c r="X120" s="18"/>
      <c r="Y120" s="453"/>
      <c r="Z120" s="454"/>
      <c r="AA120" s="386" t="str">
        <f t="shared" si="214"/>
        <v>2025//12//29</v>
      </c>
      <c r="AB120" s="395">
        <v>1903297</v>
      </c>
      <c r="AC120" s="395">
        <v>1917417</v>
      </c>
      <c r="AD120" s="403">
        <v>-14120</v>
      </c>
      <c r="AE120" s="404">
        <v>-0.0074</v>
      </c>
      <c r="AF120" s="18"/>
      <c r="AG120" s="453"/>
      <c r="AH120" s="454"/>
      <c r="AI120" s="386" t="str">
        <f t="shared" si="215"/>
        <v>2025//12//29</v>
      </c>
      <c r="AJ120" s="395">
        <v>2573922</v>
      </c>
      <c r="AK120" s="386">
        <v>2590722</v>
      </c>
      <c r="AL120" s="403">
        <v>-16800</v>
      </c>
      <c r="AM120" s="404">
        <v>-0.0065</v>
      </c>
      <c r="AN120" s="18"/>
      <c r="AO120" s="18"/>
      <c r="AP120" s="454"/>
      <c r="AQ120" s="386" t="str">
        <f t="shared" si="216"/>
        <v>2025//12//29</v>
      </c>
      <c r="AR120" s="418">
        <v>3145445</v>
      </c>
      <c r="AS120" s="395">
        <v>3174545</v>
      </c>
      <c r="AT120" s="403">
        <v>-29100</v>
      </c>
      <c r="AU120" s="404">
        <v>-0.0092</v>
      </c>
      <c r="AV120" s="18"/>
      <c r="AW120" s="18"/>
      <c r="AX120" s="17"/>
      <c r="AY120" s="205">
        <v>4.8391</v>
      </c>
      <c r="AZ120" s="204" t="str">
        <f t="shared" si="217"/>
        <v>2025//12//29</v>
      </c>
      <c r="BA120" s="205">
        <v>4063882</v>
      </c>
      <c r="BB120" s="205">
        <f t="shared" si="279"/>
        <v>4069462</v>
      </c>
      <c r="BC120" s="205">
        <v>-5580</v>
      </c>
      <c r="BD120" s="292">
        <v>-0.0014</v>
      </c>
      <c r="BE120" s="18"/>
      <c r="BF120" s="18"/>
      <c r="BG120" s="74"/>
      <c r="BH120" s="387" t="str">
        <f t="shared" si="218"/>
        <v>2025//12//29</v>
      </c>
      <c r="BI120" s="387">
        <v>257027</v>
      </c>
      <c r="BJ120" s="387">
        <v>255227</v>
      </c>
      <c r="BK120" s="421">
        <v>1800</v>
      </c>
      <c r="BL120" s="422">
        <v>0.0071</v>
      </c>
      <c r="BM120" s="197"/>
      <c r="BN120" s="192"/>
      <c r="BO120" s="389"/>
      <c r="BP120" s="390" t="str">
        <f t="shared" si="219"/>
        <v>2025//12//29</v>
      </c>
      <c r="BQ120" s="392">
        <v>701362</v>
      </c>
      <c r="BR120" s="390">
        <v>712262</v>
      </c>
      <c r="BS120" s="414">
        <v>-10900</v>
      </c>
      <c r="BT120" s="415">
        <v>-0.0153</v>
      </c>
      <c r="BU120" s="192"/>
      <c r="BV120" s="192"/>
      <c r="BW120" s="389"/>
      <c r="BX120" s="390" t="str">
        <f t="shared" si="220"/>
        <v>2025//12//29</v>
      </c>
      <c r="BY120" s="390">
        <v>2023811</v>
      </c>
      <c r="BZ120" s="390">
        <v>2047111</v>
      </c>
      <c r="CA120" s="414">
        <v>-23300</v>
      </c>
      <c r="CB120" s="415">
        <v>-0.0114</v>
      </c>
      <c r="CC120" s="192"/>
      <c r="CD120" s="409"/>
      <c r="CE120" s="389"/>
      <c r="CF120" s="390" t="str">
        <f t="shared" si="221"/>
        <v>2025//12//29</v>
      </c>
      <c r="CG120" s="390">
        <v>1080054</v>
      </c>
      <c r="CH120" s="12">
        <f t="shared" si="289"/>
        <v>1013654</v>
      </c>
      <c r="CI120" s="12">
        <f t="shared" si="290"/>
        <v>66400</v>
      </c>
      <c r="CJ120" s="199">
        <f t="shared" si="291"/>
        <v>0.0655055867189396</v>
      </c>
      <c r="CK120" s="192"/>
      <c r="CL120" s="391"/>
      <c r="CM120" s="389"/>
      <c r="CN120" s="390" t="str">
        <f t="shared" si="222"/>
        <v>2025//12//29</v>
      </c>
      <c r="CO120" s="390">
        <v>185646</v>
      </c>
      <c r="CP120" s="390">
        <v>172646</v>
      </c>
      <c r="CQ120" s="12">
        <f t="shared" si="293"/>
        <v>13000</v>
      </c>
      <c r="CR120" s="199">
        <f t="shared" si="294"/>
        <v>0.0752985878618676</v>
      </c>
      <c r="CS120" s="391"/>
      <c r="CT120" s="391"/>
      <c r="CU120" s="389"/>
      <c r="CV120" s="390" t="str">
        <f t="shared" si="223"/>
        <v>2025//12//29</v>
      </c>
      <c r="CW120" s="390">
        <v>614740</v>
      </c>
      <c r="CX120" s="390">
        <v>614640</v>
      </c>
      <c r="CY120" s="416">
        <v>100</v>
      </c>
      <c r="CZ120" s="417">
        <v>0.0002</v>
      </c>
      <c r="DA120" s="192"/>
      <c r="DB120" s="192"/>
      <c r="DC120" s="277"/>
      <c r="DD120" s="390" t="str">
        <f t="shared" si="224"/>
        <v>2025//12//29</v>
      </c>
      <c r="DE120" s="390">
        <v>1107318</v>
      </c>
      <c r="DF120" s="12">
        <f t="shared" si="298"/>
        <v>1092318</v>
      </c>
      <c r="DG120" s="416">
        <v>7500</v>
      </c>
      <c r="DH120" s="417">
        <v>0.0137</v>
      </c>
      <c r="DI120" s="192"/>
      <c r="DJ120" s="192"/>
      <c r="DK120" s="389"/>
      <c r="DL120" s="390" t="str">
        <f t="shared" si="225"/>
        <v>2025//12//29</v>
      </c>
      <c r="DM120" s="390">
        <v>1386300</v>
      </c>
      <c r="DN120" s="390">
        <v>1437900</v>
      </c>
      <c r="DO120" s="414">
        <v>-51600</v>
      </c>
      <c r="DP120" s="415">
        <v>-0.0359</v>
      </c>
      <c r="DQ120" s="192"/>
      <c r="DR120" s="192"/>
      <c r="DS120" s="389"/>
      <c r="DT120" s="390" t="str">
        <f t="shared" si="226"/>
        <v>2025//12//29</v>
      </c>
      <c r="DU120" s="390">
        <v>1671689</v>
      </c>
      <c r="DV120" s="390">
        <v>1683089</v>
      </c>
      <c r="DW120" s="414">
        <v>-11400</v>
      </c>
      <c r="DX120" s="415">
        <v>-0.0068</v>
      </c>
      <c r="DY120" s="192"/>
      <c r="DZ120" s="192"/>
      <c r="EA120" s="389"/>
      <c r="EB120" s="390" t="str">
        <f t="shared" si="227"/>
        <v>2025//12//29</v>
      </c>
      <c r="EC120" s="390">
        <v>5370567</v>
      </c>
      <c r="ED120" s="390">
        <v>5434917</v>
      </c>
      <c r="EE120" s="414">
        <v>-64350</v>
      </c>
      <c r="EF120" s="415">
        <v>-0.0118</v>
      </c>
      <c r="EG120" s="192"/>
      <c r="EH120" s="192"/>
      <c r="EI120" s="389"/>
      <c r="EJ120" s="390" t="str">
        <f t="shared" si="228"/>
        <v>2025//12//29</v>
      </c>
      <c r="EK120" s="390">
        <v>1427923</v>
      </c>
      <c r="EL120" s="390">
        <v>1440123</v>
      </c>
      <c r="EM120" s="414">
        <v>-12200</v>
      </c>
      <c r="EN120" s="415">
        <v>-0.0085</v>
      </c>
      <c r="EO120" s="192"/>
      <c r="EP120" s="192"/>
      <c r="EQ120" s="340"/>
      <c r="ER120" s="341" t="str">
        <f t="shared" si="229"/>
        <v>2025//12//29</v>
      </c>
      <c r="ES120" s="341">
        <v>462647</v>
      </c>
      <c r="ET120" s="341">
        <v>465947</v>
      </c>
      <c r="EU120" s="341">
        <v>-3300</v>
      </c>
      <c r="EV120" s="350">
        <v>-0.0071</v>
      </c>
      <c r="EW120" s="192"/>
      <c r="EX120" s="192"/>
      <c r="EY120" s="389"/>
      <c r="EZ120" s="390" t="str">
        <f t="shared" si="230"/>
        <v>2025//12//29</v>
      </c>
      <c r="FA120" s="390">
        <v>817208</v>
      </c>
      <c r="FB120" s="390">
        <v>860308</v>
      </c>
      <c r="FC120" s="414">
        <v>-43100</v>
      </c>
      <c r="FD120" s="415">
        <v>-0.0501</v>
      </c>
      <c r="FE120" s="192"/>
      <c r="FF120" s="192"/>
      <c r="FG120" s="192"/>
      <c r="FH120" s="390" t="str">
        <f t="shared" si="231"/>
        <v>2025//12//29</v>
      </c>
      <c r="FI120" s="392">
        <v>368595</v>
      </c>
      <c r="FJ120" s="390">
        <v>346895</v>
      </c>
      <c r="FK120" s="348">
        <v>21700</v>
      </c>
      <c r="FL120" s="349">
        <v>0.0626</v>
      </c>
      <c r="FM120" s="391"/>
      <c r="FN120" s="391"/>
      <c r="FO120" s="389"/>
      <c r="FP120" s="390" t="str">
        <f t="shared" si="232"/>
        <v>2025//12//29</v>
      </c>
      <c r="FQ120" s="390">
        <v>2598119</v>
      </c>
      <c r="FR120" s="390">
        <v>2624069</v>
      </c>
      <c r="FS120" s="414">
        <v>-25950</v>
      </c>
      <c r="FT120" s="415">
        <v>-0.0099</v>
      </c>
      <c r="FU120" s="192"/>
      <c r="FV120" s="192"/>
      <c r="FW120" s="389"/>
      <c r="FX120" s="390" t="str">
        <f t="shared" si="233"/>
        <v>2025//12//29</v>
      </c>
      <c r="FY120" s="390">
        <v>7405182</v>
      </c>
      <c r="FZ120" s="390">
        <v>7449682</v>
      </c>
      <c r="GA120" s="414">
        <v>-44500</v>
      </c>
      <c r="GB120" s="415">
        <v>-0.006</v>
      </c>
      <c r="GC120" s="192"/>
      <c r="GD120" s="192"/>
      <c r="GE120" s="389"/>
      <c r="GF120" s="390" t="str">
        <f t="shared" si="234"/>
        <v>2025//12//29</v>
      </c>
      <c r="GG120" s="390">
        <v>4447469</v>
      </c>
      <c r="GH120" s="390">
        <v>4437969</v>
      </c>
      <c r="GI120" s="416">
        <v>9500</v>
      </c>
      <c r="GJ120" s="417">
        <v>0.0021</v>
      </c>
      <c r="GK120" s="192"/>
      <c r="GL120" s="192"/>
      <c r="GM120" s="389"/>
      <c r="GN120" s="390" t="str">
        <f t="shared" si="235"/>
        <v>2025//12//29</v>
      </c>
      <c r="GO120" s="390">
        <v>1492138</v>
      </c>
      <c r="GP120" s="390">
        <v>1503058</v>
      </c>
      <c r="GQ120" s="414">
        <v>-10920</v>
      </c>
      <c r="GR120" s="415">
        <v>-0.0073</v>
      </c>
      <c r="GS120" s="192"/>
      <c r="GT120" s="192"/>
      <c r="GU120" s="389"/>
      <c r="GV120" s="390" t="str">
        <f t="shared" si="236"/>
        <v>2025//12//29</v>
      </c>
      <c r="GW120" s="390">
        <v>1174149</v>
      </c>
      <c r="GX120" s="390">
        <v>1179349</v>
      </c>
      <c r="GY120" s="414">
        <v>-5200</v>
      </c>
      <c r="GZ120" s="415">
        <v>-0.0044</v>
      </c>
      <c r="HA120" s="192"/>
      <c r="HB120" s="192"/>
      <c r="HC120" s="389"/>
      <c r="HD120" s="390" t="str">
        <f t="shared" si="237"/>
        <v>2025//12//29</v>
      </c>
      <c r="HE120" s="390">
        <v>1338765</v>
      </c>
      <c r="HF120" s="390">
        <v>1373865</v>
      </c>
      <c r="HG120" s="414">
        <v>-35100</v>
      </c>
      <c r="HH120" s="415">
        <v>-0.0255</v>
      </c>
      <c r="HI120" s="391"/>
      <c r="HJ120" s="192"/>
      <c r="HK120" s="389"/>
      <c r="HL120" s="390" t="str">
        <f t="shared" si="238"/>
        <v>2025//12//29</v>
      </c>
      <c r="HM120" s="390">
        <v>167554</v>
      </c>
      <c r="HN120" s="390">
        <v>170204</v>
      </c>
      <c r="HO120" s="414">
        <v>-2650</v>
      </c>
      <c r="HP120" s="415">
        <v>-0.0156</v>
      </c>
      <c r="HQ120" s="192"/>
      <c r="HR120" s="192"/>
      <c r="HS120" s="389"/>
      <c r="HT120" s="390" t="str">
        <f t="shared" si="239"/>
        <v>2025//12//29</v>
      </c>
      <c r="HU120" s="390">
        <v>97569</v>
      </c>
      <c r="HV120" s="390">
        <v>98269</v>
      </c>
      <c r="HW120" s="414">
        <v>-700</v>
      </c>
      <c r="HX120" s="415">
        <v>-0.0071</v>
      </c>
      <c r="HY120" s="192"/>
      <c r="HZ120" s="192"/>
      <c r="IA120" s="389"/>
      <c r="IB120" s="390" t="str">
        <f t="shared" si="240"/>
        <v>2025//12//29</v>
      </c>
      <c r="IC120" s="390"/>
      <c r="ID120" s="390"/>
      <c r="IE120" s="390"/>
      <c r="IF120" s="391"/>
      <c r="IG120" s="391"/>
      <c r="IH120" s="192"/>
      <c r="II120" s="389"/>
      <c r="IJ120" s="390" t="str">
        <f t="shared" si="241"/>
        <v>2025//12//29</v>
      </c>
      <c r="IK120" s="390">
        <v>366396</v>
      </c>
      <c r="IL120" s="390">
        <v>362956</v>
      </c>
      <c r="IM120" s="416">
        <v>3440</v>
      </c>
      <c r="IN120" s="417">
        <v>0.0095</v>
      </c>
      <c r="IO120" s="192"/>
      <c r="IP120" s="192"/>
      <c r="IQ120" s="389"/>
      <c r="IR120" s="390" t="str">
        <f t="shared" si="242"/>
        <v>2025//12//29</v>
      </c>
      <c r="IS120" s="390">
        <v>104189</v>
      </c>
      <c r="IT120" s="390">
        <v>105489</v>
      </c>
      <c r="IU120" s="414">
        <v>-1300</v>
      </c>
      <c r="IV120" s="415">
        <v>-0.0123</v>
      </c>
      <c r="IW120" s="192"/>
      <c r="IX120" s="192"/>
      <c r="IY120" s="389"/>
      <c r="IZ120" s="390" t="str">
        <f t="shared" si="243"/>
        <v>2025//12//29</v>
      </c>
      <c r="JA120" s="390">
        <v>4696929</v>
      </c>
      <c r="JB120" s="390">
        <v>4693429</v>
      </c>
      <c r="JC120" s="416">
        <v>3500</v>
      </c>
      <c r="JD120" s="417">
        <v>0.0007</v>
      </c>
      <c r="JE120" s="192"/>
      <c r="JF120" s="192"/>
      <c r="JG120" s="389"/>
      <c r="JH120" s="390" t="str">
        <f t="shared" si="244"/>
        <v>2025//12//29</v>
      </c>
      <c r="JI120" s="390">
        <v>1561528</v>
      </c>
      <c r="JJ120" s="390">
        <v>1580428</v>
      </c>
      <c r="JK120" s="414">
        <v>-18900</v>
      </c>
      <c r="JL120" s="415">
        <v>-0.012</v>
      </c>
      <c r="JM120" s="192"/>
      <c r="JN120" s="192"/>
      <c r="JP120" s="390" t="str">
        <f t="shared" si="245"/>
        <v>2025//12//29</v>
      </c>
      <c r="JQ120" s="390">
        <v>1188290</v>
      </c>
      <c r="JR120" s="390">
        <v>1196690</v>
      </c>
      <c r="JS120" s="414">
        <v>-8400</v>
      </c>
      <c r="JT120" s="415">
        <v>-0.007</v>
      </c>
      <c r="JU120" s="192"/>
      <c r="JV120" s="409"/>
      <c r="JX120" s="390" t="str">
        <f t="shared" si="246"/>
        <v>2025//12//29</v>
      </c>
      <c r="JY120" s="390">
        <v>1481849</v>
      </c>
      <c r="JZ120" s="390">
        <v>1503049</v>
      </c>
      <c r="KA120" s="414">
        <v>-21200</v>
      </c>
      <c r="KB120" s="415">
        <v>-0.0141</v>
      </c>
      <c r="KC120" s="192"/>
      <c r="KD120" s="409"/>
      <c r="KF120" s="390" t="str">
        <f t="shared" si="247"/>
        <v>2025//12//29</v>
      </c>
      <c r="KG120" s="390">
        <v>892556</v>
      </c>
      <c r="KH120" s="390">
        <v>902356</v>
      </c>
      <c r="KI120" s="414">
        <v>-9800</v>
      </c>
      <c r="KJ120" s="415">
        <v>-0.0109</v>
      </c>
      <c r="KK120" s="391"/>
      <c r="KL120" s="391"/>
      <c r="KM120" s="389"/>
      <c r="KN120" s="390" t="str">
        <f t="shared" si="248"/>
        <v>2025//12//29</v>
      </c>
      <c r="KO120" s="390">
        <v>6659976</v>
      </c>
      <c r="KP120" s="390">
        <v>6649576</v>
      </c>
      <c r="KQ120" s="416">
        <v>10400</v>
      </c>
      <c r="KR120" s="417">
        <v>0.0016</v>
      </c>
      <c r="KS120" s="192"/>
      <c r="KT120" s="192"/>
      <c r="KU120" s="389"/>
      <c r="KV120" s="390" t="str">
        <f t="shared" si="249"/>
        <v>2025//12//29</v>
      </c>
      <c r="KW120" s="390">
        <v>1049573</v>
      </c>
      <c r="KX120" s="390">
        <v>1046673</v>
      </c>
      <c r="KY120" s="348">
        <v>2900</v>
      </c>
      <c r="KZ120" s="349">
        <v>0.0028</v>
      </c>
      <c r="LA120" s="391"/>
      <c r="LB120" s="192"/>
      <c r="LC120" s="389"/>
      <c r="LD120" s="390" t="str">
        <f t="shared" si="250"/>
        <v>2025//12//29</v>
      </c>
      <c r="LE120" s="390">
        <v>431458</v>
      </c>
      <c r="LF120" s="390">
        <v>435808</v>
      </c>
      <c r="LG120" s="414">
        <v>-4350</v>
      </c>
      <c r="LH120" s="415">
        <v>-0.01</v>
      </c>
      <c r="LI120" s="192"/>
      <c r="LJ120" s="192"/>
      <c r="LK120" s="389"/>
      <c r="LL120" s="390" t="str">
        <f t="shared" si="251"/>
        <v>2025//12//29</v>
      </c>
      <c r="LM120" s="392">
        <v>3511735</v>
      </c>
      <c r="LN120" s="390">
        <v>3485815</v>
      </c>
      <c r="LO120" s="416">
        <v>25920</v>
      </c>
      <c r="LP120" s="417">
        <v>0.0074</v>
      </c>
      <c r="LQ120" s="192"/>
      <c r="LR120" s="192"/>
      <c r="LS120" s="389"/>
      <c r="LT120" s="390" t="str">
        <f t="shared" si="252"/>
        <v>2025//12//29</v>
      </c>
      <c r="LU120" s="390">
        <v>2648663</v>
      </c>
      <c r="LV120" s="390">
        <v>2688063</v>
      </c>
      <c r="LW120" s="414">
        <v>-39400</v>
      </c>
      <c r="LX120" s="415">
        <v>-0.0147</v>
      </c>
      <c r="LY120" s="192"/>
      <c r="LZ120" s="192"/>
      <c r="MA120" s="389"/>
      <c r="MB120" s="390" t="str">
        <f t="shared" si="253"/>
        <v>2025//12//29</v>
      </c>
      <c r="MC120" s="390">
        <v>840618</v>
      </c>
      <c r="MD120" s="390">
        <v>847768</v>
      </c>
      <c r="ME120" s="414">
        <v>-7150</v>
      </c>
      <c r="MF120" s="415">
        <v>-0.0084</v>
      </c>
      <c r="MG120" s="192"/>
      <c r="MH120" s="192"/>
      <c r="MI120" s="342"/>
      <c r="MJ120" s="341">
        <v>0.988</v>
      </c>
      <c r="MK120" s="341" t="str">
        <f t="shared" si="254"/>
        <v>2025//12//29</v>
      </c>
      <c r="ML120" s="341">
        <v>233146</v>
      </c>
      <c r="MM120" s="12">
        <f t="shared" si="388"/>
        <v>233866</v>
      </c>
      <c r="MN120" s="341">
        <v>-720</v>
      </c>
      <c r="MO120" s="350">
        <v>-0.0031</v>
      </c>
      <c r="MP120" s="192"/>
      <c r="MQ120" s="394"/>
      <c r="MR120" s="394"/>
      <c r="MS120" s="204">
        <v>1.2259</v>
      </c>
      <c r="MT120" s="295" t="str">
        <f t="shared" si="255"/>
        <v>2025//12//29</v>
      </c>
      <c r="MU120" s="204">
        <v>20015</v>
      </c>
      <c r="MV120" s="204">
        <f t="shared" si="391"/>
        <v>17915</v>
      </c>
      <c r="MW120" s="204">
        <v>2100</v>
      </c>
      <c r="MX120" s="296">
        <v>0.1172</v>
      </c>
      <c r="MY120" s="192"/>
      <c r="MZ120" s="192"/>
      <c r="NA120" s="192"/>
      <c r="NB120" s="204">
        <v>1.233</v>
      </c>
      <c r="NC120" s="204" t="str">
        <f t="shared" si="256"/>
        <v>2025//12//29</v>
      </c>
      <c r="ND120" s="204">
        <v>25691</v>
      </c>
      <c r="NE120" s="204">
        <f t="shared" si="392"/>
        <v>25891</v>
      </c>
      <c r="NF120" s="204">
        <v>-200</v>
      </c>
      <c r="NG120" s="296">
        <v>-0.0077</v>
      </c>
      <c r="NH120" s="192"/>
      <c r="NI120" s="192"/>
      <c r="NJ120" s="192"/>
      <c r="NK120" s="192"/>
      <c r="NL120" s="205">
        <v>1.1757</v>
      </c>
      <c r="NM120" s="204" t="str">
        <f t="shared" si="257"/>
        <v>2025//12//29</v>
      </c>
      <c r="NN120" s="205">
        <v>2250611</v>
      </c>
      <c r="NO120" s="8">
        <f t="shared" si="393"/>
        <v>2264311</v>
      </c>
      <c r="NP120" s="205">
        <v>-13700</v>
      </c>
      <c r="NQ120" s="292">
        <v>-0.0061</v>
      </c>
      <c r="NR120" s="293"/>
      <c r="NS120" s="205">
        <v>1.0508</v>
      </c>
      <c r="NT120" s="294"/>
      <c r="NU120" s="204" t="str">
        <f t="shared" si="258"/>
        <v>2025//12//29</v>
      </c>
      <c r="NV120" s="205">
        <v>233526</v>
      </c>
      <c r="NW120" s="205">
        <f t="shared" si="394"/>
        <v>233276</v>
      </c>
      <c r="NX120" s="205">
        <v>250</v>
      </c>
      <c r="NY120" s="292">
        <v>0.0011</v>
      </c>
      <c r="NZ120" s="391"/>
      <c r="OA120" s="389"/>
      <c r="OB120" s="389"/>
      <c r="OC120" s="390" t="str">
        <f t="shared" si="259"/>
        <v>2025//12//29</v>
      </c>
      <c r="OD120" s="390">
        <v>13775</v>
      </c>
      <c r="OE120" s="390">
        <v>13894</v>
      </c>
      <c r="OF120" s="414">
        <v>-119</v>
      </c>
      <c r="OG120" s="415">
        <v>-0.0086</v>
      </c>
      <c r="OH120" s="192"/>
      <c r="OI120" s="192"/>
      <c r="OJ120" s="389"/>
      <c r="OK120" s="390" t="str">
        <f t="shared" si="260"/>
        <v>2025//12//29</v>
      </c>
      <c r="OL120" s="200">
        <v>12203.65</v>
      </c>
      <c r="OM120" s="8"/>
      <c r="ON120" s="8">
        <f t="shared" si="405"/>
        <v>12203.65</v>
      </c>
      <c r="OO120" s="192"/>
      <c r="OP120" s="192"/>
      <c r="OQ120" s="192"/>
      <c r="OT120" s="26" t="str">
        <f t="shared" si="211"/>
        <v>2025//12//29</v>
      </c>
      <c r="OU120" s="206">
        <v>136752.4066</v>
      </c>
      <c r="OV120" s="8">
        <f t="shared" si="401"/>
        <v>136632.4066</v>
      </c>
      <c r="OW120" s="191">
        <f t="shared" si="402"/>
        <v>120</v>
      </c>
      <c r="OX120" s="192">
        <f t="shared" si="403"/>
        <v>0.000878268947946643</v>
      </c>
    </row>
    <row r="121" s="8" customFormat="1" ht="17" customHeight="1" spans="1:414">
      <c r="A121" s="15"/>
      <c r="B121" s="15"/>
      <c r="C121" s="385" t="s">
        <v>550</v>
      </c>
      <c r="D121" s="395">
        <v>8931289</v>
      </c>
      <c r="E121" s="395">
        <v>8915179</v>
      </c>
      <c r="F121" s="459">
        <v>16110</v>
      </c>
      <c r="G121" s="460">
        <v>0.0018</v>
      </c>
      <c r="H121" s="18"/>
      <c r="I121" s="453"/>
      <c r="J121" s="453"/>
      <c r="K121" s="386" t="str">
        <f t="shared" si="212"/>
        <v>2025//12//26</v>
      </c>
      <c r="L121" s="395">
        <v>6615334</v>
      </c>
      <c r="M121" s="395">
        <v>6611644</v>
      </c>
      <c r="N121" s="459">
        <v>3690</v>
      </c>
      <c r="O121" s="460">
        <v>0.0006</v>
      </c>
      <c r="P121" s="18"/>
      <c r="Q121" s="453"/>
      <c r="R121" s="454"/>
      <c r="S121" s="386" t="str">
        <f t="shared" si="213"/>
        <v>2025//12//26</v>
      </c>
      <c r="T121" s="395">
        <v>5765107</v>
      </c>
      <c r="U121" s="395">
        <v>5721907</v>
      </c>
      <c r="V121" s="459">
        <v>43200</v>
      </c>
      <c r="W121" s="460">
        <v>0.0075</v>
      </c>
      <c r="X121" s="18"/>
      <c r="Y121" s="453"/>
      <c r="Z121" s="454"/>
      <c r="AA121" s="386" t="str">
        <f t="shared" si="214"/>
        <v>2025//12//26</v>
      </c>
      <c r="AB121" s="395">
        <v>1917417</v>
      </c>
      <c r="AC121" s="395">
        <v>1886337</v>
      </c>
      <c r="AD121" s="459">
        <v>31080</v>
      </c>
      <c r="AE121" s="460">
        <v>0.0165</v>
      </c>
      <c r="AF121" s="18"/>
      <c r="AG121" s="453"/>
      <c r="AH121" s="454"/>
      <c r="AI121" s="386" t="str">
        <f t="shared" si="215"/>
        <v>2025//12//26</v>
      </c>
      <c r="AJ121" s="395">
        <v>2590722</v>
      </c>
      <c r="AK121" s="386">
        <v>2535922</v>
      </c>
      <c r="AL121" s="459">
        <v>54800</v>
      </c>
      <c r="AM121" s="460">
        <v>0.0216</v>
      </c>
      <c r="AN121" s="18"/>
      <c r="AO121" s="18"/>
      <c r="AP121" s="454"/>
      <c r="AQ121" s="386" t="str">
        <f t="shared" si="216"/>
        <v>2025//12//26</v>
      </c>
      <c r="AR121" s="418">
        <v>3174545</v>
      </c>
      <c r="AS121" s="395">
        <v>3178245</v>
      </c>
      <c r="AT121" s="403">
        <v>-3700</v>
      </c>
      <c r="AU121" s="404">
        <v>-0.0012</v>
      </c>
      <c r="AV121" s="18"/>
      <c r="AW121" s="18"/>
      <c r="AX121" s="17"/>
      <c r="AY121" s="205">
        <v>4.8579</v>
      </c>
      <c r="AZ121" s="204" t="str">
        <f t="shared" si="217"/>
        <v>2025//12//26</v>
      </c>
      <c r="BA121" s="205">
        <v>4069462</v>
      </c>
      <c r="BB121" s="205">
        <f t="shared" si="279"/>
        <v>4061812</v>
      </c>
      <c r="BC121" s="205">
        <v>7650</v>
      </c>
      <c r="BD121" s="292">
        <v>0.0019</v>
      </c>
      <c r="BE121" s="18"/>
      <c r="BF121" s="18"/>
      <c r="BG121" s="74"/>
      <c r="BH121" s="387" t="str">
        <f t="shared" si="218"/>
        <v>2025//12//26</v>
      </c>
      <c r="BI121" s="387">
        <v>255227</v>
      </c>
      <c r="BJ121" s="387">
        <v>251327</v>
      </c>
      <c r="BK121" s="421">
        <v>3900</v>
      </c>
      <c r="BL121" s="422">
        <v>0.0155</v>
      </c>
      <c r="BM121" s="197"/>
      <c r="BN121" s="192"/>
      <c r="BO121" s="389"/>
      <c r="BP121" s="390" t="str">
        <f t="shared" si="219"/>
        <v>2025//12//26</v>
      </c>
      <c r="BQ121" s="392">
        <v>712262</v>
      </c>
      <c r="BR121" s="390">
        <v>711562</v>
      </c>
      <c r="BS121" s="416">
        <v>700</v>
      </c>
      <c r="BT121" s="417">
        <v>0.001</v>
      </c>
      <c r="BU121" s="192"/>
      <c r="BV121" s="192"/>
      <c r="BW121" s="389"/>
      <c r="BX121" s="390" t="str">
        <f t="shared" si="220"/>
        <v>2025//12//26</v>
      </c>
      <c r="BY121" s="390">
        <v>2047111</v>
      </c>
      <c r="BZ121" s="390">
        <v>2073411</v>
      </c>
      <c r="CA121" s="414">
        <v>-26300</v>
      </c>
      <c r="CB121" s="415">
        <v>-0.0127</v>
      </c>
      <c r="CC121" s="192"/>
      <c r="CD121" s="409"/>
      <c r="CE121" s="389"/>
      <c r="CF121" s="390" t="str">
        <f t="shared" si="221"/>
        <v>2025//12//26</v>
      </c>
      <c r="CG121" s="390">
        <v>1013654</v>
      </c>
      <c r="CH121" s="12">
        <f t="shared" si="289"/>
        <v>1012604</v>
      </c>
      <c r="CI121" s="12">
        <f t="shared" si="290"/>
        <v>1050</v>
      </c>
      <c r="CJ121" s="199">
        <f t="shared" si="291"/>
        <v>0.00103693052762975</v>
      </c>
      <c r="CK121" s="192"/>
      <c r="CL121" s="391"/>
      <c r="CM121" s="389"/>
      <c r="CN121" s="390" t="str">
        <f t="shared" si="222"/>
        <v>2025//12//26</v>
      </c>
      <c r="CO121" s="390">
        <v>172646</v>
      </c>
      <c r="CP121" s="390">
        <v>163046</v>
      </c>
      <c r="CQ121" s="12">
        <f t="shared" si="293"/>
        <v>9600</v>
      </c>
      <c r="CR121" s="199">
        <f t="shared" si="294"/>
        <v>0.0588790893367516</v>
      </c>
      <c r="CS121" s="391"/>
      <c r="CT121" s="391"/>
      <c r="CU121" s="389"/>
      <c r="CV121" s="390" t="str">
        <f t="shared" si="223"/>
        <v>2025//12//26</v>
      </c>
      <c r="CW121" s="390">
        <v>614640</v>
      </c>
      <c r="CX121" s="390">
        <v>614640</v>
      </c>
      <c r="CY121" s="410">
        <v>0</v>
      </c>
      <c r="CZ121" s="409">
        <v>0</v>
      </c>
      <c r="DA121" s="192"/>
      <c r="DB121" s="192"/>
      <c r="DC121" s="277"/>
      <c r="DD121" s="390" t="str">
        <f t="shared" si="224"/>
        <v>2025//12//26</v>
      </c>
      <c r="DE121" s="390">
        <v>1092318</v>
      </c>
      <c r="DF121" s="12">
        <f t="shared" si="298"/>
        <v>1065718</v>
      </c>
      <c r="DG121" s="416">
        <v>13300</v>
      </c>
      <c r="DH121" s="417">
        <v>0.025</v>
      </c>
      <c r="DI121" s="192"/>
      <c r="DJ121" s="192"/>
      <c r="DK121" s="389"/>
      <c r="DL121" s="390" t="str">
        <f t="shared" si="225"/>
        <v>2025//12//26</v>
      </c>
      <c r="DM121" s="390">
        <v>1437900</v>
      </c>
      <c r="DN121" s="390">
        <v>1443300</v>
      </c>
      <c r="DO121" s="414">
        <v>-5400</v>
      </c>
      <c r="DP121" s="415">
        <v>-0.0037</v>
      </c>
      <c r="DQ121" s="192"/>
      <c r="DR121" s="192"/>
      <c r="DS121" s="389"/>
      <c r="DT121" s="390" t="str">
        <f t="shared" si="226"/>
        <v>2025//12//26</v>
      </c>
      <c r="DU121" s="390">
        <v>1683089</v>
      </c>
      <c r="DV121" s="390">
        <v>1689089</v>
      </c>
      <c r="DW121" s="414">
        <v>-6000</v>
      </c>
      <c r="DX121" s="415">
        <v>-0.0036</v>
      </c>
      <c r="DY121" s="192"/>
      <c r="DZ121" s="192"/>
      <c r="EA121" s="389"/>
      <c r="EB121" s="390" t="str">
        <f t="shared" si="227"/>
        <v>2025//12//26</v>
      </c>
      <c r="EC121" s="390">
        <v>5434917</v>
      </c>
      <c r="ED121" s="390">
        <v>5384967</v>
      </c>
      <c r="EE121" s="416">
        <v>49950</v>
      </c>
      <c r="EF121" s="417">
        <v>0.0093</v>
      </c>
      <c r="EG121" s="192"/>
      <c r="EH121" s="192"/>
      <c r="EI121" s="389"/>
      <c r="EJ121" s="390" t="str">
        <f t="shared" si="228"/>
        <v>2025//12//26</v>
      </c>
      <c r="EK121" s="390">
        <v>1440123</v>
      </c>
      <c r="EL121" s="390">
        <v>1449923</v>
      </c>
      <c r="EM121" s="414">
        <v>-9800</v>
      </c>
      <c r="EN121" s="415">
        <v>-0.0068</v>
      </c>
      <c r="EO121" s="192"/>
      <c r="EP121" s="192"/>
      <c r="EQ121" s="340"/>
      <c r="ER121" s="341" t="str">
        <f t="shared" si="229"/>
        <v>2025//12//26</v>
      </c>
      <c r="ES121" s="341">
        <v>465947</v>
      </c>
      <c r="ET121" s="341">
        <v>468647</v>
      </c>
      <c r="EU121" s="341">
        <v>-2700</v>
      </c>
      <c r="EV121" s="350">
        <v>-0.0058</v>
      </c>
      <c r="EW121" s="192"/>
      <c r="EX121" s="192"/>
      <c r="EY121" s="389"/>
      <c r="EZ121" s="390" t="str">
        <f t="shared" si="230"/>
        <v>2025//12//26</v>
      </c>
      <c r="FA121" s="390">
        <v>860308</v>
      </c>
      <c r="FB121" s="390">
        <v>887108</v>
      </c>
      <c r="FC121" s="414">
        <v>-26800</v>
      </c>
      <c r="FD121" s="415">
        <v>-0.0302</v>
      </c>
      <c r="FE121" s="192"/>
      <c r="FF121" s="192"/>
      <c r="FG121" s="192"/>
      <c r="FH121" s="390" t="str">
        <f t="shared" si="231"/>
        <v>2025//12//26</v>
      </c>
      <c r="FI121" s="392">
        <v>346895</v>
      </c>
      <c r="FJ121" s="390">
        <v>318195</v>
      </c>
      <c r="FK121" s="348">
        <v>28700</v>
      </c>
      <c r="FL121" s="349">
        <v>0.0902</v>
      </c>
      <c r="FM121" s="391"/>
      <c r="FN121" s="391"/>
      <c r="FO121" s="389"/>
      <c r="FP121" s="390" t="str">
        <f t="shared" si="232"/>
        <v>2025//12//26</v>
      </c>
      <c r="FQ121" s="390">
        <v>2624069</v>
      </c>
      <c r="FR121" s="390">
        <v>2607719</v>
      </c>
      <c r="FS121" s="416">
        <v>16350</v>
      </c>
      <c r="FT121" s="417">
        <v>0.0063</v>
      </c>
      <c r="FU121" s="192"/>
      <c r="FV121" s="192"/>
      <c r="FW121" s="389"/>
      <c r="FX121" s="390" t="str">
        <f t="shared" si="233"/>
        <v>2025//12//26</v>
      </c>
      <c r="FY121" s="390">
        <v>7449682</v>
      </c>
      <c r="FZ121" s="390">
        <v>7437482</v>
      </c>
      <c r="GA121" s="416">
        <v>12200</v>
      </c>
      <c r="GB121" s="417">
        <v>0.0016</v>
      </c>
      <c r="GC121" s="192"/>
      <c r="GD121" s="192"/>
      <c r="GE121" s="389"/>
      <c r="GF121" s="390" t="str">
        <f t="shared" si="234"/>
        <v>2025//12//26</v>
      </c>
      <c r="GG121" s="390">
        <v>4437969</v>
      </c>
      <c r="GH121" s="390">
        <v>4435869</v>
      </c>
      <c r="GI121" s="416">
        <v>2100</v>
      </c>
      <c r="GJ121" s="417">
        <v>0.0005</v>
      </c>
      <c r="GK121" s="192"/>
      <c r="GL121" s="192"/>
      <c r="GM121" s="389"/>
      <c r="GN121" s="390" t="str">
        <f t="shared" si="235"/>
        <v>2025//12//26</v>
      </c>
      <c r="GO121" s="390">
        <v>1503058</v>
      </c>
      <c r="GP121" s="390">
        <v>1503958</v>
      </c>
      <c r="GQ121" s="414">
        <v>-900</v>
      </c>
      <c r="GR121" s="415">
        <v>-0.0006</v>
      </c>
      <c r="GS121" s="192"/>
      <c r="GT121" s="192"/>
      <c r="GU121" s="389"/>
      <c r="GV121" s="390" t="str">
        <f t="shared" si="236"/>
        <v>2025//12//26</v>
      </c>
      <c r="GW121" s="390">
        <v>1179349</v>
      </c>
      <c r="GX121" s="390">
        <v>1196349</v>
      </c>
      <c r="GY121" s="414">
        <v>-17000</v>
      </c>
      <c r="GZ121" s="415">
        <v>-0.0142</v>
      </c>
      <c r="HA121" s="192"/>
      <c r="HB121" s="192"/>
      <c r="HC121" s="389"/>
      <c r="HD121" s="390" t="str">
        <f t="shared" si="237"/>
        <v>2025//12//26</v>
      </c>
      <c r="HE121" s="390">
        <v>1373865</v>
      </c>
      <c r="HF121" s="390">
        <v>1389865</v>
      </c>
      <c r="HG121" s="414">
        <v>-16000</v>
      </c>
      <c r="HH121" s="415">
        <v>-0.0115</v>
      </c>
      <c r="HI121" s="391"/>
      <c r="HJ121" s="192"/>
      <c r="HK121" s="389"/>
      <c r="HL121" s="390" t="str">
        <f t="shared" si="238"/>
        <v>2025//12//26</v>
      </c>
      <c r="HM121" s="390">
        <v>170204</v>
      </c>
      <c r="HN121" s="390">
        <v>172204</v>
      </c>
      <c r="HO121" s="414">
        <v>-2000</v>
      </c>
      <c r="HP121" s="415">
        <v>-0.0116</v>
      </c>
      <c r="HQ121" s="192"/>
      <c r="HR121" s="192"/>
      <c r="HS121" s="389"/>
      <c r="HT121" s="390" t="str">
        <f t="shared" si="239"/>
        <v>2025//12//26</v>
      </c>
      <c r="HU121" s="390">
        <v>98269</v>
      </c>
      <c r="HV121" s="390">
        <v>107369</v>
      </c>
      <c r="HW121" s="414">
        <v>-9100</v>
      </c>
      <c r="HX121" s="415">
        <v>-0.0848</v>
      </c>
      <c r="HY121" s="192"/>
      <c r="HZ121" s="192"/>
      <c r="IA121" s="389"/>
      <c r="IB121" s="390" t="str">
        <f t="shared" si="240"/>
        <v>2025//12//26</v>
      </c>
      <c r="IC121" s="390"/>
      <c r="ID121" s="390"/>
      <c r="IE121" s="390"/>
      <c r="IF121" s="391"/>
      <c r="IG121" s="391"/>
      <c r="IH121" s="192"/>
      <c r="II121" s="389"/>
      <c r="IJ121" s="390" t="str">
        <f t="shared" si="241"/>
        <v>2025//12//26</v>
      </c>
      <c r="IK121" s="390">
        <v>362956</v>
      </c>
      <c r="IL121" s="390">
        <v>365596</v>
      </c>
      <c r="IM121" s="414">
        <v>-2640</v>
      </c>
      <c r="IN121" s="415">
        <v>-0.0072</v>
      </c>
      <c r="IO121" s="192"/>
      <c r="IP121" s="192"/>
      <c r="IQ121" s="389"/>
      <c r="IR121" s="390" t="str">
        <f t="shared" si="242"/>
        <v>2025//12//26</v>
      </c>
      <c r="IS121" s="390">
        <v>105489</v>
      </c>
      <c r="IT121" s="390">
        <v>106989</v>
      </c>
      <c r="IU121" s="414">
        <v>-1500</v>
      </c>
      <c r="IV121" s="415">
        <v>-0.014</v>
      </c>
      <c r="IW121" s="192"/>
      <c r="IX121" s="192"/>
      <c r="IY121" s="389"/>
      <c r="IZ121" s="390" t="str">
        <f t="shared" si="243"/>
        <v>2025//12//26</v>
      </c>
      <c r="JA121" s="390">
        <v>4693429</v>
      </c>
      <c r="JB121" s="390">
        <v>4721829</v>
      </c>
      <c r="JC121" s="414">
        <v>-28400</v>
      </c>
      <c r="JD121" s="415">
        <v>-0.006</v>
      </c>
      <c r="JE121" s="192"/>
      <c r="JF121" s="192"/>
      <c r="JG121" s="389"/>
      <c r="JH121" s="390" t="str">
        <f t="shared" si="244"/>
        <v>2025//12//26</v>
      </c>
      <c r="JI121" s="390">
        <v>1580428</v>
      </c>
      <c r="JJ121" s="390">
        <v>1588408</v>
      </c>
      <c r="JK121" s="414">
        <v>-7980</v>
      </c>
      <c r="JL121" s="415">
        <v>-0.005</v>
      </c>
      <c r="JM121" s="192"/>
      <c r="JN121" s="192"/>
      <c r="JP121" s="390" t="str">
        <f t="shared" si="245"/>
        <v>2025//12//26</v>
      </c>
      <c r="JQ121" s="390">
        <v>1196690</v>
      </c>
      <c r="JR121" s="390">
        <v>1197890</v>
      </c>
      <c r="JS121" s="414">
        <v>-1200</v>
      </c>
      <c r="JT121" s="415">
        <v>-0.001</v>
      </c>
      <c r="JU121" s="192"/>
      <c r="JV121" s="409"/>
      <c r="JX121" s="390" t="str">
        <f t="shared" si="246"/>
        <v>2025//12//26</v>
      </c>
      <c r="JY121" s="390">
        <v>1503049</v>
      </c>
      <c r="JZ121" s="390">
        <v>1503049</v>
      </c>
      <c r="KA121" s="410">
        <v>0</v>
      </c>
      <c r="KB121" s="409">
        <v>0</v>
      </c>
      <c r="KC121" s="192"/>
      <c r="KD121" s="409"/>
      <c r="KF121" s="390" t="str">
        <f t="shared" si="247"/>
        <v>2025//12//26</v>
      </c>
      <c r="KG121" s="390">
        <v>902356</v>
      </c>
      <c r="KH121" s="390">
        <v>902356</v>
      </c>
      <c r="KI121" s="410">
        <v>0</v>
      </c>
      <c r="KJ121" s="409">
        <v>0</v>
      </c>
      <c r="KK121" s="391"/>
      <c r="KL121" s="391"/>
      <c r="KM121" s="389"/>
      <c r="KN121" s="390" t="str">
        <f t="shared" si="248"/>
        <v>2025//12//26</v>
      </c>
      <c r="KO121" s="390">
        <v>6649576</v>
      </c>
      <c r="KP121" s="390">
        <v>6649576</v>
      </c>
      <c r="KQ121" s="410">
        <v>0</v>
      </c>
      <c r="KR121" s="409">
        <v>0</v>
      </c>
      <c r="KS121" s="192"/>
      <c r="KT121" s="192"/>
      <c r="KU121" s="389"/>
      <c r="KV121" s="390" t="str">
        <f t="shared" si="249"/>
        <v>2025//12//26</v>
      </c>
      <c r="KW121" s="390">
        <v>1046673</v>
      </c>
      <c r="KX121" s="390">
        <v>1046673</v>
      </c>
      <c r="KY121" s="390">
        <v>0</v>
      </c>
      <c r="KZ121" s="391">
        <v>0</v>
      </c>
      <c r="LA121" s="391"/>
      <c r="LB121" s="192"/>
      <c r="LC121" s="389"/>
      <c r="LD121" s="390" t="str">
        <f t="shared" si="250"/>
        <v>2025//12//26</v>
      </c>
      <c r="LE121" s="390">
        <v>435808</v>
      </c>
      <c r="LF121" s="390">
        <v>439108</v>
      </c>
      <c r="LG121" s="414">
        <v>-3300</v>
      </c>
      <c r="LH121" s="415">
        <v>-0.0075</v>
      </c>
      <c r="LI121" s="192"/>
      <c r="LJ121" s="192"/>
      <c r="LK121" s="389"/>
      <c r="LL121" s="390" t="str">
        <f t="shared" si="251"/>
        <v>2025//12//26</v>
      </c>
      <c r="LM121" s="392">
        <v>3485815</v>
      </c>
      <c r="LN121" s="390">
        <v>3507595</v>
      </c>
      <c r="LO121" s="414">
        <v>-21780</v>
      </c>
      <c r="LP121" s="415">
        <v>-0.0062</v>
      </c>
      <c r="LQ121" s="192"/>
      <c r="LR121" s="192"/>
      <c r="LS121" s="389"/>
      <c r="LT121" s="390" t="str">
        <f t="shared" si="252"/>
        <v>2025//12//26</v>
      </c>
      <c r="LU121" s="390">
        <v>2688063</v>
      </c>
      <c r="LV121" s="390">
        <v>2693063</v>
      </c>
      <c r="LW121" s="414">
        <v>-5000</v>
      </c>
      <c r="LX121" s="415">
        <v>-0.0019</v>
      </c>
      <c r="LY121" s="192"/>
      <c r="LZ121" s="192"/>
      <c r="MA121" s="389"/>
      <c r="MB121" s="390" t="str">
        <f t="shared" si="253"/>
        <v>2025//12//26</v>
      </c>
      <c r="MC121" s="390">
        <v>847768</v>
      </c>
      <c r="MD121" s="390">
        <v>854768</v>
      </c>
      <c r="ME121" s="414">
        <v>-7000</v>
      </c>
      <c r="MF121" s="415">
        <v>-0.0082</v>
      </c>
      <c r="MG121" s="192"/>
      <c r="MH121" s="192"/>
      <c r="MI121" s="342"/>
      <c r="MJ121" s="341">
        <v>0.9862</v>
      </c>
      <c r="MK121" s="341" t="str">
        <f t="shared" si="254"/>
        <v>2025//12//26</v>
      </c>
      <c r="ML121" s="341">
        <v>233866</v>
      </c>
      <c r="MM121" s="12">
        <f t="shared" si="388"/>
        <v>232426</v>
      </c>
      <c r="MN121" s="341">
        <v>1440</v>
      </c>
      <c r="MO121" s="350">
        <v>0.0062</v>
      </c>
      <c r="MP121" s="192"/>
      <c r="MQ121" s="394"/>
      <c r="MR121" s="394"/>
      <c r="MS121" s="204">
        <v>1.2136</v>
      </c>
      <c r="MT121" s="295" t="str">
        <f t="shared" si="255"/>
        <v>2025//12//26</v>
      </c>
      <c r="MU121" s="204">
        <v>17915</v>
      </c>
      <c r="MV121" s="204">
        <f t="shared" si="391"/>
        <v>17415</v>
      </c>
      <c r="MW121" s="204">
        <v>500</v>
      </c>
      <c r="MX121" s="296">
        <v>0.0287</v>
      </c>
      <c r="MY121" s="192"/>
      <c r="MZ121" s="192"/>
      <c r="NA121" s="192"/>
      <c r="NB121" s="204">
        <v>1.235</v>
      </c>
      <c r="NC121" s="204" t="str">
        <f t="shared" si="256"/>
        <v>2025//12//26</v>
      </c>
      <c r="ND121" s="204">
        <v>25891</v>
      </c>
      <c r="NE121" s="204">
        <f t="shared" si="392"/>
        <v>26091</v>
      </c>
      <c r="NF121" s="204">
        <v>-200</v>
      </c>
      <c r="NG121" s="296">
        <v>-0.0077</v>
      </c>
      <c r="NH121" s="192"/>
      <c r="NI121" s="192"/>
      <c r="NJ121" s="192"/>
      <c r="NK121" s="192"/>
      <c r="NL121" s="205">
        <v>1.175</v>
      </c>
      <c r="NM121" s="204" t="str">
        <f t="shared" si="257"/>
        <v>2025//12//26</v>
      </c>
      <c r="NN121" s="205">
        <v>2264311</v>
      </c>
      <c r="NO121" s="8">
        <f t="shared" si="393"/>
        <v>2263311</v>
      </c>
      <c r="NP121" s="205">
        <v>1000</v>
      </c>
      <c r="NQ121" s="292">
        <v>0.0004</v>
      </c>
      <c r="NR121" s="293"/>
      <c r="NS121" s="205">
        <v>1.0606</v>
      </c>
      <c r="NT121" s="294"/>
      <c r="NU121" s="204" t="str">
        <f t="shared" si="258"/>
        <v>2025//12//26</v>
      </c>
      <c r="NV121" s="205">
        <v>233276</v>
      </c>
      <c r="NW121" s="205">
        <f t="shared" si="394"/>
        <v>233976</v>
      </c>
      <c r="NX121" s="205">
        <v>-700</v>
      </c>
      <c r="NY121" s="292">
        <v>-0.003</v>
      </c>
      <c r="NZ121" s="391"/>
      <c r="OA121" s="389"/>
      <c r="OB121" s="389"/>
      <c r="OC121" s="390" t="str">
        <f t="shared" si="259"/>
        <v>2025//12//26</v>
      </c>
      <c r="OD121" s="390">
        <v>13894</v>
      </c>
      <c r="OE121" s="390">
        <v>14153</v>
      </c>
      <c r="OF121" s="414">
        <v>-259</v>
      </c>
      <c r="OG121" s="415">
        <v>-0.0183</v>
      </c>
      <c r="OH121" s="192"/>
      <c r="OI121" s="192"/>
      <c r="OJ121" s="389"/>
      <c r="OK121" s="390" t="str">
        <f t="shared" si="260"/>
        <v>2025//12//26</v>
      </c>
      <c r="OO121" s="192"/>
      <c r="OP121" s="192"/>
      <c r="OQ121" s="192"/>
      <c r="OT121" s="26" t="str">
        <f t="shared" si="211"/>
        <v>2025//12//26</v>
      </c>
      <c r="OU121" s="206">
        <v>136632.4066</v>
      </c>
      <c r="OV121" s="8">
        <f t="shared" si="401"/>
        <v>136512.4066</v>
      </c>
      <c r="OW121" s="191">
        <f t="shared" si="402"/>
        <v>120</v>
      </c>
      <c r="OX121" s="192">
        <f t="shared" si="403"/>
        <v>0.00087904098234541</v>
      </c>
    </row>
    <row r="122" s="8" customFormat="1" ht="17" customHeight="1" spans="1:414">
      <c r="A122" s="15"/>
      <c r="B122" s="15"/>
      <c r="C122" s="385" t="s">
        <v>551</v>
      </c>
      <c r="D122" s="395">
        <v>8915179</v>
      </c>
      <c r="E122" s="395">
        <v>8914099</v>
      </c>
      <c r="F122" s="459">
        <v>1080</v>
      </c>
      <c r="G122" s="460">
        <v>0.0001</v>
      </c>
      <c r="H122" s="18"/>
      <c r="I122" s="453"/>
      <c r="J122" s="453"/>
      <c r="K122" s="386" t="str">
        <f t="shared" si="212"/>
        <v>2025//12//25</v>
      </c>
      <c r="L122" s="395">
        <v>6611644</v>
      </c>
      <c r="M122" s="395">
        <v>6613084</v>
      </c>
      <c r="N122" s="403">
        <v>-1440</v>
      </c>
      <c r="O122" s="404">
        <v>-0.0002</v>
      </c>
      <c r="P122" s="18"/>
      <c r="Q122" s="453"/>
      <c r="R122" s="454"/>
      <c r="S122" s="386" t="str">
        <f t="shared" si="213"/>
        <v>2025//12//25</v>
      </c>
      <c r="T122" s="395">
        <v>5721907</v>
      </c>
      <c r="U122" s="395">
        <v>5727127</v>
      </c>
      <c r="V122" s="403">
        <v>-5220</v>
      </c>
      <c r="W122" s="404">
        <v>-0.0009</v>
      </c>
      <c r="X122" s="18"/>
      <c r="Y122" s="453"/>
      <c r="Z122" s="454"/>
      <c r="AA122" s="386" t="str">
        <f t="shared" si="214"/>
        <v>2025//12//25</v>
      </c>
      <c r="AB122" s="395">
        <v>1886337</v>
      </c>
      <c r="AC122" s="395">
        <v>1875617</v>
      </c>
      <c r="AD122" s="459">
        <v>10720</v>
      </c>
      <c r="AE122" s="460">
        <v>0.0057</v>
      </c>
      <c r="AF122" s="18"/>
      <c r="AG122" s="453"/>
      <c r="AH122" s="454"/>
      <c r="AI122" s="386" t="str">
        <f t="shared" si="215"/>
        <v>2025//12//25</v>
      </c>
      <c r="AJ122" s="395">
        <v>2535922</v>
      </c>
      <c r="AK122" s="386">
        <v>2518522</v>
      </c>
      <c r="AL122" s="459">
        <v>17400</v>
      </c>
      <c r="AM122" s="460">
        <v>0.0069</v>
      </c>
      <c r="AN122" s="18"/>
      <c r="AO122" s="18"/>
      <c r="AP122" s="454"/>
      <c r="AQ122" s="386" t="str">
        <f t="shared" si="216"/>
        <v>2025//12//25</v>
      </c>
      <c r="AR122" s="418">
        <v>3178245</v>
      </c>
      <c r="AS122" s="395">
        <v>3181445</v>
      </c>
      <c r="AT122" s="403">
        <v>-3200</v>
      </c>
      <c r="AU122" s="404">
        <v>-0.001</v>
      </c>
      <c r="AV122" s="18"/>
      <c r="AW122" s="18"/>
      <c r="AX122" s="17"/>
      <c r="AY122" s="205">
        <v>4.8426</v>
      </c>
      <c r="AZ122" s="204" t="str">
        <f t="shared" si="217"/>
        <v>2025//12//25</v>
      </c>
      <c r="BA122" s="205">
        <v>4061812</v>
      </c>
      <c r="BB122" s="205">
        <f t="shared" si="279"/>
        <v>4060822</v>
      </c>
      <c r="BC122" s="205">
        <v>990</v>
      </c>
      <c r="BD122" s="292">
        <v>0.0002</v>
      </c>
      <c r="BE122" s="18"/>
      <c r="BF122" s="18"/>
      <c r="BG122" s="74"/>
      <c r="BH122" s="387" t="str">
        <f t="shared" si="218"/>
        <v>2025//12//25</v>
      </c>
      <c r="BI122" s="387">
        <v>251327</v>
      </c>
      <c r="BJ122" s="387">
        <v>245027</v>
      </c>
      <c r="BK122" s="421">
        <v>6300</v>
      </c>
      <c r="BL122" s="422">
        <v>0.0257</v>
      </c>
      <c r="BM122" s="197"/>
      <c r="BN122" s="192"/>
      <c r="BO122" s="389"/>
      <c r="BP122" s="390" t="str">
        <f t="shared" si="219"/>
        <v>2025//12//25</v>
      </c>
      <c r="BQ122" s="392">
        <v>711562</v>
      </c>
      <c r="BR122" s="390">
        <v>685962</v>
      </c>
      <c r="BS122" s="416">
        <v>25600</v>
      </c>
      <c r="BT122" s="417">
        <v>0.0373</v>
      </c>
      <c r="BU122" s="192"/>
      <c r="BV122" s="192"/>
      <c r="BW122" s="389"/>
      <c r="BX122" s="390" t="str">
        <f t="shared" si="220"/>
        <v>2025//12//25</v>
      </c>
      <c r="BY122" s="390">
        <v>2073411</v>
      </c>
      <c r="BZ122" s="390">
        <v>2057461</v>
      </c>
      <c r="CA122" s="416">
        <v>15950</v>
      </c>
      <c r="CB122" s="417">
        <v>0.0078</v>
      </c>
      <c r="CC122" s="192"/>
      <c r="CD122" s="409"/>
      <c r="CE122" s="389"/>
      <c r="CF122" s="390" t="str">
        <f t="shared" si="221"/>
        <v>2025//12//25</v>
      </c>
      <c r="CG122" s="390">
        <v>1012604</v>
      </c>
      <c r="CH122" s="12">
        <f t="shared" si="289"/>
        <v>998904</v>
      </c>
      <c r="CI122" s="12">
        <f t="shared" si="290"/>
        <v>13700</v>
      </c>
      <c r="CJ122" s="199">
        <f t="shared" si="291"/>
        <v>0.0137150316747155</v>
      </c>
      <c r="CK122" s="192"/>
      <c r="CL122" s="391"/>
      <c r="CM122" s="389"/>
      <c r="CN122" s="390" t="str">
        <f t="shared" si="222"/>
        <v>2025//12//25</v>
      </c>
      <c r="CO122" s="390">
        <v>163046</v>
      </c>
      <c r="CP122" s="390">
        <v>145146</v>
      </c>
      <c r="CQ122" s="12">
        <f t="shared" si="293"/>
        <v>17900</v>
      </c>
      <c r="CR122" s="199">
        <f t="shared" si="294"/>
        <v>0.123324101249776</v>
      </c>
      <c r="CS122" s="391"/>
      <c r="CT122" s="391"/>
      <c r="CU122" s="389"/>
      <c r="CV122" s="390" t="str">
        <f t="shared" si="223"/>
        <v>2025//12//25</v>
      </c>
      <c r="CW122" s="390">
        <v>614640</v>
      </c>
      <c r="CX122" s="390">
        <v>614640</v>
      </c>
      <c r="CY122" s="410">
        <v>0</v>
      </c>
      <c r="CZ122" s="409">
        <v>0</v>
      </c>
      <c r="DA122" s="192"/>
      <c r="DB122" s="192"/>
      <c r="DC122" s="277"/>
      <c r="DD122" s="390" t="str">
        <f t="shared" si="224"/>
        <v>2025//12//25</v>
      </c>
      <c r="DE122" s="390">
        <v>1065718</v>
      </c>
      <c r="DF122" s="12">
        <f t="shared" si="298"/>
        <v>1049918</v>
      </c>
      <c r="DG122" s="416">
        <v>7900</v>
      </c>
      <c r="DH122" s="417">
        <v>0.015</v>
      </c>
      <c r="DI122" s="192"/>
      <c r="DJ122" s="192"/>
      <c r="DK122" s="389"/>
      <c r="DL122" s="390" t="str">
        <f t="shared" si="225"/>
        <v>2025//12//25</v>
      </c>
      <c r="DM122" s="390">
        <v>1443300</v>
      </c>
      <c r="DN122" s="390">
        <v>1435300</v>
      </c>
      <c r="DO122" s="416">
        <v>8000</v>
      </c>
      <c r="DP122" s="417">
        <v>0.0056</v>
      </c>
      <c r="DQ122" s="192"/>
      <c r="DR122" s="192"/>
      <c r="DS122" s="389"/>
      <c r="DT122" s="390" t="str">
        <f t="shared" si="226"/>
        <v>2025//12//25</v>
      </c>
      <c r="DU122" s="390">
        <v>1689089</v>
      </c>
      <c r="DV122" s="390">
        <v>1689389</v>
      </c>
      <c r="DW122" s="414">
        <v>-300</v>
      </c>
      <c r="DX122" s="415">
        <v>-0.0002</v>
      </c>
      <c r="DY122" s="192"/>
      <c r="DZ122" s="192"/>
      <c r="EA122" s="389"/>
      <c r="EB122" s="390" t="str">
        <f t="shared" si="227"/>
        <v>2025//12//25</v>
      </c>
      <c r="EC122" s="390">
        <v>5384967</v>
      </c>
      <c r="ED122" s="390">
        <v>5335917</v>
      </c>
      <c r="EE122" s="416">
        <v>49050</v>
      </c>
      <c r="EF122" s="417">
        <v>0.0092</v>
      </c>
      <c r="EG122" s="192"/>
      <c r="EH122" s="192"/>
      <c r="EI122" s="389"/>
      <c r="EJ122" s="390" t="str">
        <f t="shared" si="228"/>
        <v>2025//12//25</v>
      </c>
      <c r="EK122" s="390">
        <v>1449923</v>
      </c>
      <c r="EL122" s="390">
        <v>1457323</v>
      </c>
      <c r="EM122" s="414">
        <v>-7400</v>
      </c>
      <c r="EN122" s="415">
        <v>-0.0051</v>
      </c>
      <c r="EO122" s="192"/>
      <c r="EP122" s="192"/>
      <c r="EQ122" s="340"/>
      <c r="ER122" s="341" t="str">
        <f t="shared" si="229"/>
        <v>2025//12//25</v>
      </c>
      <c r="ES122" s="341">
        <v>468647</v>
      </c>
      <c r="ET122" s="341">
        <v>472397</v>
      </c>
      <c r="EU122" s="341">
        <v>-3750</v>
      </c>
      <c r="EV122" s="350">
        <v>-0.0079</v>
      </c>
      <c r="EW122" s="192"/>
      <c r="EX122" s="192"/>
      <c r="EY122" s="389"/>
      <c r="EZ122" s="390" t="str">
        <f t="shared" si="230"/>
        <v>2025//12//25</v>
      </c>
      <c r="FA122" s="390">
        <v>887108</v>
      </c>
      <c r="FB122" s="390">
        <v>928808</v>
      </c>
      <c r="FC122" s="414">
        <v>-41700</v>
      </c>
      <c r="FD122" s="415">
        <v>-0.0449</v>
      </c>
      <c r="FE122" s="192"/>
      <c r="FF122" s="192"/>
      <c r="FG122" s="192"/>
      <c r="FH122" s="390" t="str">
        <f t="shared" si="231"/>
        <v>2025//12//25</v>
      </c>
      <c r="FI122" s="392">
        <v>318195</v>
      </c>
      <c r="FJ122" s="390">
        <v>289195</v>
      </c>
      <c r="FK122" s="348">
        <v>29000</v>
      </c>
      <c r="FL122" s="349">
        <v>0.1003</v>
      </c>
      <c r="FM122" s="391"/>
      <c r="FN122" s="391"/>
      <c r="FO122" s="389"/>
      <c r="FP122" s="390" t="str">
        <f t="shared" si="232"/>
        <v>2025//12//25</v>
      </c>
      <c r="FQ122" s="390">
        <v>2607719</v>
      </c>
      <c r="FR122" s="390">
        <v>2666519</v>
      </c>
      <c r="FS122" s="414">
        <v>-58800</v>
      </c>
      <c r="FT122" s="415">
        <v>-0.0221</v>
      </c>
      <c r="FU122" s="192"/>
      <c r="FV122" s="192"/>
      <c r="FW122" s="389"/>
      <c r="FX122" s="390" t="str">
        <f t="shared" si="233"/>
        <v>2025//12//25</v>
      </c>
      <c r="FY122" s="390">
        <v>7437482</v>
      </c>
      <c r="FZ122" s="390">
        <v>7445982</v>
      </c>
      <c r="GA122" s="414">
        <v>-8500</v>
      </c>
      <c r="GB122" s="415">
        <v>-0.0011</v>
      </c>
      <c r="GC122" s="192"/>
      <c r="GD122" s="192"/>
      <c r="GE122" s="389"/>
      <c r="GF122" s="390" t="str">
        <f t="shared" si="234"/>
        <v>2025//12//25</v>
      </c>
      <c r="GG122" s="390">
        <v>4435869</v>
      </c>
      <c r="GH122" s="390">
        <v>4433169</v>
      </c>
      <c r="GI122" s="416">
        <v>2700</v>
      </c>
      <c r="GJ122" s="417">
        <v>0.0006</v>
      </c>
      <c r="GK122" s="192"/>
      <c r="GL122" s="192"/>
      <c r="GM122" s="389"/>
      <c r="GN122" s="390" t="str">
        <f t="shared" si="235"/>
        <v>2025//12//25</v>
      </c>
      <c r="GO122" s="390">
        <v>1503958</v>
      </c>
      <c r="GP122" s="390">
        <v>1492618</v>
      </c>
      <c r="GQ122" s="416">
        <v>11340</v>
      </c>
      <c r="GR122" s="417">
        <v>0.0076</v>
      </c>
      <c r="GS122" s="192"/>
      <c r="GT122" s="192"/>
      <c r="GU122" s="389"/>
      <c r="GV122" s="390" t="str">
        <f t="shared" si="236"/>
        <v>2025//12//25</v>
      </c>
      <c r="GW122" s="390">
        <v>1196349</v>
      </c>
      <c r="GX122" s="390">
        <v>1209749</v>
      </c>
      <c r="GY122" s="414">
        <v>-13400</v>
      </c>
      <c r="GZ122" s="415">
        <v>-0.0111</v>
      </c>
      <c r="HA122" s="192"/>
      <c r="HB122" s="192"/>
      <c r="HC122" s="389"/>
      <c r="HD122" s="390" t="str">
        <f t="shared" si="237"/>
        <v>2025//12//25</v>
      </c>
      <c r="HE122" s="390">
        <v>1389865</v>
      </c>
      <c r="HF122" s="390">
        <v>1397665</v>
      </c>
      <c r="HG122" s="414">
        <v>-7800</v>
      </c>
      <c r="HH122" s="415">
        <v>-0.0056</v>
      </c>
      <c r="HI122" s="391"/>
      <c r="HJ122" s="192"/>
      <c r="HK122" s="389"/>
      <c r="HL122" s="390" t="str">
        <f t="shared" si="238"/>
        <v>2025//12//25</v>
      </c>
      <c r="HM122" s="390">
        <v>172204</v>
      </c>
      <c r="HN122" s="390">
        <v>174604</v>
      </c>
      <c r="HO122" s="414">
        <v>-2400</v>
      </c>
      <c r="HP122" s="415">
        <v>-0.0137</v>
      </c>
      <c r="HQ122" s="192"/>
      <c r="HR122" s="192"/>
      <c r="HS122" s="389"/>
      <c r="HT122" s="390" t="str">
        <f t="shared" si="239"/>
        <v>2025//12//25</v>
      </c>
      <c r="HU122" s="390">
        <v>107369</v>
      </c>
      <c r="HV122" s="390">
        <v>107969</v>
      </c>
      <c r="HW122" s="414">
        <v>-600</v>
      </c>
      <c r="HX122" s="415">
        <v>-0.0056</v>
      </c>
      <c r="HY122" s="192"/>
      <c r="HZ122" s="192"/>
      <c r="IA122" s="389"/>
      <c r="IB122" s="390" t="str">
        <f t="shared" si="240"/>
        <v>2025//12//25</v>
      </c>
      <c r="IC122" s="390"/>
      <c r="ID122" s="390"/>
      <c r="IE122" s="390"/>
      <c r="IF122" s="391"/>
      <c r="IG122" s="391"/>
      <c r="IH122" s="192"/>
      <c r="II122" s="389"/>
      <c r="IJ122" s="390" t="str">
        <f t="shared" si="241"/>
        <v>2025//12//25</v>
      </c>
      <c r="IK122" s="390">
        <v>365596</v>
      </c>
      <c r="IL122" s="390">
        <v>371916</v>
      </c>
      <c r="IM122" s="414">
        <v>-6320</v>
      </c>
      <c r="IN122" s="415">
        <v>-0.017</v>
      </c>
      <c r="IO122" s="192"/>
      <c r="IP122" s="192"/>
      <c r="IQ122" s="389"/>
      <c r="IR122" s="390" t="str">
        <f t="shared" si="242"/>
        <v>2025//12//25</v>
      </c>
      <c r="IS122" s="390">
        <v>106989</v>
      </c>
      <c r="IT122" s="390">
        <v>107789</v>
      </c>
      <c r="IU122" s="414">
        <v>-800</v>
      </c>
      <c r="IV122" s="415">
        <v>-0.0074</v>
      </c>
      <c r="IW122" s="192"/>
      <c r="IX122" s="192"/>
      <c r="IY122" s="389"/>
      <c r="IZ122" s="390" t="str">
        <f t="shared" si="243"/>
        <v>2025//12//25</v>
      </c>
      <c r="JA122" s="390">
        <v>4721829</v>
      </c>
      <c r="JB122" s="390">
        <v>4699329</v>
      </c>
      <c r="JC122" s="416">
        <v>22500</v>
      </c>
      <c r="JD122" s="417">
        <v>0.0048</v>
      </c>
      <c r="JE122" s="192"/>
      <c r="JF122" s="192"/>
      <c r="JG122" s="389"/>
      <c r="JH122" s="390" t="str">
        <f t="shared" si="244"/>
        <v>2025//12//25</v>
      </c>
      <c r="JI122" s="390">
        <v>1588408</v>
      </c>
      <c r="JJ122" s="390">
        <v>1622968</v>
      </c>
      <c r="JK122" s="414">
        <v>-34560</v>
      </c>
      <c r="JL122" s="415">
        <v>-0.0213</v>
      </c>
      <c r="JM122" s="192"/>
      <c r="JN122" s="192"/>
      <c r="JP122" s="390" t="str">
        <f t="shared" si="245"/>
        <v>2025//12//25</v>
      </c>
      <c r="JQ122" s="390">
        <v>1197890</v>
      </c>
      <c r="JR122" s="390">
        <v>1202590</v>
      </c>
      <c r="JS122" s="414">
        <v>-4700</v>
      </c>
      <c r="JT122" s="415">
        <v>-0.0039</v>
      </c>
      <c r="JU122" s="192"/>
      <c r="JV122" s="192"/>
      <c r="JW122" s="409"/>
      <c r="JX122" s="390" t="str">
        <f t="shared" si="246"/>
        <v>2025//12//25</v>
      </c>
      <c r="JY122" s="390">
        <v>1503049</v>
      </c>
      <c r="JZ122" s="390">
        <v>1503049</v>
      </c>
      <c r="KA122" s="410">
        <v>0</v>
      </c>
      <c r="KB122" s="409">
        <v>0</v>
      </c>
      <c r="KC122" s="192"/>
      <c r="KD122" s="409"/>
      <c r="KF122" s="390" t="str">
        <f t="shared" si="247"/>
        <v>2025//12//25</v>
      </c>
      <c r="KG122" s="390">
        <v>902356</v>
      </c>
      <c r="KH122" s="390">
        <v>902356</v>
      </c>
      <c r="KI122" s="410">
        <v>0</v>
      </c>
      <c r="KJ122" s="409">
        <v>0</v>
      </c>
      <c r="KK122" s="391"/>
      <c r="KL122" s="391"/>
      <c r="KM122" s="389"/>
      <c r="KN122" s="390" t="str">
        <f t="shared" si="248"/>
        <v>2025//12//25</v>
      </c>
      <c r="KO122" s="390">
        <v>6649576</v>
      </c>
      <c r="KP122" s="390">
        <v>6649576</v>
      </c>
      <c r="KQ122" s="410">
        <v>0</v>
      </c>
      <c r="KR122" s="409">
        <v>0</v>
      </c>
      <c r="KS122" s="192"/>
      <c r="KT122" s="192"/>
      <c r="KU122" s="389"/>
      <c r="KV122" s="390" t="str">
        <f t="shared" si="249"/>
        <v>2025//12//25</v>
      </c>
      <c r="KW122" s="390">
        <v>1046673</v>
      </c>
      <c r="KX122" s="390">
        <v>1046673</v>
      </c>
      <c r="KY122" s="390">
        <v>0</v>
      </c>
      <c r="KZ122" s="391">
        <v>0</v>
      </c>
      <c r="LA122" s="391"/>
      <c r="LB122" s="192"/>
      <c r="LC122" s="389"/>
      <c r="LD122" s="390" t="str">
        <f t="shared" si="250"/>
        <v>2025//12//25</v>
      </c>
      <c r="LE122" s="390">
        <v>439108</v>
      </c>
      <c r="LF122" s="390">
        <v>446058</v>
      </c>
      <c r="LG122" s="414">
        <v>-6950</v>
      </c>
      <c r="LH122" s="415">
        <v>-0.0156</v>
      </c>
      <c r="LI122" s="192"/>
      <c r="LJ122" s="192"/>
      <c r="LK122" s="389"/>
      <c r="LL122" s="390" t="str">
        <f t="shared" si="251"/>
        <v>2025//12//25</v>
      </c>
      <c r="LM122" s="392">
        <v>3507595</v>
      </c>
      <c r="LN122" s="390">
        <v>3551335</v>
      </c>
      <c r="LO122" s="414">
        <v>-43740</v>
      </c>
      <c r="LP122" s="415">
        <v>-0.0123</v>
      </c>
      <c r="LQ122" s="192"/>
      <c r="LR122" s="192"/>
      <c r="LS122" s="389"/>
      <c r="LT122" s="390" t="str">
        <f t="shared" si="252"/>
        <v>2025//12//25</v>
      </c>
      <c r="LU122" s="390">
        <v>2693063</v>
      </c>
      <c r="LV122" s="390">
        <v>2710263</v>
      </c>
      <c r="LW122" s="414">
        <v>-17200</v>
      </c>
      <c r="LX122" s="415">
        <v>-0.0063</v>
      </c>
      <c r="LY122" s="192"/>
      <c r="LZ122" s="192"/>
      <c r="MA122" s="389"/>
      <c r="MB122" s="390" t="str">
        <f t="shared" si="253"/>
        <v>2025//12//25</v>
      </c>
      <c r="MC122" s="390">
        <v>854768</v>
      </c>
      <c r="MD122" s="390">
        <v>856268</v>
      </c>
      <c r="ME122" s="414">
        <v>-1500</v>
      </c>
      <c r="MF122" s="415">
        <v>-0.0018</v>
      </c>
      <c r="MG122" s="192"/>
      <c r="MH122" s="192"/>
      <c r="MI122" s="342"/>
      <c r="MJ122" s="341">
        <v>0.9816</v>
      </c>
      <c r="MK122" s="341" t="str">
        <f t="shared" si="254"/>
        <v>2025//12//25</v>
      </c>
      <c r="ML122" s="341">
        <v>232426</v>
      </c>
      <c r="MM122" s="12">
        <f t="shared" si="388"/>
        <v>230746</v>
      </c>
      <c r="MN122" s="341">
        <v>1680</v>
      </c>
      <c r="MO122" s="350">
        <v>0.0073</v>
      </c>
      <c r="MP122" s="192"/>
      <c r="MQ122" s="394"/>
      <c r="MR122" s="394"/>
      <c r="MS122" s="204">
        <v>1.2</v>
      </c>
      <c r="MT122" s="295" t="str">
        <f t="shared" si="255"/>
        <v>2025//12//25</v>
      </c>
      <c r="MU122" s="204">
        <v>17415</v>
      </c>
      <c r="MV122" s="204">
        <f t="shared" si="391"/>
        <v>17415</v>
      </c>
      <c r="MW122" s="204">
        <v>0</v>
      </c>
      <c r="MX122" s="296">
        <v>0</v>
      </c>
      <c r="MY122" s="192"/>
      <c r="MZ122" s="192"/>
      <c r="NA122" s="192"/>
      <c r="NB122" s="204">
        <v>1.215</v>
      </c>
      <c r="NC122" s="204" t="str">
        <f t="shared" si="256"/>
        <v>2025//12//25</v>
      </c>
      <c r="ND122" s="204">
        <v>26091</v>
      </c>
      <c r="NE122" s="204">
        <f t="shared" si="392"/>
        <v>26091</v>
      </c>
      <c r="NF122" s="204">
        <v>0</v>
      </c>
      <c r="NG122" s="296">
        <v>0</v>
      </c>
      <c r="NH122" s="192"/>
      <c r="NI122" s="192"/>
      <c r="NJ122" s="192"/>
      <c r="NK122" s="192"/>
      <c r="NL122" s="205">
        <v>1.1771</v>
      </c>
      <c r="NM122" s="204" t="str">
        <f t="shared" si="257"/>
        <v>2025//12//25</v>
      </c>
      <c r="NN122" s="205">
        <v>2263311</v>
      </c>
      <c r="NO122" s="8">
        <f t="shared" si="393"/>
        <v>2262411</v>
      </c>
      <c r="NP122" s="205">
        <v>900</v>
      </c>
      <c r="NQ122" s="292">
        <v>0.0004</v>
      </c>
      <c r="NR122" s="293"/>
      <c r="NS122" s="205">
        <v>1.0615</v>
      </c>
      <c r="NT122" s="294"/>
      <c r="NU122" s="204" t="str">
        <f t="shared" si="258"/>
        <v>2025//12//25</v>
      </c>
      <c r="NV122" s="205">
        <v>233976</v>
      </c>
      <c r="NW122" s="205">
        <f t="shared" si="394"/>
        <v>234126</v>
      </c>
      <c r="NX122" s="205">
        <v>-150</v>
      </c>
      <c r="NY122" s="292">
        <v>-0.0006</v>
      </c>
      <c r="NZ122" s="391"/>
      <c r="OA122" s="389"/>
      <c r="OB122" s="389"/>
      <c r="OC122" s="390" t="str">
        <f t="shared" si="259"/>
        <v>2025//12//25</v>
      </c>
      <c r="OD122" s="390">
        <v>14153</v>
      </c>
      <c r="OE122" s="390">
        <v>14459</v>
      </c>
      <c r="OF122" s="414">
        <v>-306</v>
      </c>
      <c r="OG122" s="415">
        <v>-0.0212</v>
      </c>
      <c r="OH122" s="192"/>
      <c r="OI122" s="192"/>
      <c r="OJ122" s="389"/>
      <c r="OK122" s="390" t="str">
        <f t="shared" si="260"/>
        <v>2025//12//25</v>
      </c>
      <c r="OO122" s="192"/>
      <c r="OP122" s="192"/>
      <c r="OQ122" s="192"/>
      <c r="OT122" s="26" t="str">
        <f t="shared" si="211"/>
        <v>2025//12//25</v>
      </c>
      <c r="OU122" s="206">
        <v>136512.4066</v>
      </c>
      <c r="OV122" s="8">
        <f t="shared" si="401"/>
        <v>136392.4066</v>
      </c>
      <c r="OW122" s="191">
        <f t="shared" si="402"/>
        <v>120</v>
      </c>
      <c r="OX122" s="192">
        <f t="shared" si="403"/>
        <v>0.000879814375238101</v>
      </c>
    </row>
    <row r="123" s="8" customFormat="1" ht="17" customHeight="1" spans="1:414">
      <c r="A123" s="15"/>
      <c r="B123" s="15"/>
      <c r="C123" s="385" t="s">
        <v>552</v>
      </c>
      <c r="D123" s="395">
        <v>8914099</v>
      </c>
      <c r="E123" s="395">
        <v>8904019</v>
      </c>
      <c r="F123" s="459">
        <v>10080</v>
      </c>
      <c r="G123" s="460">
        <v>0.0011</v>
      </c>
      <c r="H123" s="18"/>
      <c r="I123" s="453"/>
      <c r="J123" s="453"/>
      <c r="K123" s="386" t="str">
        <f t="shared" si="212"/>
        <v>2025//12//24</v>
      </c>
      <c r="L123" s="395">
        <v>6613084</v>
      </c>
      <c r="M123" s="395">
        <v>6610654</v>
      </c>
      <c r="N123" s="459">
        <v>2430</v>
      </c>
      <c r="O123" s="460">
        <v>0.0004</v>
      </c>
      <c r="P123" s="18"/>
      <c r="Q123" s="453"/>
      <c r="R123" s="454"/>
      <c r="S123" s="386" t="str">
        <f t="shared" si="213"/>
        <v>2025//12//24</v>
      </c>
      <c r="T123" s="395">
        <v>5727127</v>
      </c>
      <c r="U123" s="395">
        <v>5709307</v>
      </c>
      <c r="V123" s="459">
        <v>17820</v>
      </c>
      <c r="W123" s="460">
        <v>0.0031</v>
      </c>
      <c r="X123" s="18"/>
      <c r="Y123" s="453"/>
      <c r="Z123" s="454"/>
      <c r="AA123" s="386" t="str">
        <f t="shared" si="214"/>
        <v>2025//12//24</v>
      </c>
      <c r="AB123" s="395">
        <v>1875617</v>
      </c>
      <c r="AC123" s="395">
        <v>1862897</v>
      </c>
      <c r="AD123" s="459">
        <v>12720</v>
      </c>
      <c r="AE123" s="460">
        <v>0.0068</v>
      </c>
      <c r="AF123" s="18"/>
      <c r="AG123" s="453"/>
      <c r="AH123" s="454"/>
      <c r="AI123" s="386" t="str">
        <f t="shared" si="215"/>
        <v>2025//12//24</v>
      </c>
      <c r="AJ123" s="395">
        <v>2518522</v>
      </c>
      <c r="AK123" s="386">
        <v>2508522</v>
      </c>
      <c r="AL123" s="459">
        <v>10000</v>
      </c>
      <c r="AM123" s="460">
        <v>0.004</v>
      </c>
      <c r="AN123" s="18"/>
      <c r="AO123" s="18"/>
      <c r="AP123" s="454"/>
      <c r="AQ123" s="386" t="str">
        <f t="shared" si="216"/>
        <v>2025//12//24</v>
      </c>
      <c r="AR123" s="418">
        <v>3181445</v>
      </c>
      <c r="AS123" s="395">
        <v>3173545</v>
      </c>
      <c r="AT123" s="459">
        <v>7900</v>
      </c>
      <c r="AU123" s="460">
        <v>0.0025</v>
      </c>
      <c r="AV123" s="18"/>
      <c r="AW123" s="18"/>
      <c r="AX123" s="17"/>
      <c r="AY123" s="205">
        <v>4.8329</v>
      </c>
      <c r="AZ123" s="204" t="str">
        <f t="shared" si="217"/>
        <v>2025//12//24</v>
      </c>
      <c r="BA123" s="205">
        <v>4060822</v>
      </c>
      <c r="BB123" s="205">
        <f t="shared" si="279"/>
        <v>4055602</v>
      </c>
      <c r="BC123" s="205">
        <v>5220</v>
      </c>
      <c r="BD123" s="292">
        <v>0.0013</v>
      </c>
      <c r="BE123" s="18"/>
      <c r="BF123" s="18"/>
      <c r="BG123" s="74"/>
      <c r="BH123" s="387" t="str">
        <f t="shared" si="218"/>
        <v>2025//12//24</v>
      </c>
      <c r="BI123" s="387">
        <v>245027</v>
      </c>
      <c r="BJ123" s="387">
        <v>215027</v>
      </c>
      <c r="BK123" s="421">
        <v>30000</v>
      </c>
      <c r="BL123" s="422">
        <v>0.1395</v>
      </c>
      <c r="BM123" s="197"/>
      <c r="BN123" s="192"/>
      <c r="BO123" s="389"/>
      <c r="BP123" s="390" t="str">
        <f t="shared" si="219"/>
        <v>2025//12//24</v>
      </c>
      <c r="BQ123" s="392">
        <v>685962</v>
      </c>
      <c r="BR123" s="390">
        <v>690562</v>
      </c>
      <c r="BS123" s="414">
        <v>-4600</v>
      </c>
      <c r="BT123" s="415">
        <v>-0.0067</v>
      </c>
      <c r="BU123" s="192"/>
      <c r="BV123" s="192"/>
      <c r="BW123" s="389"/>
      <c r="BX123" s="390" t="str">
        <f t="shared" si="220"/>
        <v>2025//12//24</v>
      </c>
      <c r="BY123" s="390">
        <v>2057461</v>
      </c>
      <c r="BZ123" s="390">
        <v>2086261</v>
      </c>
      <c r="CA123" s="414">
        <v>-28800</v>
      </c>
      <c r="CB123" s="415">
        <v>-0.0138</v>
      </c>
      <c r="CC123" s="192"/>
      <c r="CD123" s="409"/>
      <c r="CE123" s="389"/>
      <c r="CF123" s="390" t="str">
        <f t="shared" si="221"/>
        <v>2025//12//24</v>
      </c>
      <c r="CG123" s="390">
        <v>998904</v>
      </c>
      <c r="CH123" s="12">
        <f t="shared" si="289"/>
        <v>998004</v>
      </c>
      <c r="CI123" s="12">
        <f t="shared" si="290"/>
        <v>900</v>
      </c>
      <c r="CJ123" s="199">
        <f t="shared" si="291"/>
        <v>0.0009017999927856</v>
      </c>
      <c r="CK123" s="192"/>
      <c r="CL123" s="391"/>
      <c r="CM123" s="389"/>
      <c r="CN123" s="390" t="str">
        <f t="shared" si="222"/>
        <v>2025//12//24</v>
      </c>
      <c r="CO123" s="390">
        <v>145146</v>
      </c>
      <c r="CP123" s="390">
        <v>137046</v>
      </c>
      <c r="CQ123" s="12">
        <f t="shared" si="293"/>
        <v>8100</v>
      </c>
      <c r="CR123" s="199">
        <f t="shared" si="294"/>
        <v>0.0591042423711746</v>
      </c>
      <c r="CS123" s="391"/>
      <c r="CT123" s="391"/>
      <c r="CU123" s="389"/>
      <c r="CV123" s="390" t="str">
        <f t="shared" si="223"/>
        <v>2025//12//24</v>
      </c>
      <c r="CW123" s="390">
        <v>614640</v>
      </c>
      <c r="CX123" s="390">
        <v>614640</v>
      </c>
      <c r="CY123" s="410">
        <v>0</v>
      </c>
      <c r="CZ123" s="409">
        <v>0</v>
      </c>
      <c r="DA123" s="192"/>
      <c r="DB123" s="192"/>
      <c r="DC123" s="277"/>
      <c r="DD123" s="390" t="str">
        <f t="shared" si="224"/>
        <v>2025//12//24</v>
      </c>
      <c r="DE123" s="390">
        <v>1049918</v>
      </c>
      <c r="DF123" s="12">
        <f t="shared" si="298"/>
        <v>1023518</v>
      </c>
      <c r="DG123" s="416">
        <v>13200</v>
      </c>
      <c r="DH123" s="417">
        <v>0.0258</v>
      </c>
      <c r="DI123" s="192"/>
      <c r="DJ123" s="192"/>
      <c r="DK123" s="389"/>
      <c r="DL123" s="390" t="str">
        <f t="shared" si="225"/>
        <v>2025//12//24</v>
      </c>
      <c r="DM123" s="390">
        <v>1435300</v>
      </c>
      <c r="DN123" s="390">
        <v>1454900</v>
      </c>
      <c r="DO123" s="414">
        <v>-19600</v>
      </c>
      <c r="DP123" s="415">
        <v>-0.0135</v>
      </c>
      <c r="DQ123" s="192"/>
      <c r="DR123" s="192"/>
      <c r="DS123" s="389"/>
      <c r="DT123" s="390" t="str">
        <f t="shared" si="226"/>
        <v>2025//12//24</v>
      </c>
      <c r="DU123" s="390">
        <v>1689389</v>
      </c>
      <c r="DV123" s="390">
        <v>1700489</v>
      </c>
      <c r="DW123" s="414">
        <v>-11100</v>
      </c>
      <c r="DX123" s="415">
        <v>-0.0065</v>
      </c>
      <c r="DY123" s="192"/>
      <c r="DZ123" s="192"/>
      <c r="EA123" s="389"/>
      <c r="EB123" s="390" t="str">
        <f t="shared" si="227"/>
        <v>2025//12//24</v>
      </c>
      <c r="EC123" s="390">
        <v>5335917</v>
      </c>
      <c r="ED123" s="390">
        <v>5361567</v>
      </c>
      <c r="EE123" s="414">
        <v>-25650</v>
      </c>
      <c r="EF123" s="415">
        <v>-0.0048</v>
      </c>
      <c r="EG123" s="192"/>
      <c r="EH123" s="192"/>
      <c r="EI123" s="389"/>
      <c r="EJ123" s="390" t="str">
        <f t="shared" si="228"/>
        <v>2025//12//24</v>
      </c>
      <c r="EK123" s="390">
        <v>1457323</v>
      </c>
      <c r="EL123" s="390">
        <v>1467323</v>
      </c>
      <c r="EM123" s="414">
        <v>-10000</v>
      </c>
      <c r="EN123" s="415">
        <v>-0.0068</v>
      </c>
      <c r="EO123" s="192"/>
      <c r="EP123" s="192"/>
      <c r="EQ123" s="340"/>
      <c r="ER123" s="341" t="str">
        <f t="shared" si="229"/>
        <v>2025//12//24</v>
      </c>
      <c r="ES123" s="341">
        <v>472397</v>
      </c>
      <c r="ET123" s="341">
        <v>476747</v>
      </c>
      <c r="EU123" s="341">
        <v>-4350</v>
      </c>
      <c r="EV123" s="350">
        <v>-0.0091</v>
      </c>
      <c r="EW123" s="192"/>
      <c r="EX123" s="192"/>
      <c r="EY123" s="389"/>
      <c r="EZ123" s="390" t="str">
        <f t="shared" si="230"/>
        <v>2025//12//24</v>
      </c>
      <c r="FA123" s="390">
        <v>928808</v>
      </c>
      <c r="FB123" s="390">
        <v>954408</v>
      </c>
      <c r="FC123" s="414">
        <v>-25600</v>
      </c>
      <c r="FD123" s="415">
        <v>-0.0268</v>
      </c>
      <c r="FE123" s="192"/>
      <c r="FF123" s="192"/>
      <c r="FG123" s="192"/>
      <c r="FH123" s="390" t="str">
        <f t="shared" si="231"/>
        <v>2025//12//24</v>
      </c>
      <c r="FI123" s="392">
        <v>289195</v>
      </c>
      <c r="FJ123" s="390">
        <v>275895</v>
      </c>
      <c r="FK123" s="348">
        <v>13300</v>
      </c>
      <c r="FL123" s="349">
        <v>0.0482</v>
      </c>
      <c r="FM123" s="391"/>
      <c r="FN123" s="391"/>
      <c r="FO123" s="389"/>
      <c r="FP123" s="390" t="str">
        <f t="shared" si="232"/>
        <v>2025//12//24</v>
      </c>
      <c r="FQ123" s="390">
        <v>2666519</v>
      </c>
      <c r="FR123" s="390">
        <v>2677919</v>
      </c>
      <c r="FS123" s="414">
        <v>-11400</v>
      </c>
      <c r="FT123" s="415">
        <v>-0.0043</v>
      </c>
      <c r="FU123" s="192"/>
      <c r="FV123" s="192"/>
      <c r="FW123" s="389"/>
      <c r="FX123" s="390" t="str">
        <f t="shared" si="233"/>
        <v>2025//12//24</v>
      </c>
      <c r="FY123" s="390">
        <v>7445982</v>
      </c>
      <c r="FZ123" s="390">
        <v>7420382</v>
      </c>
      <c r="GA123" s="416">
        <v>25600</v>
      </c>
      <c r="GB123" s="417">
        <v>0.0034</v>
      </c>
      <c r="GC123" s="192"/>
      <c r="GD123" s="192"/>
      <c r="GE123" s="389"/>
      <c r="GF123" s="390" t="str">
        <f t="shared" si="234"/>
        <v>2025//12//24</v>
      </c>
      <c r="GG123" s="390">
        <v>4433169</v>
      </c>
      <c r="GH123" s="390">
        <v>4424069</v>
      </c>
      <c r="GI123" s="416">
        <v>9100</v>
      </c>
      <c r="GJ123" s="417">
        <v>0.0021</v>
      </c>
      <c r="GK123" s="192"/>
      <c r="GL123" s="192"/>
      <c r="GM123" s="389"/>
      <c r="GN123" s="390" t="str">
        <f t="shared" si="235"/>
        <v>2025//12//24</v>
      </c>
      <c r="GO123" s="390">
        <v>1492618</v>
      </c>
      <c r="GP123" s="390">
        <v>1494358</v>
      </c>
      <c r="GQ123" s="414">
        <v>-1740</v>
      </c>
      <c r="GR123" s="415">
        <v>-0.0012</v>
      </c>
      <c r="GS123" s="192"/>
      <c r="GT123" s="192"/>
      <c r="GU123" s="389"/>
      <c r="GV123" s="390" t="str">
        <f t="shared" si="236"/>
        <v>2025//12//24</v>
      </c>
      <c r="GW123" s="390">
        <v>1209749</v>
      </c>
      <c r="GX123" s="390">
        <v>1239349</v>
      </c>
      <c r="GY123" s="414">
        <v>-29600</v>
      </c>
      <c r="GZ123" s="415">
        <v>-0.0239</v>
      </c>
      <c r="HA123" s="192"/>
      <c r="HB123" s="192"/>
      <c r="HC123" s="389"/>
      <c r="HD123" s="390" t="str">
        <f t="shared" si="237"/>
        <v>2025//12//24</v>
      </c>
      <c r="HE123" s="390">
        <v>1397665</v>
      </c>
      <c r="HF123" s="390">
        <v>1395565</v>
      </c>
      <c r="HG123" s="416">
        <v>2100</v>
      </c>
      <c r="HH123" s="417">
        <v>0.0015</v>
      </c>
      <c r="HI123" s="391"/>
      <c r="HJ123" s="192"/>
      <c r="HK123" s="389"/>
      <c r="HL123" s="390" t="str">
        <f t="shared" si="238"/>
        <v>2025//12//24</v>
      </c>
      <c r="HM123" s="390">
        <v>174604</v>
      </c>
      <c r="HN123" s="390">
        <v>176004</v>
      </c>
      <c r="HO123" s="414">
        <v>-1400</v>
      </c>
      <c r="HP123" s="415">
        <v>-0.008</v>
      </c>
      <c r="HQ123" s="192"/>
      <c r="HR123" s="192"/>
      <c r="HS123" s="389"/>
      <c r="HT123" s="390" t="str">
        <f t="shared" si="239"/>
        <v>2025//12//24</v>
      </c>
      <c r="HU123" s="390">
        <v>107969</v>
      </c>
      <c r="HV123" s="390">
        <v>110669</v>
      </c>
      <c r="HW123" s="414">
        <v>-2700</v>
      </c>
      <c r="HX123" s="415">
        <v>-0.0244</v>
      </c>
      <c r="HY123" s="192"/>
      <c r="HZ123" s="192"/>
      <c r="IA123" s="389"/>
      <c r="IB123" s="390" t="str">
        <f t="shared" si="240"/>
        <v>2025//12//24</v>
      </c>
      <c r="IC123" s="390"/>
      <c r="ID123" s="390"/>
      <c r="IE123" s="390"/>
      <c r="IF123" s="391"/>
      <c r="IG123" s="391"/>
      <c r="IH123" s="192"/>
      <c r="II123" s="389"/>
      <c r="IJ123" s="390" t="str">
        <f t="shared" si="241"/>
        <v>2025//12//24</v>
      </c>
      <c r="IK123" s="390">
        <v>371916</v>
      </c>
      <c r="IL123" s="390">
        <v>377436</v>
      </c>
      <c r="IM123" s="414">
        <v>-5520</v>
      </c>
      <c r="IN123" s="415">
        <v>-0.0146</v>
      </c>
      <c r="IO123" s="192"/>
      <c r="IP123" s="192"/>
      <c r="IQ123" s="389"/>
      <c r="IR123" s="390" t="str">
        <f t="shared" si="242"/>
        <v>2025//12//24</v>
      </c>
      <c r="IS123" s="390">
        <v>107789</v>
      </c>
      <c r="IT123" s="390">
        <v>108489</v>
      </c>
      <c r="IU123" s="414">
        <v>-700</v>
      </c>
      <c r="IV123" s="415">
        <v>-0.0065</v>
      </c>
      <c r="IW123" s="192"/>
      <c r="IX123" s="192"/>
      <c r="IY123" s="389"/>
      <c r="IZ123" s="390" t="str">
        <f t="shared" si="243"/>
        <v>2025//12//24</v>
      </c>
      <c r="JA123" s="390">
        <v>4699329</v>
      </c>
      <c r="JB123" s="390">
        <v>4712829</v>
      </c>
      <c r="JC123" s="414">
        <v>-13500</v>
      </c>
      <c r="JD123" s="415">
        <v>-0.0029</v>
      </c>
      <c r="JE123" s="192"/>
      <c r="JF123" s="192"/>
      <c r="JG123" s="389"/>
      <c r="JH123" s="390" t="str">
        <f t="shared" si="244"/>
        <v>2025//12//24</v>
      </c>
      <c r="JI123" s="390">
        <v>1622968</v>
      </c>
      <c r="JJ123" s="390">
        <v>1659988</v>
      </c>
      <c r="JK123" s="414">
        <v>-37020</v>
      </c>
      <c r="JL123" s="415">
        <v>-0.0223</v>
      </c>
      <c r="JM123" s="192"/>
      <c r="JN123" s="192"/>
      <c r="JP123" s="390" t="str">
        <f t="shared" si="245"/>
        <v>2025//12//24</v>
      </c>
      <c r="JQ123" s="390">
        <v>1202590</v>
      </c>
      <c r="JR123" s="390">
        <v>1218490</v>
      </c>
      <c r="JS123" s="414">
        <v>-15900</v>
      </c>
      <c r="JT123" s="415">
        <v>-0.013</v>
      </c>
      <c r="JU123" s="192"/>
      <c r="JV123" s="192"/>
      <c r="JW123" s="409"/>
      <c r="JX123" s="390" t="str">
        <f t="shared" si="246"/>
        <v>2025//12//24</v>
      </c>
      <c r="JY123" s="390">
        <v>1503049</v>
      </c>
      <c r="JZ123" s="390">
        <v>1503049</v>
      </c>
      <c r="KA123" s="410">
        <v>0</v>
      </c>
      <c r="KB123" s="409">
        <v>0</v>
      </c>
      <c r="KC123" s="192"/>
      <c r="KD123" s="409"/>
      <c r="KF123" s="390" t="str">
        <f t="shared" si="247"/>
        <v>2025//12//24</v>
      </c>
      <c r="KG123" s="390">
        <v>902356</v>
      </c>
      <c r="KH123" s="390">
        <v>902356</v>
      </c>
      <c r="KI123" s="410">
        <v>0</v>
      </c>
      <c r="KJ123" s="409">
        <v>0</v>
      </c>
      <c r="KK123" s="391"/>
      <c r="KL123" s="391"/>
      <c r="KM123" s="389"/>
      <c r="KN123" s="390" t="str">
        <f t="shared" si="248"/>
        <v>2025//12//24</v>
      </c>
      <c r="KO123" s="390">
        <v>6649576</v>
      </c>
      <c r="KP123" s="390">
        <v>6649576</v>
      </c>
      <c r="KQ123" s="410">
        <v>0</v>
      </c>
      <c r="KR123" s="409">
        <v>0</v>
      </c>
      <c r="KS123" s="192"/>
      <c r="KT123" s="192"/>
      <c r="KU123" s="389"/>
      <c r="KV123" s="390" t="str">
        <f t="shared" si="249"/>
        <v>2025//12//24</v>
      </c>
      <c r="KW123" s="390">
        <v>1046673</v>
      </c>
      <c r="KX123" s="390">
        <v>1046673</v>
      </c>
      <c r="KY123" s="390">
        <v>0</v>
      </c>
      <c r="KZ123" s="391">
        <v>0</v>
      </c>
      <c r="LA123" s="391"/>
      <c r="LB123" s="192"/>
      <c r="LC123" s="389"/>
      <c r="LD123" s="390" t="str">
        <f t="shared" si="250"/>
        <v>2025//12//24</v>
      </c>
      <c r="LE123" s="390">
        <v>446058</v>
      </c>
      <c r="LF123" s="390">
        <v>452058</v>
      </c>
      <c r="LG123" s="414">
        <v>-6000</v>
      </c>
      <c r="LH123" s="415">
        <v>-0.0133</v>
      </c>
      <c r="LI123" s="192"/>
      <c r="LJ123" s="192"/>
      <c r="LK123" s="389"/>
      <c r="LL123" s="390" t="str">
        <f t="shared" si="251"/>
        <v>2025//12//24</v>
      </c>
      <c r="LM123" s="392">
        <v>3551335</v>
      </c>
      <c r="LN123" s="390">
        <v>3563395</v>
      </c>
      <c r="LO123" s="414">
        <v>-12060</v>
      </c>
      <c r="LP123" s="415">
        <v>-0.0034</v>
      </c>
      <c r="LQ123" s="192"/>
      <c r="LR123" s="192"/>
      <c r="LS123" s="389"/>
      <c r="LT123" s="390" t="str">
        <f t="shared" si="252"/>
        <v>2025//12//24</v>
      </c>
      <c r="LU123" s="390">
        <v>2710263</v>
      </c>
      <c r="LV123" s="390">
        <v>2695663</v>
      </c>
      <c r="LW123" s="416">
        <v>14600</v>
      </c>
      <c r="LX123" s="417">
        <v>0.0054</v>
      </c>
      <c r="LY123" s="192"/>
      <c r="LZ123" s="192"/>
      <c r="MA123" s="389"/>
      <c r="MB123" s="390" t="str">
        <f t="shared" si="253"/>
        <v>2025//12//24</v>
      </c>
      <c r="MC123" s="390">
        <v>856268</v>
      </c>
      <c r="MD123" s="390">
        <v>853918</v>
      </c>
      <c r="ME123" s="416">
        <v>2350</v>
      </c>
      <c r="MF123" s="417">
        <v>0.0028</v>
      </c>
      <c r="MG123" s="192"/>
      <c r="MH123" s="192"/>
      <c r="MI123" s="342"/>
      <c r="MJ123" s="341">
        <v>0.9758</v>
      </c>
      <c r="MK123" s="341" t="str">
        <f t="shared" si="254"/>
        <v>2025//12//24</v>
      </c>
      <c r="ML123" s="341">
        <v>230746</v>
      </c>
      <c r="MM123" s="12">
        <f t="shared" si="388"/>
        <v>231946</v>
      </c>
      <c r="MN123" s="341">
        <v>-1200</v>
      </c>
      <c r="MO123" s="350">
        <v>-0.0052</v>
      </c>
      <c r="MP123" s="192"/>
      <c r="MQ123" s="394"/>
      <c r="MR123" s="394"/>
      <c r="MS123" s="204">
        <v>1.1972</v>
      </c>
      <c r="MT123" s="295" t="str">
        <f t="shared" si="255"/>
        <v>2025//12//24</v>
      </c>
      <c r="MU123" s="204">
        <v>17415</v>
      </c>
      <c r="MV123" s="204">
        <f t="shared" si="391"/>
        <v>17515</v>
      </c>
      <c r="MW123" s="204">
        <v>-100</v>
      </c>
      <c r="MX123" s="296">
        <v>-0.0057</v>
      </c>
      <c r="MY123" s="192"/>
      <c r="MZ123" s="192"/>
      <c r="NA123" s="192"/>
      <c r="NB123" s="204">
        <v>1.221</v>
      </c>
      <c r="NC123" s="204" t="str">
        <f t="shared" si="256"/>
        <v>2025//12//24</v>
      </c>
      <c r="ND123" s="204">
        <v>26091</v>
      </c>
      <c r="NE123" s="204">
        <f t="shared" si="392"/>
        <v>25891</v>
      </c>
      <c r="NF123" s="204">
        <v>200</v>
      </c>
      <c r="NG123" s="296">
        <v>0.0077</v>
      </c>
      <c r="NH123" s="192"/>
      <c r="NI123" s="192"/>
      <c r="NJ123" s="192"/>
      <c r="NK123" s="192"/>
      <c r="NL123" s="205">
        <v>1.1753</v>
      </c>
      <c r="NM123" s="204" t="str">
        <f t="shared" si="257"/>
        <v>2025//12//24</v>
      </c>
      <c r="NN123" s="205">
        <v>2262411</v>
      </c>
      <c r="NO123" s="8">
        <f t="shared" si="393"/>
        <v>2261811</v>
      </c>
      <c r="NP123" s="205">
        <v>600</v>
      </c>
      <c r="NQ123" s="292">
        <v>0.0003</v>
      </c>
      <c r="NR123" s="293"/>
      <c r="NS123" s="205">
        <v>1.0586</v>
      </c>
      <c r="NT123" s="294"/>
      <c r="NU123" s="204" t="str">
        <f t="shared" si="258"/>
        <v>2025//12//24</v>
      </c>
      <c r="NV123" s="205">
        <v>234126</v>
      </c>
      <c r="NW123" s="205">
        <f t="shared" si="394"/>
        <v>234626</v>
      </c>
      <c r="NX123" s="205">
        <v>-500</v>
      </c>
      <c r="NY123" s="292">
        <v>-0.0021</v>
      </c>
      <c r="NZ123" s="391"/>
      <c r="OA123" s="389"/>
      <c r="OB123" s="389"/>
      <c r="OC123" s="390" t="str">
        <f t="shared" si="259"/>
        <v>2025//12//24</v>
      </c>
      <c r="OD123" s="390">
        <v>14459</v>
      </c>
      <c r="OE123" s="390">
        <v>14604</v>
      </c>
      <c r="OF123" s="414">
        <v>-145</v>
      </c>
      <c r="OG123" s="415">
        <v>-0.0099</v>
      </c>
      <c r="OH123" s="192"/>
      <c r="OI123" s="192"/>
      <c r="OJ123" s="389"/>
      <c r="OK123" s="390" t="str">
        <f t="shared" si="260"/>
        <v>2025//12//24</v>
      </c>
      <c r="OO123" s="192"/>
      <c r="OP123" s="192"/>
      <c r="OQ123" s="192"/>
      <c r="OT123" s="26" t="str">
        <f t="shared" si="211"/>
        <v>2025//12//24</v>
      </c>
      <c r="OU123" s="206">
        <v>136392.4066</v>
      </c>
      <c r="OV123" s="8">
        <f t="shared" si="401"/>
        <v>136272.4066</v>
      </c>
      <c r="OW123" s="191">
        <f t="shared" si="402"/>
        <v>120</v>
      </c>
      <c r="OX123" s="192">
        <f t="shared" si="403"/>
        <v>0.000880589130213541</v>
      </c>
    </row>
    <row r="124" s="8" customFormat="1" ht="17" customHeight="1" spans="1:414">
      <c r="A124" s="15"/>
      <c r="B124" s="15"/>
      <c r="C124" s="385" t="s">
        <v>553</v>
      </c>
      <c r="D124" s="395">
        <v>8904019</v>
      </c>
      <c r="E124" s="395">
        <v>8954239</v>
      </c>
      <c r="F124" s="403">
        <v>-50220</v>
      </c>
      <c r="G124" s="404">
        <v>-0.0056</v>
      </c>
      <c r="H124" s="18"/>
      <c r="I124" s="453"/>
      <c r="J124" s="453"/>
      <c r="K124" s="386" t="str">
        <f t="shared" si="212"/>
        <v>2025//12//23</v>
      </c>
      <c r="L124" s="395">
        <v>6610654</v>
      </c>
      <c r="M124" s="395">
        <v>6620734</v>
      </c>
      <c r="N124" s="403">
        <v>-10080</v>
      </c>
      <c r="O124" s="404">
        <v>-0.0015</v>
      </c>
      <c r="P124" s="18"/>
      <c r="Q124" s="453"/>
      <c r="R124" s="454"/>
      <c r="S124" s="386" t="str">
        <f t="shared" si="213"/>
        <v>2025//12//23</v>
      </c>
      <c r="T124" s="395">
        <v>5709307</v>
      </c>
      <c r="U124" s="395">
        <v>5750887</v>
      </c>
      <c r="V124" s="403">
        <v>-41580</v>
      </c>
      <c r="W124" s="404">
        <v>-0.0072</v>
      </c>
      <c r="X124" s="18"/>
      <c r="Y124" s="453"/>
      <c r="Z124" s="454"/>
      <c r="AA124" s="386" t="str">
        <f t="shared" si="214"/>
        <v>2025//12//23</v>
      </c>
      <c r="AB124" s="395">
        <v>1862897</v>
      </c>
      <c r="AC124" s="395">
        <v>1865097</v>
      </c>
      <c r="AD124" s="403">
        <v>-2200</v>
      </c>
      <c r="AE124" s="404">
        <v>-0.0012</v>
      </c>
      <c r="AF124" s="18"/>
      <c r="AG124" s="453"/>
      <c r="AH124" s="454"/>
      <c r="AI124" s="386" t="str">
        <f t="shared" si="215"/>
        <v>2025//12//23</v>
      </c>
      <c r="AJ124" s="395">
        <v>2508522</v>
      </c>
      <c r="AK124" s="386">
        <v>2513722</v>
      </c>
      <c r="AL124" s="403">
        <v>-5200</v>
      </c>
      <c r="AM124" s="404">
        <v>-0.0021</v>
      </c>
      <c r="AN124" s="18"/>
      <c r="AO124" s="18"/>
      <c r="AP124" s="454"/>
      <c r="AQ124" s="386" t="str">
        <f t="shared" si="216"/>
        <v>2025//12//23</v>
      </c>
      <c r="AR124" s="418">
        <v>3173545</v>
      </c>
      <c r="AS124" s="395">
        <v>3197545</v>
      </c>
      <c r="AT124" s="403">
        <v>-24000</v>
      </c>
      <c r="AU124" s="404">
        <v>-0.0075</v>
      </c>
      <c r="AV124" s="18"/>
      <c r="AW124" s="18"/>
      <c r="AX124" s="17"/>
      <c r="AY124" s="205">
        <v>4.8189</v>
      </c>
      <c r="AZ124" s="204" t="str">
        <f t="shared" si="217"/>
        <v>2025//12//23</v>
      </c>
      <c r="BA124" s="205">
        <v>4055602</v>
      </c>
      <c r="BB124" s="205">
        <f t="shared" si="279"/>
        <v>4070362</v>
      </c>
      <c r="BC124" s="205">
        <v>-14760</v>
      </c>
      <c r="BD124" s="292">
        <v>-0.0036</v>
      </c>
      <c r="BE124" s="18"/>
      <c r="BF124" s="18"/>
      <c r="BG124" s="74"/>
      <c r="BH124" s="387" t="str">
        <f t="shared" si="218"/>
        <v>2025//12//23</v>
      </c>
      <c r="BI124" s="387">
        <v>215027</v>
      </c>
      <c r="BJ124" s="387">
        <v>212427</v>
      </c>
      <c r="BK124" s="421">
        <v>2600</v>
      </c>
      <c r="BL124" s="422">
        <v>0.0122</v>
      </c>
      <c r="BM124" s="197"/>
      <c r="BN124" s="192"/>
      <c r="BO124" s="389"/>
      <c r="BP124" s="390" t="str">
        <f t="shared" si="219"/>
        <v>2025//12//23</v>
      </c>
      <c r="BQ124" s="392">
        <v>690562</v>
      </c>
      <c r="BR124" s="390">
        <v>687062</v>
      </c>
      <c r="BS124" s="416">
        <v>3500</v>
      </c>
      <c r="BT124" s="417">
        <v>0.0051</v>
      </c>
      <c r="BU124" s="192"/>
      <c r="BV124" s="192"/>
      <c r="BW124" s="389"/>
      <c r="BX124" s="390" t="str">
        <f t="shared" si="220"/>
        <v>2025//12//23</v>
      </c>
      <c r="BY124" s="390">
        <v>2086261</v>
      </c>
      <c r="BZ124" s="390">
        <v>2091061</v>
      </c>
      <c r="CA124" s="414">
        <v>-4800</v>
      </c>
      <c r="CB124" s="415">
        <v>-0.0023</v>
      </c>
      <c r="CC124" s="192"/>
      <c r="CD124" s="409"/>
      <c r="CE124" s="389"/>
      <c r="CF124" s="390" t="str">
        <f t="shared" si="221"/>
        <v>2025//12//23</v>
      </c>
      <c r="CG124" s="390">
        <v>998004</v>
      </c>
      <c r="CH124" s="12">
        <f t="shared" si="289"/>
        <v>1002604</v>
      </c>
      <c r="CI124" s="12">
        <f t="shared" si="290"/>
        <v>-4600</v>
      </c>
      <c r="CJ124" s="199">
        <f t="shared" si="291"/>
        <v>-0.00458805271074123</v>
      </c>
      <c r="CK124" s="192"/>
      <c r="CL124" s="391"/>
      <c r="CM124" s="389"/>
      <c r="CN124" s="390" t="str">
        <f t="shared" si="222"/>
        <v>2025//12//23</v>
      </c>
      <c r="CO124" s="390">
        <v>137046</v>
      </c>
      <c r="CP124" s="390">
        <v>134946</v>
      </c>
      <c r="CQ124" s="12">
        <f t="shared" si="293"/>
        <v>2100</v>
      </c>
      <c r="CR124" s="199">
        <f t="shared" si="294"/>
        <v>0.0155617802676626</v>
      </c>
      <c r="CS124" s="391"/>
      <c r="CT124" s="391"/>
      <c r="CU124" s="389"/>
      <c r="CV124" s="390" t="str">
        <f t="shared" si="223"/>
        <v>2025//12//23</v>
      </c>
      <c r="CW124" s="390">
        <v>614640</v>
      </c>
      <c r="CX124" s="390">
        <v>620740</v>
      </c>
      <c r="CY124" s="414">
        <v>-6100</v>
      </c>
      <c r="CZ124" s="415">
        <v>-0.0098</v>
      </c>
      <c r="DA124" s="192"/>
      <c r="DB124" s="192"/>
      <c r="DC124" s="277"/>
      <c r="DD124" s="390" t="str">
        <f t="shared" si="224"/>
        <v>2025//12//23</v>
      </c>
      <c r="DE124" s="390">
        <v>1023518</v>
      </c>
      <c r="DF124" s="12">
        <f t="shared" si="298"/>
        <v>1011918</v>
      </c>
      <c r="DG124" s="416">
        <v>5800</v>
      </c>
      <c r="DH124" s="417">
        <v>0.0115</v>
      </c>
      <c r="DI124" s="192"/>
      <c r="DJ124" s="192"/>
      <c r="DK124" s="389"/>
      <c r="DL124" s="390" t="str">
        <f t="shared" si="225"/>
        <v>2025//12//23</v>
      </c>
      <c r="DM124" s="390">
        <v>1454900</v>
      </c>
      <c r="DN124" s="390">
        <v>1460300</v>
      </c>
      <c r="DO124" s="414">
        <v>-5400</v>
      </c>
      <c r="DP124" s="415">
        <v>-0.0037</v>
      </c>
      <c r="DQ124" s="192"/>
      <c r="DR124" s="192"/>
      <c r="DS124" s="389"/>
      <c r="DT124" s="390" t="str">
        <f t="shared" si="226"/>
        <v>2025//12//23</v>
      </c>
      <c r="DU124" s="390">
        <v>1700489</v>
      </c>
      <c r="DV124" s="390">
        <v>1718189</v>
      </c>
      <c r="DW124" s="414">
        <v>-17700</v>
      </c>
      <c r="DX124" s="415">
        <v>-0.0103</v>
      </c>
      <c r="DY124" s="192"/>
      <c r="DZ124" s="192"/>
      <c r="EA124" s="389"/>
      <c r="EB124" s="390" t="str">
        <f t="shared" si="227"/>
        <v>2025//12//23</v>
      </c>
      <c r="EC124" s="390">
        <v>5361567</v>
      </c>
      <c r="ED124" s="390">
        <v>5404767</v>
      </c>
      <c r="EE124" s="414">
        <v>-43200</v>
      </c>
      <c r="EF124" s="415">
        <v>-0.008</v>
      </c>
      <c r="EG124" s="192"/>
      <c r="EH124" s="192"/>
      <c r="EI124" s="389"/>
      <c r="EJ124" s="390" t="str">
        <f t="shared" si="228"/>
        <v>2025//12//23</v>
      </c>
      <c r="EK124" s="390">
        <v>1467323</v>
      </c>
      <c r="EL124" s="390">
        <v>1478923</v>
      </c>
      <c r="EM124" s="414">
        <v>-11600</v>
      </c>
      <c r="EN124" s="415">
        <v>-0.0078</v>
      </c>
      <c r="EO124" s="192"/>
      <c r="EP124" s="192"/>
      <c r="EQ124" s="340"/>
      <c r="ER124" s="341" t="str">
        <f t="shared" si="229"/>
        <v>2025//12//23</v>
      </c>
      <c r="ES124" s="341">
        <v>476747</v>
      </c>
      <c r="ET124" s="341">
        <v>481397</v>
      </c>
      <c r="EU124" s="341">
        <v>-4650</v>
      </c>
      <c r="EV124" s="350">
        <v>-0.0097</v>
      </c>
      <c r="EW124" s="192"/>
      <c r="EX124" s="192"/>
      <c r="EY124" s="389"/>
      <c r="EZ124" s="390" t="str">
        <f t="shared" si="230"/>
        <v>2025//12//23</v>
      </c>
      <c r="FA124" s="390">
        <v>954408</v>
      </c>
      <c r="FB124" s="390">
        <v>972308</v>
      </c>
      <c r="FC124" s="414">
        <v>-17900</v>
      </c>
      <c r="FD124" s="415">
        <v>-0.0184</v>
      </c>
      <c r="FE124" s="192"/>
      <c r="FF124" s="192"/>
      <c r="FG124" s="192"/>
      <c r="FH124" s="390" t="str">
        <f t="shared" si="231"/>
        <v>2025//12//23</v>
      </c>
      <c r="FI124" s="392">
        <v>275895</v>
      </c>
      <c r="FJ124" s="390">
        <v>250495</v>
      </c>
      <c r="FK124" s="348">
        <v>25400</v>
      </c>
      <c r="FL124" s="349">
        <v>0.1014</v>
      </c>
      <c r="FM124" s="391"/>
      <c r="FN124" s="391"/>
      <c r="FO124" s="389"/>
      <c r="FP124" s="390" t="str">
        <f t="shared" si="232"/>
        <v>2025//12//23</v>
      </c>
      <c r="FQ124" s="390">
        <v>2677919</v>
      </c>
      <c r="FR124" s="390">
        <v>2661419</v>
      </c>
      <c r="FS124" s="416">
        <v>16500</v>
      </c>
      <c r="FT124" s="417">
        <v>0.0062</v>
      </c>
      <c r="FU124" s="192"/>
      <c r="FV124" s="192"/>
      <c r="FW124" s="389"/>
      <c r="FX124" s="390" t="str">
        <f t="shared" si="233"/>
        <v>2025//12//23</v>
      </c>
      <c r="FY124" s="390">
        <v>7420382</v>
      </c>
      <c r="FZ124" s="390">
        <v>7376482</v>
      </c>
      <c r="GA124" s="416">
        <v>43900</v>
      </c>
      <c r="GB124" s="417">
        <v>0.006</v>
      </c>
      <c r="GC124" s="192"/>
      <c r="GD124" s="192"/>
      <c r="GE124" s="389"/>
      <c r="GF124" s="390" t="str">
        <f t="shared" si="234"/>
        <v>2025//12//23</v>
      </c>
      <c r="GG124" s="390">
        <v>4424069</v>
      </c>
      <c r="GH124" s="390">
        <v>4416969</v>
      </c>
      <c r="GI124" s="416">
        <v>7100</v>
      </c>
      <c r="GJ124" s="417">
        <v>0.0016</v>
      </c>
      <c r="GK124" s="192"/>
      <c r="GL124" s="192"/>
      <c r="GM124" s="389"/>
      <c r="GN124" s="390" t="str">
        <f t="shared" si="235"/>
        <v>2025//12//23</v>
      </c>
      <c r="GO124" s="390">
        <v>1494358</v>
      </c>
      <c r="GP124" s="390">
        <v>1504678</v>
      </c>
      <c r="GQ124" s="414">
        <v>-10320</v>
      </c>
      <c r="GR124" s="415">
        <v>-0.0069</v>
      </c>
      <c r="GS124" s="192"/>
      <c r="GT124" s="192"/>
      <c r="GU124" s="389"/>
      <c r="GV124" s="390" t="str">
        <f t="shared" si="236"/>
        <v>2025//12//23</v>
      </c>
      <c r="GW124" s="390">
        <v>1239349</v>
      </c>
      <c r="GX124" s="390">
        <v>1241149</v>
      </c>
      <c r="GY124" s="414">
        <v>-1800</v>
      </c>
      <c r="GZ124" s="415">
        <v>-0.0015</v>
      </c>
      <c r="HA124" s="192"/>
      <c r="HB124" s="192"/>
      <c r="HC124" s="389"/>
      <c r="HD124" s="390" t="str">
        <f t="shared" si="237"/>
        <v>2025//12//23</v>
      </c>
      <c r="HE124" s="390">
        <v>1395565</v>
      </c>
      <c r="HF124" s="390">
        <v>1407965</v>
      </c>
      <c r="HG124" s="414">
        <v>-12400</v>
      </c>
      <c r="HH124" s="415">
        <v>-0.0088</v>
      </c>
      <c r="HI124" s="391"/>
      <c r="HJ124" s="192"/>
      <c r="HK124" s="389"/>
      <c r="HL124" s="390" t="str">
        <f t="shared" si="238"/>
        <v>2025//12//23</v>
      </c>
      <c r="HM124" s="390">
        <v>176004</v>
      </c>
      <c r="HN124" s="390">
        <v>177454</v>
      </c>
      <c r="HO124" s="414">
        <v>-1450</v>
      </c>
      <c r="HP124" s="415">
        <v>-0.0082</v>
      </c>
      <c r="HQ124" s="192"/>
      <c r="HR124" s="192"/>
      <c r="HS124" s="389"/>
      <c r="HT124" s="390" t="str">
        <f t="shared" si="239"/>
        <v>2025//12//23</v>
      </c>
      <c r="HU124" s="390">
        <v>110669</v>
      </c>
      <c r="HV124" s="390">
        <v>117069</v>
      </c>
      <c r="HW124" s="414">
        <v>-6400</v>
      </c>
      <c r="HX124" s="415">
        <v>-0.0547</v>
      </c>
      <c r="HY124" s="192"/>
      <c r="HZ124" s="192"/>
      <c r="IA124" s="389"/>
      <c r="IB124" s="390" t="str">
        <f t="shared" si="240"/>
        <v>2025//12//23</v>
      </c>
      <c r="IC124" s="390"/>
      <c r="ID124" s="390"/>
      <c r="IE124" s="390"/>
      <c r="IF124" s="391"/>
      <c r="IG124" s="391"/>
      <c r="IH124" s="192"/>
      <c r="II124" s="389"/>
      <c r="IJ124" s="390" t="str">
        <f t="shared" si="241"/>
        <v>2025//12//23</v>
      </c>
      <c r="IK124" s="390">
        <v>377436</v>
      </c>
      <c r="IL124" s="390">
        <v>379356</v>
      </c>
      <c r="IM124" s="414">
        <v>-1920</v>
      </c>
      <c r="IN124" s="415">
        <v>-0.0051</v>
      </c>
      <c r="IO124" s="192"/>
      <c r="IP124" s="192"/>
      <c r="IQ124" s="389"/>
      <c r="IR124" s="390" t="str">
        <f t="shared" si="242"/>
        <v>2025//12//23</v>
      </c>
      <c r="IS124" s="390">
        <v>108489</v>
      </c>
      <c r="IT124" s="390">
        <v>109289</v>
      </c>
      <c r="IU124" s="414">
        <v>-800</v>
      </c>
      <c r="IV124" s="415">
        <v>-0.0073</v>
      </c>
      <c r="IW124" s="192"/>
      <c r="IX124" s="192"/>
      <c r="IY124" s="389"/>
      <c r="IZ124" s="390" t="str">
        <f t="shared" si="243"/>
        <v>2025//12//23</v>
      </c>
      <c r="JA124" s="390">
        <v>4712829</v>
      </c>
      <c r="JB124" s="390">
        <v>4707429</v>
      </c>
      <c r="JC124" s="416">
        <v>5400</v>
      </c>
      <c r="JD124" s="417">
        <v>0.0011</v>
      </c>
      <c r="JE124" s="192"/>
      <c r="JF124" s="192"/>
      <c r="JG124" s="389"/>
      <c r="JH124" s="390" t="str">
        <f t="shared" si="244"/>
        <v>2025//12//23</v>
      </c>
      <c r="JI124" s="390">
        <v>1659988</v>
      </c>
      <c r="JJ124" s="390">
        <v>1671028</v>
      </c>
      <c r="JK124" s="414">
        <v>-11040</v>
      </c>
      <c r="JL124" s="415">
        <v>-0.0066</v>
      </c>
      <c r="JM124" s="192"/>
      <c r="JN124" s="192"/>
      <c r="JP124" s="390" t="str">
        <f t="shared" si="245"/>
        <v>2025//12//23</v>
      </c>
      <c r="JQ124" s="390">
        <v>1218490</v>
      </c>
      <c r="JR124" s="390">
        <v>1202590</v>
      </c>
      <c r="JS124" s="416">
        <v>15900</v>
      </c>
      <c r="JT124" s="417">
        <v>0.0132</v>
      </c>
      <c r="JU124" s="192"/>
      <c r="JV124" s="192"/>
      <c r="JW124" s="409"/>
      <c r="JX124" s="390" t="str">
        <f t="shared" si="246"/>
        <v>2025//12//23</v>
      </c>
      <c r="JY124" s="390">
        <v>1503049</v>
      </c>
      <c r="JZ124" s="390">
        <v>1505699</v>
      </c>
      <c r="KA124" s="414">
        <v>-2650</v>
      </c>
      <c r="KB124" s="415">
        <v>-0.0018</v>
      </c>
      <c r="KC124" s="192"/>
      <c r="KD124" s="409"/>
      <c r="KF124" s="390" t="str">
        <f t="shared" si="247"/>
        <v>2025//12//23</v>
      </c>
      <c r="KG124" s="390">
        <v>902356</v>
      </c>
      <c r="KH124" s="390">
        <v>902356</v>
      </c>
      <c r="KI124" s="410">
        <v>0</v>
      </c>
      <c r="KJ124" s="409">
        <v>0</v>
      </c>
      <c r="KK124" s="391"/>
      <c r="KL124" s="391"/>
      <c r="KM124" s="389"/>
      <c r="KN124" s="390" t="str">
        <f t="shared" si="248"/>
        <v>2025//12//23</v>
      </c>
      <c r="KO124" s="390">
        <v>6649576</v>
      </c>
      <c r="KP124" s="390">
        <v>6649576</v>
      </c>
      <c r="KQ124" s="410">
        <v>0</v>
      </c>
      <c r="KR124" s="409">
        <v>0</v>
      </c>
      <c r="KS124" s="192"/>
      <c r="KT124" s="192"/>
      <c r="KU124" s="389"/>
      <c r="KV124" s="390" t="str">
        <f t="shared" si="249"/>
        <v>2025//12//23</v>
      </c>
      <c r="KW124" s="390">
        <v>1046673</v>
      </c>
      <c r="KX124" s="390">
        <v>1046673</v>
      </c>
      <c r="KY124" s="390">
        <v>0</v>
      </c>
      <c r="KZ124" s="391">
        <v>0</v>
      </c>
      <c r="LA124" s="391"/>
      <c r="LB124" s="192"/>
      <c r="LC124" s="389"/>
      <c r="LD124" s="390" t="str">
        <f t="shared" si="250"/>
        <v>2025//12//23</v>
      </c>
      <c r="LE124" s="390">
        <v>452058</v>
      </c>
      <c r="LF124" s="390">
        <v>460708</v>
      </c>
      <c r="LG124" s="414">
        <v>-8650</v>
      </c>
      <c r="LH124" s="415">
        <v>-0.0188</v>
      </c>
      <c r="LI124" s="192"/>
      <c r="LJ124" s="192"/>
      <c r="LK124" s="389"/>
      <c r="LL124" s="390" t="str">
        <f t="shared" si="251"/>
        <v>2025//12//23</v>
      </c>
      <c r="LM124" s="392">
        <v>3563395</v>
      </c>
      <c r="LN124" s="390">
        <v>3572215</v>
      </c>
      <c r="LO124" s="414">
        <v>-8820</v>
      </c>
      <c r="LP124" s="415">
        <v>-0.0025</v>
      </c>
      <c r="LQ124" s="192"/>
      <c r="LR124" s="192"/>
      <c r="LS124" s="389"/>
      <c r="LT124" s="390" t="str">
        <f t="shared" si="252"/>
        <v>2025//12//23</v>
      </c>
      <c r="LU124" s="390">
        <v>2695663</v>
      </c>
      <c r="LV124" s="390">
        <v>2646063</v>
      </c>
      <c r="LW124" s="416">
        <v>49600</v>
      </c>
      <c r="LX124" s="417">
        <v>0.0187</v>
      </c>
      <c r="LY124" s="192"/>
      <c r="LZ124" s="192"/>
      <c r="MA124" s="389"/>
      <c r="MB124" s="390" t="str">
        <f t="shared" si="253"/>
        <v>2025//12//23</v>
      </c>
      <c r="MC124" s="390">
        <v>853918</v>
      </c>
      <c r="MD124" s="390">
        <v>849818</v>
      </c>
      <c r="ME124" s="416">
        <v>4100</v>
      </c>
      <c r="MF124" s="417">
        <v>0.0048</v>
      </c>
      <c r="MG124" s="192"/>
      <c r="MH124" s="192"/>
      <c r="MI124" s="342"/>
      <c r="MJ124" s="341">
        <v>0.9663</v>
      </c>
      <c r="MK124" s="341" t="str">
        <f t="shared" si="254"/>
        <v>2025//12//23</v>
      </c>
      <c r="ML124" s="341">
        <v>231946</v>
      </c>
      <c r="MM124" s="12">
        <f t="shared" si="388"/>
        <v>235906</v>
      </c>
      <c r="MN124" s="341">
        <v>-3960</v>
      </c>
      <c r="MO124" s="350">
        <v>-0.0168</v>
      </c>
      <c r="MP124" s="192"/>
      <c r="MQ124" s="394"/>
      <c r="MR124" s="394"/>
      <c r="MS124" s="204">
        <v>1.1942</v>
      </c>
      <c r="MT124" s="295" t="str">
        <f t="shared" si="255"/>
        <v>2025//12//23</v>
      </c>
      <c r="MU124" s="204">
        <v>17515</v>
      </c>
      <c r="MV124" s="204">
        <f t="shared" si="391"/>
        <v>17615</v>
      </c>
      <c r="MW124" s="204">
        <v>-100</v>
      </c>
      <c r="MX124" s="296">
        <v>-0.0057</v>
      </c>
      <c r="MY124" s="192"/>
      <c r="MZ124" s="192"/>
      <c r="NA124" s="192"/>
      <c r="NB124" s="204">
        <v>1.218</v>
      </c>
      <c r="NC124" s="204" t="str">
        <f t="shared" si="256"/>
        <v>2025//12//23</v>
      </c>
      <c r="ND124" s="204">
        <v>25891</v>
      </c>
      <c r="NE124" s="204">
        <f t="shared" si="392"/>
        <v>25891</v>
      </c>
      <c r="NF124" s="204">
        <v>0</v>
      </c>
      <c r="NG124" s="296">
        <v>0</v>
      </c>
      <c r="NH124" s="192"/>
      <c r="NI124" s="192"/>
      <c r="NJ124" s="192"/>
      <c r="NK124" s="192"/>
      <c r="NL124" s="205">
        <v>1.1745</v>
      </c>
      <c r="NM124" s="204" t="str">
        <f t="shared" si="257"/>
        <v>2025//12//23</v>
      </c>
      <c r="NN124" s="205">
        <v>2261811</v>
      </c>
      <c r="NO124" s="8">
        <f t="shared" si="393"/>
        <v>2257711</v>
      </c>
      <c r="NP124" s="205">
        <v>4100</v>
      </c>
      <c r="NQ124" s="292">
        <v>0.0018</v>
      </c>
      <c r="NR124" s="293"/>
      <c r="NS124" s="205">
        <v>1.057</v>
      </c>
      <c r="NT124" s="294"/>
      <c r="NU124" s="204" t="str">
        <f t="shared" si="258"/>
        <v>2025//12//23</v>
      </c>
      <c r="NV124" s="205">
        <v>234626</v>
      </c>
      <c r="NW124" s="205">
        <f t="shared" si="394"/>
        <v>235176</v>
      </c>
      <c r="NX124" s="205">
        <v>-550</v>
      </c>
      <c r="NY124" s="292">
        <v>-0.0023</v>
      </c>
      <c r="NZ124" s="391"/>
      <c r="OA124" s="389"/>
      <c r="OB124" s="389"/>
      <c r="OC124" s="390" t="str">
        <f t="shared" si="259"/>
        <v>2025//12//23</v>
      </c>
      <c r="OD124" s="390">
        <v>14604</v>
      </c>
      <c r="OE124" s="390">
        <v>14710</v>
      </c>
      <c r="OF124" s="414">
        <v>-106</v>
      </c>
      <c r="OG124" s="415">
        <v>-0.0072</v>
      </c>
      <c r="OH124" s="192"/>
      <c r="OI124" s="192"/>
      <c r="OJ124" s="389"/>
      <c r="OK124" s="390" t="str">
        <f t="shared" si="260"/>
        <v>2025//12//23</v>
      </c>
      <c r="OO124" s="192"/>
      <c r="OP124" s="192"/>
      <c r="OQ124" s="192"/>
      <c r="OT124" s="26" t="str">
        <f t="shared" si="211"/>
        <v>2025//12//23</v>
      </c>
      <c r="OU124" s="206">
        <v>136272.4066</v>
      </c>
      <c r="OV124" s="8">
        <f t="shared" si="401"/>
        <v>136152.4066</v>
      </c>
      <c r="OW124" s="191">
        <f t="shared" si="402"/>
        <v>120</v>
      </c>
      <c r="OX124" s="192">
        <f t="shared" si="403"/>
        <v>0.000881365250873208</v>
      </c>
    </row>
    <row r="125" s="8" customFormat="1" ht="17" customHeight="1" spans="1:414">
      <c r="A125" s="15"/>
      <c r="B125" s="15"/>
      <c r="C125" s="385" t="s">
        <v>554</v>
      </c>
      <c r="D125" s="395">
        <v>8954239</v>
      </c>
      <c r="E125" s="395">
        <v>9003469</v>
      </c>
      <c r="F125" s="403">
        <v>-49230</v>
      </c>
      <c r="G125" s="404">
        <v>-0.0055</v>
      </c>
      <c r="H125" s="18"/>
      <c r="I125" s="453"/>
      <c r="J125" s="453"/>
      <c r="K125" s="386" t="str">
        <f t="shared" si="212"/>
        <v>2025//12//22</v>
      </c>
      <c r="L125" s="395">
        <v>6620734</v>
      </c>
      <c r="M125" s="395">
        <v>6639814</v>
      </c>
      <c r="N125" s="403">
        <v>-19080</v>
      </c>
      <c r="O125" s="404">
        <v>-0.0029</v>
      </c>
      <c r="P125" s="18"/>
      <c r="Q125" s="453"/>
      <c r="R125" s="454"/>
      <c r="S125" s="386" t="str">
        <f t="shared" si="213"/>
        <v>2025//12//22</v>
      </c>
      <c r="T125" s="395">
        <v>5750887</v>
      </c>
      <c r="U125" s="395">
        <v>5748547</v>
      </c>
      <c r="V125" s="459">
        <v>2340</v>
      </c>
      <c r="W125" s="460">
        <v>0.0004</v>
      </c>
      <c r="X125" s="18"/>
      <c r="Y125" s="453"/>
      <c r="Z125" s="454"/>
      <c r="AA125" s="386" t="str">
        <f t="shared" si="214"/>
        <v>2025//12//22</v>
      </c>
      <c r="AB125" s="395">
        <v>1865097</v>
      </c>
      <c r="AC125" s="395">
        <v>1873377</v>
      </c>
      <c r="AD125" s="403">
        <v>-8280</v>
      </c>
      <c r="AE125" s="404">
        <v>-0.0044</v>
      </c>
      <c r="AF125" s="18"/>
      <c r="AG125" s="453"/>
      <c r="AH125" s="454"/>
      <c r="AI125" s="386" t="str">
        <f t="shared" si="215"/>
        <v>2025//12//22</v>
      </c>
      <c r="AJ125" s="395">
        <v>2513722</v>
      </c>
      <c r="AK125" s="386">
        <v>2526122</v>
      </c>
      <c r="AL125" s="403">
        <v>-12400</v>
      </c>
      <c r="AM125" s="404">
        <v>-0.0049</v>
      </c>
      <c r="AN125" s="18"/>
      <c r="AO125" s="18"/>
      <c r="AP125" s="454"/>
      <c r="AQ125" s="386" t="str">
        <f t="shared" si="216"/>
        <v>2025//12//22</v>
      </c>
      <c r="AR125" s="418">
        <v>3197545</v>
      </c>
      <c r="AS125" s="395">
        <v>3229745</v>
      </c>
      <c r="AT125" s="403">
        <v>-32200</v>
      </c>
      <c r="AU125" s="404">
        <v>-0.01</v>
      </c>
      <c r="AV125" s="18"/>
      <c r="AW125" s="18"/>
      <c r="AX125" s="17"/>
      <c r="AY125" s="205">
        <v>4.8093</v>
      </c>
      <c r="AZ125" s="204" t="str">
        <f t="shared" si="217"/>
        <v>2025//12//22</v>
      </c>
      <c r="BA125" s="205">
        <v>4070362</v>
      </c>
      <c r="BB125" s="205">
        <f t="shared" si="279"/>
        <v>4084042</v>
      </c>
      <c r="BC125" s="205">
        <v>-13680</v>
      </c>
      <c r="BD125" s="292">
        <v>-0.0033</v>
      </c>
      <c r="BE125" s="18"/>
      <c r="BF125" s="18"/>
      <c r="BG125" s="74"/>
      <c r="BH125" s="387" t="str">
        <f t="shared" si="218"/>
        <v>2025//12//22</v>
      </c>
      <c r="BI125" s="387">
        <v>212427</v>
      </c>
      <c r="BJ125" s="387">
        <v>214227</v>
      </c>
      <c r="BK125" s="462">
        <v>-1800</v>
      </c>
      <c r="BL125" s="463">
        <v>-0.0084</v>
      </c>
      <c r="BM125" s="197"/>
      <c r="BN125" s="192"/>
      <c r="BO125" s="389"/>
      <c r="BP125" s="390" t="str">
        <f t="shared" si="219"/>
        <v>2025//12//22</v>
      </c>
      <c r="BQ125" s="392">
        <v>687062</v>
      </c>
      <c r="BR125" s="390">
        <v>682862</v>
      </c>
      <c r="BS125" s="416">
        <v>4200</v>
      </c>
      <c r="BT125" s="417">
        <v>0.0062</v>
      </c>
      <c r="BU125" s="192"/>
      <c r="BV125" s="192"/>
      <c r="BW125" s="389"/>
      <c r="BX125" s="390" t="str">
        <f t="shared" si="220"/>
        <v>2025//12//22</v>
      </c>
      <c r="BY125" s="390">
        <v>2091061</v>
      </c>
      <c r="BZ125" s="390">
        <v>2065411</v>
      </c>
      <c r="CA125" s="416">
        <v>25650</v>
      </c>
      <c r="CB125" s="417">
        <v>0.0124</v>
      </c>
      <c r="CC125" s="192"/>
      <c r="CD125" s="409"/>
      <c r="CE125" s="389"/>
      <c r="CF125" s="390" t="str">
        <f t="shared" si="221"/>
        <v>2025//12//22</v>
      </c>
      <c r="CG125" s="390">
        <v>1002604</v>
      </c>
      <c r="CH125" s="12">
        <f t="shared" si="289"/>
        <v>990454</v>
      </c>
      <c r="CI125" s="12">
        <f t="shared" si="290"/>
        <v>12150</v>
      </c>
      <c r="CJ125" s="199">
        <f t="shared" si="291"/>
        <v>0.0122671017533374</v>
      </c>
      <c r="CK125" s="192"/>
      <c r="CL125" s="391"/>
      <c r="CM125" s="389"/>
      <c r="CN125" s="390" t="str">
        <f t="shared" si="222"/>
        <v>2025//12//22</v>
      </c>
      <c r="CO125" s="390">
        <v>134946</v>
      </c>
      <c r="CP125" s="390">
        <v>136346</v>
      </c>
      <c r="CQ125" s="12">
        <f t="shared" si="293"/>
        <v>-1400</v>
      </c>
      <c r="CR125" s="199">
        <f t="shared" si="294"/>
        <v>-0.0102679946606428</v>
      </c>
      <c r="CS125" s="391"/>
      <c r="CT125" s="391"/>
      <c r="CU125" s="389"/>
      <c r="CV125" s="390" t="str">
        <f t="shared" si="223"/>
        <v>2025//12//22</v>
      </c>
      <c r="CW125" s="390">
        <v>620740</v>
      </c>
      <c r="CX125" s="390">
        <v>624590</v>
      </c>
      <c r="CY125" s="414">
        <v>-3850</v>
      </c>
      <c r="CZ125" s="415">
        <v>-0.0062</v>
      </c>
      <c r="DA125" s="192"/>
      <c r="DB125" s="192"/>
      <c r="DC125" s="277"/>
      <c r="DD125" s="390" t="str">
        <f t="shared" si="224"/>
        <v>2025//12//22</v>
      </c>
      <c r="DE125" s="390">
        <v>1011918</v>
      </c>
      <c r="DF125" s="12">
        <f t="shared" si="298"/>
        <v>1025718</v>
      </c>
      <c r="DG125" s="414">
        <v>-6900</v>
      </c>
      <c r="DH125" s="415">
        <v>-0.0135</v>
      </c>
      <c r="DI125" s="192"/>
      <c r="DJ125" s="192"/>
      <c r="DK125" s="389"/>
      <c r="DL125" s="390" t="str">
        <f t="shared" si="225"/>
        <v>2025//12//22</v>
      </c>
      <c r="DM125" s="390">
        <v>1460300</v>
      </c>
      <c r="DN125" s="390">
        <v>1492100</v>
      </c>
      <c r="DO125" s="414">
        <v>-31800</v>
      </c>
      <c r="DP125" s="415">
        <v>-0.0213</v>
      </c>
      <c r="DQ125" s="192"/>
      <c r="DR125" s="192"/>
      <c r="DS125" s="389"/>
      <c r="DT125" s="390" t="str">
        <f t="shared" si="226"/>
        <v>2025//12//22</v>
      </c>
      <c r="DU125" s="390">
        <v>1718189</v>
      </c>
      <c r="DV125" s="390">
        <v>1746089</v>
      </c>
      <c r="DW125" s="414">
        <v>-27900</v>
      </c>
      <c r="DX125" s="415">
        <v>-0.016</v>
      </c>
      <c r="DY125" s="192"/>
      <c r="DZ125" s="192"/>
      <c r="EA125" s="389"/>
      <c r="EB125" s="390" t="str">
        <f t="shared" si="227"/>
        <v>2025//12//22</v>
      </c>
      <c r="EC125" s="390">
        <v>5404767</v>
      </c>
      <c r="ED125" s="390">
        <v>5431767</v>
      </c>
      <c r="EE125" s="414">
        <v>-27000</v>
      </c>
      <c r="EF125" s="415">
        <v>-0.005</v>
      </c>
      <c r="EG125" s="192"/>
      <c r="EH125" s="192"/>
      <c r="EI125" s="389"/>
      <c r="EJ125" s="390" t="str">
        <f t="shared" si="228"/>
        <v>2025//12//22</v>
      </c>
      <c r="EK125" s="390">
        <v>1478923</v>
      </c>
      <c r="EL125" s="390">
        <v>1493323</v>
      </c>
      <c r="EM125" s="414">
        <v>-14400</v>
      </c>
      <c r="EN125" s="415">
        <v>-0.0096</v>
      </c>
      <c r="EO125" s="192"/>
      <c r="EP125" s="192"/>
      <c r="EQ125" s="340"/>
      <c r="ER125" s="341" t="str">
        <f t="shared" si="229"/>
        <v>2025//12//22</v>
      </c>
      <c r="ES125" s="341">
        <v>481397</v>
      </c>
      <c r="ET125" s="341">
        <v>485297</v>
      </c>
      <c r="EU125" s="341">
        <v>-3900</v>
      </c>
      <c r="EV125" s="350">
        <v>-0.008</v>
      </c>
      <c r="EW125" s="192"/>
      <c r="EX125" s="192"/>
      <c r="EY125" s="389"/>
      <c r="EZ125" s="390" t="str">
        <f t="shared" si="230"/>
        <v>2025//12//22</v>
      </c>
      <c r="FA125" s="390">
        <v>972308</v>
      </c>
      <c r="FB125" s="390">
        <v>985108</v>
      </c>
      <c r="FC125" s="414">
        <v>-12800</v>
      </c>
      <c r="FD125" s="415">
        <v>-0.013</v>
      </c>
      <c r="FE125" s="192"/>
      <c r="FF125" s="192"/>
      <c r="FG125" s="192"/>
      <c r="FH125" s="390" t="str">
        <f t="shared" si="231"/>
        <v>2025//12//22</v>
      </c>
      <c r="FI125" s="392">
        <v>250495</v>
      </c>
      <c r="FJ125" s="390">
        <v>241795</v>
      </c>
      <c r="FK125" s="348">
        <v>8700</v>
      </c>
      <c r="FL125" s="349">
        <v>0.036</v>
      </c>
      <c r="FM125" s="391"/>
      <c r="FN125" s="391"/>
      <c r="FO125" s="389"/>
      <c r="FP125" s="390" t="str">
        <f t="shared" si="232"/>
        <v>2025//12//22</v>
      </c>
      <c r="FQ125" s="390">
        <v>2661419</v>
      </c>
      <c r="FR125" s="390">
        <v>2647319</v>
      </c>
      <c r="FS125" s="416">
        <v>14100</v>
      </c>
      <c r="FT125" s="417">
        <v>0.0053</v>
      </c>
      <c r="FU125" s="192"/>
      <c r="FV125" s="192"/>
      <c r="FW125" s="389"/>
      <c r="FX125" s="390" t="str">
        <f t="shared" si="233"/>
        <v>2025//12//22</v>
      </c>
      <c r="FY125" s="390">
        <v>7376482</v>
      </c>
      <c r="FZ125" s="390">
        <v>7347982</v>
      </c>
      <c r="GA125" s="416">
        <v>28500</v>
      </c>
      <c r="GB125" s="417">
        <v>0.0039</v>
      </c>
      <c r="GC125" s="192"/>
      <c r="GD125" s="192"/>
      <c r="GE125" s="389"/>
      <c r="GF125" s="390" t="str">
        <f t="shared" si="234"/>
        <v>2025//12//22</v>
      </c>
      <c r="GG125" s="390">
        <v>4416969</v>
      </c>
      <c r="GH125" s="390">
        <v>4403969</v>
      </c>
      <c r="GI125" s="416">
        <v>13000</v>
      </c>
      <c r="GJ125" s="417">
        <v>0.003</v>
      </c>
      <c r="GK125" s="192"/>
      <c r="GL125" s="192"/>
      <c r="GM125" s="389"/>
      <c r="GN125" s="390" t="str">
        <f t="shared" si="235"/>
        <v>2025//12//22</v>
      </c>
      <c r="GO125" s="390">
        <v>1504678</v>
      </c>
      <c r="GP125" s="390">
        <v>1492498</v>
      </c>
      <c r="GQ125" s="416">
        <v>12180</v>
      </c>
      <c r="GR125" s="417">
        <v>0.0082</v>
      </c>
      <c r="GS125" s="192"/>
      <c r="GT125" s="192"/>
      <c r="GU125" s="389"/>
      <c r="GV125" s="390" t="str">
        <f t="shared" si="236"/>
        <v>2025//12//22</v>
      </c>
      <c r="GW125" s="390">
        <v>1241149</v>
      </c>
      <c r="GX125" s="390">
        <v>1244749</v>
      </c>
      <c r="GY125" s="414">
        <v>-3600</v>
      </c>
      <c r="GZ125" s="415">
        <v>-0.0029</v>
      </c>
      <c r="HA125" s="192"/>
      <c r="HB125" s="192"/>
      <c r="HC125" s="389"/>
      <c r="HD125" s="390" t="str">
        <f t="shared" si="237"/>
        <v>2025//12//22</v>
      </c>
      <c r="HE125" s="390">
        <v>1407965</v>
      </c>
      <c r="HF125" s="390">
        <v>1427265</v>
      </c>
      <c r="HG125" s="414">
        <v>-19300</v>
      </c>
      <c r="HH125" s="415">
        <v>-0.0135</v>
      </c>
      <c r="HI125" s="391"/>
      <c r="HJ125" s="192"/>
      <c r="HK125" s="389"/>
      <c r="HL125" s="390" t="str">
        <f t="shared" si="238"/>
        <v>2025//12//22</v>
      </c>
      <c r="HM125" s="390">
        <v>177454</v>
      </c>
      <c r="HN125" s="390">
        <v>178204</v>
      </c>
      <c r="HO125" s="414">
        <v>-750</v>
      </c>
      <c r="HP125" s="415">
        <v>-0.0042</v>
      </c>
      <c r="HQ125" s="192"/>
      <c r="HR125" s="192"/>
      <c r="HS125" s="389"/>
      <c r="HT125" s="390" t="str">
        <f t="shared" si="239"/>
        <v>2025//12//22</v>
      </c>
      <c r="HU125" s="390">
        <v>117069</v>
      </c>
      <c r="HV125" s="390">
        <v>117569</v>
      </c>
      <c r="HW125" s="414">
        <v>-500</v>
      </c>
      <c r="HX125" s="415">
        <v>-0.0043</v>
      </c>
      <c r="HY125" s="192"/>
      <c r="HZ125" s="192"/>
      <c r="IA125" s="389"/>
      <c r="IB125" s="390" t="str">
        <f t="shared" si="240"/>
        <v>2025//12//22</v>
      </c>
      <c r="IC125" s="390"/>
      <c r="ID125" s="390"/>
      <c r="IE125" s="390"/>
      <c r="IF125" s="391"/>
      <c r="IG125" s="391"/>
      <c r="IH125" s="192"/>
      <c r="II125" s="389"/>
      <c r="IJ125" s="390" t="str">
        <f t="shared" si="241"/>
        <v>2025//12//22</v>
      </c>
      <c r="IK125" s="390">
        <v>379356</v>
      </c>
      <c r="IL125" s="390">
        <v>383836</v>
      </c>
      <c r="IM125" s="414">
        <v>-4480</v>
      </c>
      <c r="IN125" s="415">
        <v>-0.0117</v>
      </c>
      <c r="IO125" s="192"/>
      <c r="IP125" s="192"/>
      <c r="IQ125" s="389"/>
      <c r="IR125" s="390" t="str">
        <f t="shared" si="242"/>
        <v>2025//12//22</v>
      </c>
      <c r="IS125" s="390">
        <v>109289</v>
      </c>
      <c r="IT125" s="390">
        <v>110489</v>
      </c>
      <c r="IU125" s="414">
        <v>-1200</v>
      </c>
      <c r="IV125" s="415">
        <v>-0.0109</v>
      </c>
      <c r="IW125" s="192"/>
      <c r="IX125" s="192"/>
      <c r="IY125" s="389"/>
      <c r="IZ125" s="390" t="str">
        <f t="shared" si="243"/>
        <v>2025//12//22</v>
      </c>
      <c r="JA125" s="390">
        <v>4707429</v>
      </c>
      <c r="JB125" s="390">
        <v>4692829</v>
      </c>
      <c r="JC125" s="416">
        <v>14600</v>
      </c>
      <c r="JD125" s="417">
        <v>0.0031</v>
      </c>
      <c r="JE125" s="192"/>
      <c r="JF125" s="192"/>
      <c r="JG125" s="389"/>
      <c r="JH125" s="390" t="str">
        <f t="shared" si="244"/>
        <v>2025//12//22</v>
      </c>
      <c r="JI125" s="390">
        <v>1671028</v>
      </c>
      <c r="JJ125" s="390">
        <v>1676548</v>
      </c>
      <c r="JK125" s="414">
        <v>-5520</v>
      </c>
      <c r="JL125" s="415">
        <v>-0.0033</v>
      </c>
      <c r="JM125" s="192"/>
      <c r="JN125" s="192"/>
      <c r="JP125" s="390" t="str">
        <f t="shared" si="245"/>
        <v>2025//12//22</v>
      </c>
      <c r="JQ125" s="390">
        <v>1202590</v>
      </c>
      <c r="JR125" s="390">
        <v>1176590</v>
      </c>
      <c r="JS125" s="416">
        <v>26000</v>
      </c>
      <c r="JT125" s="417">
        <v>0.0221</v>
      </c>
      <c r="JU125" s="192"/>
      <c r="JV125" s="192"/>
      <c r="JW125" s="409"/>
      <c r="JX125" s="390" t="str">
        <f t="shared" si="246"/>
        <v>2025//12//22</v>
      </c>
      <c r="JY125" s="390">
        <v>1505699</v>
      </c>
      <c r="JZ125" s="390">
        <v>1511849</v>
      </c>
      <c r="KA125" s="414">
        <v>-6150</v>
      </c>
      <c r="KB125" s="415">
        <v>-0.0041</v>
      </c>
      <c r="KC125" s="192"/>
      <c r="KD125" s="409"/>
      <c r="KF125" s="390" t="str">
        <f t="shared" si="247"/>
        <v>2025//12//22</v>
      </c>
      <c r="KG125" s="390">
        <v>902356</v>
      </c>
      <c r="KH125" s="390">
        <v>903156</v>
      </c>
      <c r="KI125" s="414">
        <v>-800</v>
      </c>
      <c r="KJ125" s="415">
        <v>-0.0009</v>
      </c>
      <c r="KK125" s="391"/>
      <c r="KL125" s="391"/>
      <c r="KM125" s="389"/>
      <c r="KN125" s="390" t="str">
        <f t="shared" si="248"/>
        <v>2025//12//22</v>
      </c>
      <c r="KO125" s="390">
        <v>6649576</v>
      </c>
      <c r="KP125" s="390">
        <v>6649576</v>
      </c>
      <c r="KQ125" s="410">
        <v>0</v>
      </c>
      <c r="KR125" s="409">
        <v>0</v>
      </c>
      <c r="KS125" s="192"/>
      <c r="KT125" s="192"/>
      <c r="KU125" s="389"/>
      <c r="KV125" s="390" t="str">
        <f t="shared" si="249"/>
        <v>2025//12//22</v>
      </c>
      <c r="KW125" s="390">
        <v>1046673</v>
      </c>
      <c r="KX125" s="390">
        <v>1046673</v>
      </c>
      <c r="KY125" s="390">
        <v>0</v>
      </c>
      <c r="KZ125" s="391">
        <v>0</v>
      </c>
      <c r="LA125" s="391"/>
      <c r="LB125" s="192"/>
      <c r="LC125" s="389"/>
      <c r="LD125" s="390" t="str">
        <f t="shared" si="250"/>
        <v>2025//12//22</v>
      </c>
      <c r="LE125" s="390">
        <v>460708</v>
      </c>
      <c r="LF125" s="390">
        <v>465208</v>
      </c>
      <c r="LG125" s="414">
        <v>-4500</v>
      </c>
      <c r="LH125" s="415">
        <v>-0.0097</v>
      </c>
      <c r="LI125" s="192"/>
      <c r="LJ125" s="192"/>
      <c r="LK125" s="389"/>
      <c r="LL125" s="390" t="str">
        <f t="shared" si="251"/>
        <v>2025//12//22</v>
      </c>
      <c r="LM125" s="392">
        <v>3572215</v>
      </c>
      <c r="LN125" s="390">
        <v>3588775</v>
      </c>
      <c r="LO125" s="414">
        <v>-16560</v>
      </c>
      <c r="LP125" s="415">
        <v>-0.0046</v>
      </c>
      <c r="LQ125" s="192"/>
      <c r="LR125" s="192"/>
      <c r="LS125" s="389"/>
      <c r="LT125" s="390" t="str">
        <f t="shared" si="252"/>
        <v>2025//12//22</v>
      </c>
      <c r="LU125" s="390">
        <v>2646063</v>
      </c>
      <c r="LV125" s="390">
        <v>2621663</v>
      </c>
      <c r="LW125" s="416">
        <v>24400</v>
      </c>
      <c r="LX125" s="417">
        <v>0.0093</v>
      </c>
      <c r="LY125" s="192"/>
      <c r="LZ125" s="192"/>
      <c r="MA125" s="389"/>
      <c r="MB125" s="390" t="str">
        <f t="shared" si="253"/>
        <v>2025//12//22</v>
      </c>
      <c r="MC125" s="390">
        <v>849818</v>
      </c>
      <c r="MD125" s="390">
        <v>846168</v>
      </c>
      <c r="ME125" s="416">
        <v>3650</v>
      </c>
      <c r="MF125" s="417">
        <v>0.0043</v>
      </c>
      <c r="MG125" s="192"/>
      <c r="MH125" s="192"/>
      <c r="MI125" s="342"/>
      <c r="MJ125" s="341">
        <v>0.9713</v>
      </c>
      <c r="MK125" s="341" t="str">
        <f t="shared" si="254"/>
        <v>2025//12//22</v>
      </c>
      <c r="ML125" s="341">
        <v>235906</v>
      </c>
      <c r="MM125" s="12">
        <f t="shared" si="388"/>
        <v>237106</v>
      </c>
      <c r="MN125" s="341">
        <v>-1200</v>
      </c>
      <c r="MO125" s="350">
        <v>-0.0051</v>
      </c>
      <c r="MP125" s="192"/>
      <c r="MQ125" s="394"/>
      <c r="MR125" s="394"/>
      <c r="MS125" s="204">
        <v>1.1906</v>
      </c>
      <c r="MT125" s="295" t="str">
        <f t="shared" si="255"/>
        <v>2025//12//22</v>
      </c>
      <c r="MU125" s="204">
        <v>17615</v>
      </c>
      <c r="MV125" s="204">
        <f t="shared" si="391"/>
        <v>17615</v>
      </c>
      <c r="MW125" s="204">
        <v>0</v>
      </c>
      <c r="MX125" s="296">
        <v>0</v>
      </c>
      <c r="MY125" s="192"/>
      <c r="MZ125" s="192"/>
      <c r="NA125" s="192"/>
      <c r="NB125" s="204">
        <v>1.212</v>
      </c>
      <c r="NC125" s="204" t="str">
        <f t="shared" si="256"/>
        <v>2025//12//22</v>
      </c>
      <c r="ND125" s="204">
        <v>25891</v>
      </c>
      <c r="NE125" s="204">
        <f t="shared" si="392"/>
        <v>25891</v>
      </c>
      <c r="NF125" s="204">
        <v>0</v>
      </c>
      <c r="NG125" s="296">
        <v>0</v>
      </c>
      <c r="NH125" s="192"/>
      <c r="NI125" s="192"/>
      <c r="NJ125" s="192"/>
      <c r="NK125" s="192"/>
      <c r="NL125" s="205">
        <v>1.1724</v>
      </c>
      <c r="NM125" s="204" t="str">
        <f t="shared" si="257"/>
        <v>2025//12//22</v>
      </c>
      <c r="NN125" s="205">
        <v>2257711</v>
      </c>
      <c r="NO125" s="8">
        <f t="shared" si="393"/>
        <v>2231711</v>
      </c>
      <c r="NP125" s="205">
        <v>26000</v>
      </c>
      <c r="NQ125" s="292">
        <v>0.0117</v>
      </c>
      <c r="NR125" s="293"/>
      <c r="NS125" s="205">
        <v>1.0627</v>
      </c>
      <c r="NT125" s="294"/>
      <c r="NU125" s="204" t="str">
        <f t="shared" si="258"/>
        <v>2025//12//22</v>
      </c>
      <c r="NV125" s="205">
        <v>235176</v>
      </c>
      <c r="NW125" s="205">
        <f t="shared" si="394"/>
        <v>235276</v>
      </c>
      <c r="NX125" s="205">
        <v>-100</v>
      </c>
      <c r="NY125" s="292">
        <v>-0.0004</v>
      </c>
      <c r="NZ125" s="391"/>
      <c r="OA125" s="389"/>
      <c r="OB125" s="389"/>
      <c r="OC125" s="390" t="str">
        <f t="shared" si="259"/>
        <v>2025//12//22</v>
      </c>
      <c r="OD125" s="390">
        <v>14710</v>
      </c>
      <c r="OE125" s="390">
        <v>14855</v>
      </c>
      <c r="OF125" s="414">
        <v>-145</v>
      </c>
      <c r="OG125" s="415">
        <v>-0.0098</v>
      </c>
      <c r="OH125" s="192"/>
      <c r="OI125" s="192"/>
      <c r="OJ125" s="389"/>
      <c r="OK125" s="390" t="str">
        <f t="shared" si="260"/>
        <v>2025//12//22</v>
      </c>
      <c r="OO125" s="192"/>
      <c r="OP125" s="192"/>
      <c r="OQ125" s="192"/>
      <c r="OT125" s="26" t="str">
        <f t="shared" si="211"/>
        <v>2025//12//22</v>
      </c>
      <c r="OU125" s="206">
        <v>136152.4066</v>
      </c>
      <c r="OV125" s="8">
        <f t="shared" si="401"/>
        <v>136032.4066</v>
      </c>
      <c r="OW125" s="191">
        <f t="shared" si="402"/>
        <v>120</v>
      </c>
      <c r="OX125" s="192">
        <f t="shared" si="403"/>
        <v>0.000882142740831287</v>
      </c>
    </row>
    <row r="126" s="8" customFormat="1" ht="17" customHeight="1" spans="1:414">
      <c r="A126" s="15"/>
      <c r="B126" s="15"/>
      <c r="C126" s="385" t="s">
        <v>555</v>
      </c>
      <c r="D126" s="395">
        <v>9003469</v>
      </c>
      <c r="E126" s="395">
        <v>9024889</v>
      </c>
      <c r="F126" s="403">
        <v>-21420</v>
      </c>
      <c r="G126" s="404">
        <v>-0.0024</v>
      </c>
      <c r="H126" s="18"/>
      <c r="I126" s="453"/>
      <c r="J126" s="453"/>
      <c r="K126" s="386" t="str">
        <f t="shared" si="212"/>
        <v>2025//12//19</v>
      </c>
      <c r="L126" s="395">
        <v>6639814</v>
      </c>
      <c r="M126" s="395">
        <v>6642694</v>
      </c>
      <c r="N126" s="403">
        <v>-2880</v>
      </c>
      <c r="O126" s="404">
        <v>-0.0004</v>
      </c>
      <c r="P126" s="18"/>
      <c r="Q126" s="453"/>
      <c r="R126" s="454"/>
      <c r="S126" s="386" t="str">
        <f t="shared" si="213"/>
        <v>2025//12//19</v>
      </c>
      <c r="T126" s="395">
        <v>5748547</v>
      </c>
      <c r="U126" s="395">
        <v>5711017</v>
      </c>
      <c r="V126" s="459">
        <v>37530</v>
      </c>
      <c r="W126" s="460">
        <v>0.0066</v>
      </c>
      <c r="X126" s="18"/>
      <c r="Y126" s="453"/>
      <c r="Z126" s="454"/>
      <c r="AA126" s="386" t="str">
        <f t="shared" si="214"/>
        <v>2025//12//19</v>
      </c>
      <c r="AB126" s="395">
        <v>1873377</v>
      </c>
      <c r="AC126" s="395">
        <v>1862217</v>
      </c>
      <c r="AD126" s="459">
        <v>11160</v>
      </c>
      <c r="AE126" s="460">
        <v>0.006</v>
      </c>
      <c r="AF126" s="18"/>
      <c r="AG126" s="453"/>
      <c r="AH126" s="454"/>
      <c r="AI126" s="386" t="str">
        <f t="shared" si="215"/>
        <v>2025//12//19</v>
      </c>
      <c r="AJ126" s="395">
        <v>2526122</v>
      </c>
      <c r="AK126" s="386">
        <v>2517522</v>
      </c>
      <c r="AL126" s="459">
        <v>8600</v>
      </c>
      <c r="AM126" s="460">
        <v>0.0034</v>
      </c>
      <c r="AN126" s="18"/>
      <c r="AO126" s="18"/>
      <c r="AP126" s="454"/>
      <c r="AQ126" s="386" t="str">
        <f t="shared" si="216"/>
        <v>2025//12//19</v>
      </c>
      <c r="AR126" s="418">
        <v>3229745</v>
      </c>
      <c r="AS126" s="395">
        <v>3213745</v>
      </c>
      <c r="AT126" s="459">
        <v>16000</v>
      </c>
      <c r="AU126" s="460">
        <v>0.005</v>
      </c>
      <c r="AV126" s="18"/>
      <c r="AW126" s="18"/>
      <c r="AX126" s="17"/>
      <c r="AY126" s="205">
        <v>4.7641</v>
      </c>
      <c r="AZ126" s="204" t="str">
        <f t="shared" si="217"/>
        <v>2025//12//19</v>
      </c>
      <c r="BA126" s="205">
        <v>4084042</v>
      </c>
      <c r="BB126" s="205">
        <f t="shared" si="279"/>
        <v>4083052</v>
      </c>
      <c r="BC126" s="205">
        <v>990</v>
      </c>
      <c r="BD126" s="292">
        <v>0.0002</v>
      </c>
      <c r="BE126" s="18"/>
      <c r="BF126" s="18"/>
      <c r="BG126" s="74"/>
      <c r="BH126" s="387" t="str">
        <f t="shared" si="218"/>
        <v>2025//12//19</v>
      </c>
      <c r="BI126" s="387">
        <v>214227</v>
      </c>
      <c r="BJ126" s="387">
        <v>212527</v>
      </c>
      <c r="BK126" s="421">
        <v>1700</v>
      </c>
      <c r="BL126" s="422">
        <v>0.008</v>
      </c>
      <c r="BM126" s="197"/>
      <c r="BN126" s="192"/>
      <c r="BO126" s="389"/>
      <c r="BP126" s="390" t="str">
        <f t="shared" si="219"/>
        <v>2025//12//19</v>
      </c>
      <c r="BQ126" s="392">
        <v>682862</v>
      </c>
      <c r="BR126" s="390">
        <v>677962</v>
      </c>
      <c r="BS126" s="416">
        <v>4900</v>
      </c>
      <c r="BT126" s="417">
        <v>0.0072</v>
      </c>
      <c r="BU126" s="192"/>
      <c r="BV126" s="192"/>
      <c r="BW126" s="389"/>
      <c r="BX126" s="390" t="str">
        <f t="shared" si="220"/>
        <v>2025//12//19</v>
      </c>
      <c r="BY126" s="390">
        <v>2065411</v>
      </c>
      <c r="BZ126" s="390">
        <v>2029961</v>
      </c>
      <c r="CA126" s="416">
        <v>35450</v>
      </c>
      <c r="CB126" s="417">
        <v>0.0175</v>
      </c>
      <c r="CC126" s="192"/>
      <c r="CD126" s="409"/>
      <c r="CE126" s="389"/>
      <c r="CF126" s="390" t="str">
        <f t="shared" si="221"/>
        <v>2025//12//19</v>
      </c>
      <c r="CG126" s="390">
        <v>990454</v>
      </c>
      <c r="CH126" s="12">
        <f t="shared" si="289"/>
        <v>983104</v>
      </c>
      <c r="CI126" s="12">
        <f t="shared" si="290"/>
        <v>7350</v>
      </c>
      <c r="CJ126" s="199">
        <f t="shared" si="291"/>
        <v>0.00747631990104811</v>
      </c>
      <c r="CK126" s="192"/>
      <c r="CL126" s="391"/>
      <c r="CM126" s="389"/>
      <c r="CN126" s="390" t="str">
        <f t="shared" si="222"/>
        <v>2025//12//19</v>
      </c>
      <c r="CO126" s="390">
        <v>136346</v>
      </c>
      <c r="CP126" s="390">
        <v>139146</v>
      </c>
      <c r="CQ126" s="12">
        <f t="shared" si="293"/>
        <v>-2800</v>
      </c>
      <c r="CR126" s="199">
        <f t="shared" si="294"/>
        <v>-0.0201227487674816</v>
      </c>
      <c r="CS126" s="391"/>
      <c r="CT126" s="391"/>
      <c r="CU126" s="389"/>
      <c r="CV126" s="390" t="str">
        <f t="shared" si="223"/>
        <v>2025//12//19</v>
      </c>
      <c r="CW126" s="390">
        <v>624590</v>
      </c>
      <c r="CX126" s="390">
        <v>638190</v>
      </c>
      <c r="CY126" s="414">
        <v>-13600</v>
      </c>
      <c r="CZ126" s="415">
        <v>-0.0213</v>
      </c>
      <c r="DA126" s="192"/>
      <c r="DB126" s="192"/>
      <c r="DC126" s="277"/>
      <c r="DD126" s="390" t="str">
        <f t="shared" si="224"/>
        <v>2025//12//19</v>
      </c>
      <c r="DE126" s="390">
        <v>1025718</v>
      </c>
      <c r="DF126" s="12">
        <f t="shared" si="298"/>
        <v>992518</v>
      </c>
      <c r="DG126" s="416">
        <v>16600</v>
      </c>
      <c r="DH126" s="417">
        <v>0.0335</v>
      </c>
      <c r="DI126" s="192"/>
      <c r="DJ126" s="192"/>
      <c r="DK126" s="389"/>
      <c r="DL126" s="390" t="str">
        <f t="shared" si="225"/>
        <v>2025//12//19</v>
      </c>
      <c r="DM126" s="390">
        <v>1492100</v>
      </c>
      <c r="DN126" s="390">
        <v>1476700</v>
      </c>
      <c r="DO126" s="416">
        <v>15400</v>
      </c>
      <c r="DP126" s="417">
        <v>0.0104</v>
      </c>
      <c r="DQ126" s="192"/>
      <c r="DR126" s="192"/>
      <c r="DS126" s="389"/>
      <c r="DT126" s="390" t="str">
        <f t="shared" si="226"/>
        <v>2025//12//19</v>
      </c>
      <c r="DU126" s="390">
        <v>1746089</v>
      </c>
      <c r="DV126" s="390">
        <v>1739789</v>
      </c>
      <c r="DW126" s="416">
        <v>6300</v>
      </c>
      <c r="DX126" s="417">
        <v>0.0036</v>
      </c>
      <c r="DY126" s="192"/>
      <c r="DZ126" s="192"/>
      <c r="EA126" s="389"/>
      <c r="EB126" s="390" t="str">
        <f t="shared" si="227"/>
        <v>2025//12//19</v>
      </c>
      <c r="EC126" s="390">
        <v>5431767</v>
      </c>
      <c r="ED126" s="390">
        <v>5398917</v>
      </c>
      <c r="EE126" s="416">
        <v>32850</v>
      </c>
      <c r="EF126" s="417">
        <v>0.0061</v>
      </c>
      <c r="EG126" s="192"/>
      <c r="EH126" s="192"/>
      <c r="EI126" s="389"/>
      <c r="EJ126" s="390" t="str">
        <f t="shared" si="228"/>
        <v>2025//12//19</v>
      </c>
      <c r="EK126" s="390">
        <v>1493323</v>
      </c>
      <c r="EL126" s="390">
        <v>1494923</v>
      </c>
      <c r="EM126" s="414">
        <v>-1600</v>
      </c>
      <c r="EN126" s="415">
        <v>-0.0011</v>
      </c>
      <c r="EO126" s="192"/>
      <c r="EP126" s="192"/>
      <c r="EQ126" s="340"/>
      <c r="ER126" s="341" t="str">
        <f t="shared" si="229"/>
        <v>2025//12//19</v>
      </c>
      <c r="ES126" s="341">
        <v>485297</v>
      </c>
      <c r="ET126" s="341">
        <v>484847</v>
      </c>
      <c r="EU126" s="341">
        <v>450</v>
      </c>
      <c r="EV126" s="350">
        <v>0.0009</v>
      </c>
      <c r="EW126" s="192"/>
      <c r="EX126" s="192"/>
      <c r="EY126" s="389"/>
      <c r="EZ126" s="390" t="str">
        <f t="shared" si="230"/>
        <v>2025//12//19</v>
      </c>
      <c r="FA126" s="390">
        <v>985108</v>
      </c>
      <c r="FB126" s="390">
        <v>1000908</v>
      </c>
      <c r="FC126" s="414">
        <v>-15800</v>
      </c>
      <c r="FD126" s="415">
        <v>-0.0158</v>
      </c>
      <c r="FE126" s="192"/>
      <c r="FF126" s="192"/>
      <c r="FG126" s="192"/>
      <c r="FH126" s="390" t="str">
        <f t="shared" si="231"/>
        <v>2025//12//19</v>
      </c>
      <c r="FI126" s="392">
        <v>241795</v>
      </c>
      <c r="FJ126" s="390">
        <v>227395</v>
      </c>
      <c r="FK126" s="348">
        <v>14400</v>
      </c>
      <c r="FL126" s="349">
        <v>0.0633</v>
      </c>
      <c r="FM126" s="391"/>
      <c r="FN126" s="391"/>
      <c r="FO126" s="389"/>
      <c r="FP126" s="390" t="str">
        <f t="shared" si="232"/>
        <v>2025//12//19</v>
      </c>
      <c r="FQ126" s="390">
        <v>2647319</v>
      </c>
      <c r="FR126" s="390">
        <v>2648819</v>
      </c>
      <c r="FS126" s="414">
        <v>-1500</v>
      </c>
      <c r="FT126" s="415">
        <v>-0.0006</v>
      </c>
      <c r="FU126" s="192"/>
      <c r="FV126" s="192"/>
      <c r="FW126" s="389"/>
      <c r="FX126" s="390" t="str">
        <f t="shared" si="233"/>
        <v>2025//12//19</v>
      </c>
      <c r="FY126" s="390">
        <v>7347982</v>
      </c>
      <c r="FZ126" s="390">
        <v>7370982</v>
      </c>
      <c r="GA126" s="414">
        <v>-23000</v>
      </c>
      <c r="GB126" s="415">
        <v>-0.0031</v>
      </c>
      <c r="GC126" s="192"/>
      <c r="GD126" s="192"/>
      <c r="GE126" s="389"/>
      <c r="GF126" s="390" t="str">
        <f t="shared" si="234"/>
        <v>2025//12//19</v>
      </c>
      <c r="GG126" s="390">
        <v>4403969</v>
      </c>
      <c r="GH126" s="390">
        <v>4421569</v>
      </c>
      <c r="GI126" s="414">
        <v>-17600</v>
      </c>
      <c r="GJ126" s="415">
        <v>-0.004</v>
      </c>
      <c r="GK126" s="192"/>
      <c r="GL126" s="192"/>
      <c r="GM126" s="389"/>
      <c r="GN126" s="390" t="str">
        <f t="shared" si="235"/>
        <v>2025//12//19</v>
      </c>
      <c r="GO126" s="390">
        <v>1492498</v>
      </c>
      <c r="GP126" s="390">
        <v>1509538</v>
      </c>
      <c r="GQ126" s="414">
        <v>-17040</v>
      </c>
      <c r="GR126" s="415">
        <v>-0.0113</v>
      </c>
      <c r="GS126" s="192"/>
      <c r="GT126" s="192"/>
      <c r="GU126" s="389"/>
      <c r="GV126" s="390" t="str">
        <f t="shared" si="236"/>
        <v>2025//12//19</v>
      </c>
      <c r="GW126" s="390">
        <v>1244749</v>
      </c>
      <c r="GX126" s="390">
        <v>1250749</v>
      </c>
      <c r="GY126" s="414">
        <v>-6000</v>
      </c>
      <c r="GZ126" s="415">
        <v>-0.0048</v>
      </c>
      <c r="HA126" s="192"/>
      <c r="HB126" s="192"/>
      <c r="HC126" s="389"/>
      <c r="HD126" s="390" t="str">
        <f t="shared" si="237"/>
        <v>2025//12//19</v>
      </c>
      <c r="HE126" s="390">
        <v>1427265</v>
      </c>
      <c r="HF126" s="390">
        <v>1435065</v>
      </c>
      <c r="HG126" s="414">
        <v>-7800</v>
      </c>
      <c r="HH126" s="415">
        <v>-0.0054</v>
      </c>
      <c r="HI126" s="391"/>
      <c r="HJ126" s="192"/>
      <c r="HK126" s="389"/>
      <c r="HL126" s="390" t="str">
        <f t="shared" si="238"/>
        <v>2025//12//19</v>
      </c>
      <c r="HM126" s="390">
        <v>178204</v>
      </c>
      <c r="HN126" s="390">
        <v>179754</v>
      </c>
      <c r="HO126" s="414">
        <v>-1550</v>
      </c>
      <c r="HP126" s="415">
        <v>-0.0086</v>
      </c>
      <c r="HQ126" s="192"/>
      <c r="HR126" s="192"/>
      <c r="HS126" s="389"/>
      <c r="HT126" s="390" t="str">
        <f t="shared" si="239"/>
        <v>2025//12//19</v>
      </c>
      <c r="HU126" s="390">
        <v>117569</v>
      </c>
      <c r="HV126" s="390">
        <v>121569</v>
      </c>
      <c r="HW126" s="414">
        <v>-4000</v>
      </c>
      <c r="HX126" s="415">
        <v>-0.0329</v>
      </c>
      <c r="HY126" s="192"/>
      <c r="HZ126" s="192"/>
      <c r="IA126" s="389"/>
      <c r="IB126" s="390" t="str">
        <f t="shared" si="240"/>
        <v>2025//12//19</v>
      </c>
      <c r="IC126" s="390"/>
      <c r="ID126" s="390"/>
      <c r="IE126" s="390"/>
      <c r="IF126" s="391"/>
      <c r="IG126" s="391"/>
      <c r="IH126" s="192"/>
      <c r="II126" s="389"/>
      <c r="IJ126" s="390" t="str">
        <f t="shared" si="241"/>
        <v>2025//12//19</v>
      </c>
      <c r="IK126" s="390">
        <v>383836</v>
      </c>
      <c r="IL126" s="390">
        <v>384396</v>
      </c>
      <c r="IM126" s="414">
        <v>-560</v>
      </c>
      <c r="IN126" s="415">
        <v>-0.0015</v>
      </c>
      <c r="IO126" s="192"/>
      <c r="IP126" s="192"/>
      <c r="IQ126" s="389"/>
      <c r="IR126" s="390" t="str">
        <f t="shared" si="242"/>
        <v>2025//12//19</v>
      </c>
      <c r="IS126" s="390">
        <v>110489</v>
      </c>
      <c r="IT126" s="390">
        <v>112389</v>
      </c>
      <c r="IU126" s="414">
        <v>-1900</v>
      </c>
      <c r="IV126" s="415">
        <v>-0.0169</v>
      </c>
      <c r="IW126" s="192"/>
      <c r="IX126" s="192"/>
      <c r="IY126" s="389"/>
      <c r="IZ126" s="390" t="str">
        <f t="shared" si="243"/>
        <v>2025//12//19</v>
      </c>
      <c r="JA126" s="390">
        <v>4692829</v>
      </c>
      <c r="JB126" s="390">
        <v>4693229</v>
      </c>
      <c r="JC126" s="414">
        <v>-400</v>
      </c>
      <c r="JD126" s="415">
        <v>-0.0001</v>
      </c>
      <c r="JE126" s="192"/>
      <c r="JF126" s="192"/>
      <c r="JG126" s="389"/>
      <c r="JH126" s="390" t="str">
        <f t="shared" si="244"/>
        <v>2025//12//19</v>
      </c>
      <c r="JI126" s="390">
        <v>1676548</v>
      </c>
      <c r="JJ126" s="390">
        <v>1675528</v>
      </c>
      <c r="JK126" s="416">
        <v>1020</v>
      </c>
      <c r="JL126" s="417">
        <v>0.0006</v>
      </c>
      <c r="JM126" s="192"/>
      <c r="JN126" s="192"/>
      <c r="JO126" s="192"/>
      <c r="JP126" s="390" t="str">
        <f t="shared" si="245"/>
        <v>2025//12//19</v>
      </c>
      <c r="JQ126" s="390">
        <v>1176590</v>
      </c>
      <c r="JR126" s="390">
        <v>1184490</v>
      </c>
      <c r="JS126" s="414">
        <v>-7900</v>
      </c>
      <c r="JT126" s="415">
        <v>-0.0067</v>
      </c>
      <c r="JU126" s="192"/>
      <c r="JV126" s="192"/>
      <c r="JW126" s="409"/>
      <c r="JX126" s="390" t="str">
        <f t="shared" si="246"/>
        <v>2025//12//19</v>
      </c>
      <c r="JY126" s="390">
        <v>1511849</v>
      </c>
      <c r="JZ126" s="390">
        <v>1515599</v>
      </c>
      <c r="KA126" s="414">
        <v>-3750</v>
      </c>
      <c r="KB126" s="415">
        <v>-0.0025</v>
      </c>
      <c r="KC126" s="192"/>
      <c r="KD126" s="409"/>
      <c r="KF126" s="390" t="str">
        <f t="shared" si="247"/>
        <v>2025//12//19</v>
      </c>
      <c r="KG126" s="390">
        <v>903156</v>
      </c>
      <c r="KH126" s="390">
        <v>904156</v>
      </c>
      <c r="KI126" s="414">
        <v>-1000</v>
      </c>
      <c r="KJ126" s="415">
        <v>-0.0011</v>
      </c>
      <c r="KK126" s="391"/>
      <c r="KL126" s="391"/>
      <c r="KM126" s="389"/>
      <c r="KN126" s="390" t="str">
        <f t="shared" si="248"/>
        <v>2025//12//19</v>
      </c>
      <c r="KO126" s="390">
        <v>6649576</v>
      </c>
      <c r="KP126" s="390">
        <v>6634776</v>
      </c>
      <c r="KQ126" s="416">
        <v>14800</v>
      </c>
      <c r="KR126" s="417">
        <v>0.0022</v>
      </c>
      <c r="KS126" s="192"/>
      <c r="KT126" s="192"/>
      <c r="KU126" s="389"/>
      <c r="KV126" s="390" t="str">
        <f t="shared" si="249"/>
        <v>2025//12//19</v>
      </c>
      <c r="KW126" s="390">
        <v>1046673</v>
      </c>
      <c r="KX126" s="390">
        <v>1046673</v>
      </c>
      <c r="KY126" s="390">
        <v>0</v>
      </c>
      <c r="KZ126" s="391">
        <v>0</v>
      </c>
      <c r="LA126" s="391"/>
      <c r="LB126" s="192"/>
      <c r="LC126" s="389"/>
      <c r="LD126" s="390" t="str">
        <f t="shared" si="250"/>
        <v>2025//12//19</v>
      </c>
      <c r="LE126" s="390">
        <v>465208</v>
      </c>
      <c r="LF126" s="390">
        <v>467508</v>
      </c>
      <c r="LG126" s="414">
        <v>-2300</v>
      </c>
      <c r="LH126" s="415">
        <v>-0.0049</v>
      </c>
      <c r="LI126" s="192"/>
      <c r="LJ126" s="192"/>
      <c r="LK126" s="389"/>
      <c r="LL126" s="390" t="str">
        <f t="shared" si="251"/>
        <v>2025//12//19</v>
      </c>
      <c r="LM126" s="392">
        <v>3588775</v>
      </c>
      <c r="LN126" s="390">
        <v>3591115</v>
      </c>
      <c r="LO126" s="414">
        <v>-2340</v>
      </c>
      <c r="LP126" s="415">
        <v>-0.0007</v>
      </c>
      <c r="LQ126" s="192"/>
      <c r="LR126" s="192"/>
      <c r="LS126" s="389"/>
      <c r="LT126" s="390" t="str">
        <f t="shared" si="252"/>
        <v>2025//12//19</v>
      </c>
      <c r="LU126" s="390">
        <v>2621663</v>
      </c>
      <c r="LV126" s="390">
        <v>2624663</v>
      </c>
      <c r="LW126" s="414">
        <v>-3000</v>
      </c>
      <c r="LX126" s="415">
        <v>-0.0011</v>
      </c>
      <c r="LY126" s="192"/>
      <c r="LZ126" s="192"/>
      <c r="MA126" s="389"/>
      <c r="MB126" s="390" t="str">
        <f t="shared" si="253"/>
        <v>2025//12//19</v>
      </c>
      <c r="MC126" s="390">
        <v>846168</v>
      </c>
      <c r="MD126" s="390">
        <v>828018</v>
      </c>
      <c r="ME126" s="416">
        <v>18150</v>
      </c>
      <c r="MF126" s="417">
        <v>0.0219</v>
      </c>
      <c r="MG126" s="192"/>
      <c r="MH126" s="192"/>
      <c r="MI126" s="342"/>
      <c r="MJ126" s="341">
        <v>0.9635</v>
      </c>
      <c r="MK126" s="341" t="str">
        <f t="shared" si="254"/>
        <v>2025//12//19</v>
      </c>
      <c r="ML126" s="341">
        <v>237106</v>
      </c>
      <c r="MM126" s="12">
        <f t="shared" si="388"/>
        <v>237466</v>
      </c>
      <c r="MN126" s="341">
        <v>-360</v>
      </c>
      <c r="MO126" s="350">
        <v>-0.0015</v>
      </c>
      <c r="MP126" s="192"/>
      <c r="MQ126" s="394"/>
      <c r="MR126" s="394"/>
      <c r="MS126" s="204">
        <v>1.1742</v>
      </c>
      <c r="MT126" s="295" t="str">
        <f t="shared" si="255"/>
        <v>2025//12//19</v>
      </c>
      <c r="MU126" s="204">
        <v>17615</v>
      </c>
      <c r="MV126" s="204">
        <f t="shared" si="391"/>
        <v>17615</v>
      </c>
      <c r="MW126" s="204">
        <v>0</v>
      </c>
      <c r="MX126" s="296">
        <v>0</v>
      </c>
      <c r="MY126" s="192"/>
      <c r="MZ126" s="192"/>
      <c r="NA126" s="192"/>
      <c r="NB126" s="204">
        <v>1.195</v>
      </c>
      <c r="NC126" s="204" t="str">
        <f t="shared" si="256"/>
        <v>2025//12//19</v>
      </c>
      <c r="ND126" s="204">
        <v>25891</v>
      </c>
      <c r="NE126" s="204">
        <f t="shared" si="392"/>
        <v>25691</v>
      </c>
      <c r="NF126" s="204">
        <v>200</v>
      </c>
      <c r="NG126" s="296">
        <v>0.0078</v>
      </c>
      <c r="NH126" s="192"/>
      <c r="NI126" s="192"/>
      <c r="NJ126" s="192"/>
      <c r="NK126" s="192"/>
      <c r="NL126" s="205">
        <v>1.1794</v>
      </c>
      <c r="NM126" s="204" t="str">
        <f t="shared" si="257"/>
        <v>2025//12//19</v>
      </c>
      <c r="NN126" s="205">
        <v>2231711</v>
      </c>
      <c r="NO126" s="8">
        <f t="shared" si="393"/>
        <v>2200911</v>
      </c>
      <c r="NP126" s="205">
        <v>30800</v>
      </c>
      <c r="NQ126" s="292">
        <v>0.014</v>
      </c>
      <c r="NR126" s="293"/>
      <c r="NS126" s="205">
        <v>1.0651</v>
      </c>
      <c r="NT126" s="294"/>
      <c r="NU126" s="204" t="str">
        <f t="shared" si="258"/>
        <v>2025//12//19</v>
      </c>
      <c r="NV126" s="205">
        <v>235276</v>
      </c>
      <c r="NW126" s="205">
        <f t="shared" si="394"/>
        <v>235276</v>
      </c>
      <c r="NX126" s="205">
        <v>0</v>
      </c>
      <c r="NY126" s="292">
        <v>0</v>
      </c>
      <c r="NZ126" s="391"/>
      <c r="OA126" s="389"/>
      <c r="OB126" s="389"/>
      <c r="OC126" s="390" t="str">
        <f t="shared" si="259"/>
        <v>2025//12//19</v>
      </c>
      <c r="OD126" s="390">
        <v>14855</v>
      </c>
      <c r="OE126" s="390">
        <v>14973</v>
      </c>
      <c r="OF126" s="414">
        <v>-118</v>
      </c>
      <c r="OG126" s="415">
        <v>-0.0079</v>
      </c>
      <c r="OH126" s="192"/>
      <c r="OI126" s="192"/>
      <c r="OJ126" s="389"/>
      <c r="OK126" s="390" t="str">
        <f t="shared" si="260"/>
        <v>2025//12//19</v>
      </c>
      <c r="OO126" s="192"/>
      <c r="OP126" s="192"/>
      <c r="OQ126" s="192"/>
      <c r="OT126" s="26" t="str">
        <f t="shared" si="211"/>
        <v>2025//12//19</v>
      </c>
      <c r="OU126" s="206">
        <v>136032.4066</v>
      </c>
      <c r="OV126" s="8">
        <f t="shared" si="401"/>
        <v>135912.4066</v>
      </c>
      <c r="OW126" s="191">
        <f t="shared" si="402"/>
        <v>120</v>
      </c>
      <c r="OX126" s="192">
        <f t="shared" si="403"/>
        <v>0.000882921603714727</v>
      </c>
    </row>
    <row r="127" s="8" customFormat="1" ht="17" customHeight="1" spans="1:414">
      <c r="A127" s="15"/>
      <c r="B127" s="15"/>
      <c r="C127" s="385" t="s">
        <v>556</v>
      </c>
      <c r="D127" s="395">
        <v>9024889</v>
      </c>
      <c r="E127" s="395">
        <v>9016069</v>
      </c>
      <c r="F127" s="459">
        <v>8820</v>
      </c>
      <c r="G127" s="460">
        <v>0.001</v>
      </c>
      <c r="H127" s="18"/>
      <c r="I127" s="453"/>
      <c r="J127" s="453"/>
      <c r="K127" s="386" t="str">
        <f t="shared" si="212"/>
        <v>2025//12//18</v>
      </c>
      <c r="L127" s="395">
        <v>6642694</v>
      </c>
      <c r="M127" s="395">
        <v>6642604</v>
      </c>
      <c r="N127" s="459">
        <v>90</v>
      </c>
      <c r="O127" s="507">
        <v>0</v>
      </c>
      <c r="P127" s="18"/>
      <c r="Q127" s="453"/>
      <c r="R127" s="454"/>
      <c r="S127" s="386" t="str">
        <f t="shared" si="213"/>
        <v>2025//12//18</v>
      </c>
      <c r="T127" s="395">
        <v>5711017</v>
      </c>
      <c r="U127" s="395">
        <v>5716237</v>
      </c>
      <c r="V127" s="403">
        <v>-5220</v>
      </c>
      <c r="W127" s="404">
        <v>-0.0009</v>
      </c>
      <c r="X127" s="18"/>
      <c r="Y127" s="453"/>
      <c r="Z127" s="454"/>
      <c r="AA127" s="386" t="str">
        <f t="shared" si="214"/>
        <v>2025//12//18</v>
      </c>
      <c r="AB127" s="395">
        <v>1862217</v>
      </c>
      <c r="AC127" s="395">
        <v>1861817</v>
      </c>
      <c r="AD127" s="459">
        <v>400</v>
      </c>
      <c r="AE127" s="460">
        <v>0.0002</v>
      </c>
      <c r="AF127" s="18"/>
      <c r="AG127" s="453"/>
      <c r="AH127" s="454"/>
      <c r="AI127" s="386" t="str">
        <f t="shared" si="215"/>
        <v>2025//12//18</v>
      </c>
      <c r="AJ127" s="395">
        <v>2517522</v>
      </c>
      <c r="AK127" s="386">
        <v>2524522</v>
      </c>
      <c r="AL127" s="403">
        <v>-7000</v>
      </c>
      <c r="AM127" s="404">
        <v>-0.0028</v>
      </c>
      <c r="AN127" s="18"/>
      <c r="AO127" s="18"/>
      <c r="AP127" s="454"/>
      <c r="AQ127" s="386" t="str">
        <f t="shared" si="216"/>
        <v>2025//12//18</v>
      </c>
      <c r="AR127" s="418">
        <v>3213745</v>
      </c>
      <c r="AS127" s="395">
        <v>3151545</v>
      </c>
      <c r="AT127" s="459">
        <v>62200</v>
      </c>
      <c r="AU127" s="460">
        <v>0.0197</v>
      </c>
      <c r="AV127" s="18"/>
      <c r="AW127" s="18"/>
      <c r="AX127" s="17"/>
      <c r="AY127" s="205">
        <v>4.7452</v>
      </c>
      <c r="AZ127" s="204" t="str">
        <f t="shared" si="217"/>
        <v>2025//12//18</v>
      </c>
      <c r="BA127" s="205">
        <v>4083052</v>
      </c>
      <c r="BB127" s="205">
        <f t="shared" si="279"/>
        <v>4081252</v>
      </c>
      <c r="BC127" s="205">
        <v>1800</v>
      </c>
      <c r="BD127" s="292">
        <v>0.0004</v>
      </c>
      <c r="BE127" s="18"/>
      <c r="BF127" s="18"/>
      <c r="BG127" s="74"/>
      <c r="BH127" s="387" t="str">
        <f t="shared" si="218"/>
        <v>2025//12//18</v>
      </c>
      <c r="BI127" s="387">
        <v>212527</v>
      </c>
      <c r="BJ127" s="387">
        <v>210927</v>
      </c>
      <c r="BK127" s="421">
        <v>1600</v>
      </c>
      <c r="BL127" s="422">
        <v>0.0076</v>
      </c>
      <c r="BM127" s="197"/>
      <c r="BN127" s="192"/>
      <c r="BO127" s="389"/>
      <c r="BP127" s="390" t="str">
        <f t="shared" si="219"/>
        <v>2025//12//18</v>
      </c>
      <c r="BQ127" s="392">
        <v>677962</v>
      </c>
      <c r="BR127" s="390">
        <v>678962</v>
      </c>
      <c r="BS127" s="414">
        <v>-1000</v>
      </c>
      <c r="BT127" s="415">
        <v>-0.0015</v>
      </c>
      <c r="BU127" s="192"/>
      <c r="BV127" s="192"/>
      <c r="BW127" s="389"/>
      <c r="BX127" s="390" t="str">
        <f t="shared" si="220"/>
        <v>2025//12//18</v>
      </c>
      <c r="BY127" s="390">
        <v>2029961</v>
      </c>
      <c r="BZ127" s="390">
        <v>1994711</v>
      </c>
      <c r="CA127" s="416">
        <v>35250</v>
      </c>
      <c r="CB127" s="417">
        <v>0.0177</v>
      </c>
      <c r="CC127" s="192"/>
      <c r="CD127" s="409"/>
      <c r="CE127" s="389"/>
      <c r="CF127" s="390" t="str">
        <f t="shared" si="221"/>
        <v>2025//12//18</v>
      </c>
      <c r="CG127" s="390">
        <v>983104</v>
      </c>
      <c r="CH127" s="12">
        <f t="shared" si="289"/>
        <v>983854</v>
      </c>
      <c r="CI127" s="12">
        <f t="shared" si="290"/>
        <v>-750</v>
      </c>
      <c r="CJ127" s="199">
        <f t="shared" si="291"/>
        <v>-0.000762308228659943</v>
      </c>
      <c r="CK127" s="192"/>
      <c r="CL127" s="391"/>
      <c r="CM127" s="389"/>
      <c r="CN127" s="390" t="str">
        <f t="shared" si="222"/>
        <v>2025//12//18</v>
      </c>
      <c r="CO127" s="390">
        <v>139146</v>
      </c>
      <c r="CP127" s="390">
        <v>139146</v>
      </c>
      <c r="CQ127" s="12">
        <f t="shared" si="293"/>
        <v>0</v>
      </c>
      <c r="CR127" s="199">
        <f t="shared" si="294"/>
        <v>0</v>
      </c>
      <c r="CS127" s="391"/>
      <c r="CT127" s="391"/>
      <c r="CU127" s="389"/>
      <c r="CV127" s="390" t="str">
        <f t="shared" si="223"/>
        <v>2025//12//18</v>
      </c>
      <c r="CW127" s="390">
        <v>638190</v>
      </c>
      <c r="CX127" s="390">
        <v>641090</v>
      </c>
      <c r="CY127" s="414">
        <v>-2900</v>
      </c>
      <c r="CZ127" s="415">
        <v>-0.0045</v>
      </c>
      <c r="DA127" s="192"/>
      <c r="DB127" s="192"/>
      <c r="DC127" s="277"/>
      <c r="DD127" s="390" t="str">
        <f t="shared" si="224"/>
        <v>2025//12//18</v>
      </c>
      <c r="DE127" s="390">
        <v>992518</v>
      </c>
      <c r="DF127" s="12">
        <f t="shared" si="298"/>
        <v>971318</v>
      </c>
      <c r="DG127" s="416">
        <v>10600</v>
      </c>
      <c r="DH127" s="417">
        <v>0.0218</v>
      </c>
      <c r="DI127" s="192"/>
      <c r="DJ127" s="192"/>
      <c r="DK127" s="389"/>
      <c r="DL127" s="390" t="str">
        <f t="shared" si="225"/>
        <v>2025//12//18</v>
      </c>
      <c r="DM127" s="390">
        <v>1476700</v>
      </c>
      <c r="DN127" s="390">
        <v>1486700</v>
      </c>
      <c r="DO127" s="414">
        <v>-10000</v>
      </c>
      <c r="DP127" s="415">
        <v>-0.0067</v>
      </c>
      <c r="DQ127" s="192"/>
      <c r="DR127" s="192"/>
      <c r="DS127" s="389"/>
      <c r="DT127" s="390" t="str">
        <f t="shared" si="226"/>
        <v>2025//12//18</v>
      </c>
      <c r="DU127" s="390">
        <v>1739789</v>
      </c>
      <c r="DV127" s="390">
        <v>1733489</v>
      </c>
      <c r="DW127" s="416">
        <v>6300</v>
      </c>
      <c r="DX127" s="417">
        <v>0.0036</v>
      </c>
      <c r="DY127" s="192"/>
      <c r="DZ127" s="192"/>
      <c r="EA127" s="389"/>
      <c r="EB127" s="390" t="str">
        <f t="shared" si="227"/>
        <v>2025//12//18</v>
      </c>
      <c r="EC127" s="390">
        <v>5398917</v>
      </c>
      <c r="ED127" s="390">
        <v>5366967</v>
      </c>
      <c r="EE127" s="416">
        <v>31950</v>
      </c>
      <c r="EF127" s="417">
        <v>0.006</v>
      </c>
      <c r="EG127" s="192"/>
      <c r="EH127" s="192"/>
      <c r="EI127" s="389"/>
      <c r="EJ127" s="390" t="str">
        <f t="shared" si="228"/>
        <v>2025//12//18</v>
      </c>
      <c r="EK127" s="390">
        <v>1494923</v>
      </c>
      <c r="EL127" s="390">
        <v>1486523</v>
      </c>
      <c r="EM127" s="416">
        <v>8400</v>
      </c>
      <c r="EN127" s="417">
        <v>0.0057</v>
      </c>
      <c r="EO127" s="192"/>
      <c r="EP127" s="192"/>
      <c r="EQ127" s="340"/>
      <c r="ER127" s="341" t="str">
        <f t="shared" si="229"/>
        <v>2025//12//18</v>
      </c>
      <c r="ES127" s="341">
        <v>484847</v>
      </c>
      <c r="ET127" s="341">
        <v>483497</v>
      </c>
      <c r="EU127" s="341">
        <v>1350</v>
      </c>
      <c r="EV127" s="350">
        <v>0.0028</v>
      </c>
      <c r="EW127" s="192"/>
      <c r="EX127" s="192"/>
      <c r="EY127" s="389"/>
      <c r="EZ127" s="390" t="str">
        <f t="shared" si="230"/>
        <v>2025//12//18</v>
      </c>
      <c r="FA127" s="390">
        <v>1000908</v>
      </c>
      <c r="FB127" s="390">
        <v>1026408</v>
      </c>
      <c r="FC127" s="414">
        <v>-25500</v>
      </c>
      <c r="FD127" s="415">
        <v>-0.0248</v>
      </c>
      <c r="FE127" s="192"/>
      <c r="FF127" s="192"/>
      <c r="FG127" s="192"/>
      <c r="FH127" s="390" t="str">
        <f t="shared" si="231"/>
        <v>2025//12//18</v>
      </c>
      <c r="FI127" s="392">
        <v>227395</v>
      </c>
      <c r="FJ127" s="390">
        <v>225395</v>
      </c>
      <c r="FK127" s="348">
        <v>2000</v>
      </c>
      <c r="FL127" s="349">
        <v>0.0089</v>
      </c>
      <c r="FM127" s="391"/>
      <c r="FN127" s="391"/>
      <c r="FO127" s="389"/>
      <c r="FP127" s="390" t="str">
        <f t="shared" si="232"/>
        <v>2025//12//18</v>
      </c>
      <c r="FQ127" s="390">
        <v>2648819</v>
      </c>
      <c r="FR127" s="390">
        <v>2645969</v>
      </c>
      <c r="FS127" s="416">
        <v>2850</v>
      </c>
      <c r="FT127" s="417">
        <v>0.0011</v>
      </c>
      <c r="FU127" s="192"/>
      <c r="FV127" s="192"/>
      <c r="FW127" s="389"/>
      <c r="FX127" s="390" t="str">
        <f t="shared" si="233"/>
        <v>2025//12//18</v>
      </c>
      <c r="FY127" s="390">
        <v>7370982</v>
      </c>
      <c r="FZ127" s="390">
        <v>7391782</v>
      </c>
      <c r="GA127" s="414">
        <v>-20800</v>
      </c>
      <c r="GB127" s="415">
        <v>-0.0028</v>
      </c>
      <c r="GC127" s="192"/>
      <c r="GD127" s="192"/>
      <c r="GE127" s="389"/>
      <c r="GF127" s="390" t="str">
        <f t="shared" si="234"/>
        <v>2025//12//18</v>
      </c>
      <c r="GG127" s="390">
        <v>4421569</v>
      </c>
      <c r="GH127" s="390">
        <v>4436969</v>
      </c>
      <c r="GI127" s="414">
        <v>-15400</v>
      </c>
      <c r="GJ127" s="415">
        <v>-0.0035</v>
      </c>
      <c r="GK127" s="192"/>
      <c r="GL127" s="192"/>
      <c r="GM127" s="389"/>
      <c r="GN127" s="390" t="str">
        <f t="shared" si="235"/>
        <v>2025//12//18</v>
      </c>
      <c r="GO127" s="390">
        <v>1509538</v>
      </c>
      <c r="GP127" s="390">
        <v>1511098</v>
      </c>
      <c r="GQ127" s="414">
        <v>-1560</v>
      </c>
      <c r="GR127" s="415">
        <v>-0.001</v>
      </c>
      <c r="GS127" s="192"/>
      <c r="GT127" s="192"/>
      <c r="GU127" s="389"/>
      <c r="GV127" s="390" t="str">
        <f t="shared" si="236"/>
        <v>2025//12//18</v>
      </c>
      <c r="GW127" s="390">
        <v>1250749</v>
      </c>
      <c r="GX127" s="390">
        <v>1254349</v>
      </c>
      <c r="GY127" s="414">
        <v>-3600</v>
      </c>
      <c r="GZ127" s="415">
        <v>-0.0029</v>
      </c>
      <c r="HA127" s="192"/>
      <c r="HB127" s="192"/>
      <c r="HC127" s="389"/>
      <c r="HD127" s="390" t="str">
        <f t="shared" si="237"/>
        <v>2025//12//18</v>
      </c>
      <c r="HE127" s="390">
        <v>1435065</v>
      </c>
      <c r="HF127" s="390">
        <v>1434165</v>
      </c>
      <c r="HG127" s="416">
        <v>900</v>
      </c>
      <c r="HH127" s="417">
        <v>0.0006</v>
      </c>
      <c r="HI127" s="391"/>
      <c r="HJ127" s="192"/>
      <c r="HK127" s="389"/>
      <c r="HL127" s="390" t="str">
        <f t="shared" si="238"/>
        <v>2025//12//18</v>
      </c>
      <c r="HM127" s="390">
        <v>179754</v>
      </c>
      <c r="HN127" s="390">
        <v>180804</v>
      </c>
      <c r="HO127" s="414">
        <v>-1050</v>
      </c>
      <c r="HP127" s="415">
        <v>-0.0058</v>
      </c>
      <c r="HQ127" s="192"/>
      <c r="HR127" s="192"/>
      <c r="HS127" s="389"/>
      <c r="HT127" s="390" t="str">
        <f t="shared" si="239"/>
        <v>2025//12//18</v>
      </c>
      <c r="HU127" s="390">
        <v>121569</v>
      </c>
      <c r="HV127" s="390">
        <v>122769</v>
      </c>
      <c r="HW127" s="414">
        <v>-1200</v>
      </c>
      <c r="HX127" s="415">
        <v>-0.0098</v>
      </c>
      <c r="HY127" s="192"/>
      <c r="HZ127" s="192"/>
      <c r="IA127" s="389"/>
      <c r="IB127" s="390" t="str">
        <f t="shared" si="240"/>
        <v>2025//12//18</v>
      </c>
      <c r="IC127" s="390"/>
      <c r="ID127" s="390"/>
      <c r="IE127" s="390"/>
      <c r="IF127" s="391"/>
      <c r="IG127" s="391"/>
      <c r="IH127" s="192"/>
      <c r="II127" s="389"/>
      <c r="IJ127" s="390" t="str">
        <f t="shared" si="241"/>
        <v>2025//12//18</v>
      </c>
      <c r="IK127" s="390">
        <v>384396</v>
      </c>
      <c r="IL127" s="390">
        <v>385276</v>
      </c>
      <c r="IM127" s="414">
        <v>-880</v>
      </c>
      <c r="IN127" s="415">
        <v>-0.0023</v>
      </c>
      <c r="IO127" s="192"/>
      <c r="IP127" s="192"/>
      <c r="IQ127" s="389"/>
      <c r="IR127" s="390" t="str">
        <f t="shared" si="242"/>
        <v>2025//12//18</v>
      </c>
      <c r="IS127" s="390">
        <v>112389</v>
      </c>
      <c r="IT127" s="390">
        <v>112989</v>
      </c>
      <c r="IU127" s="414">
        <v>-600</v>
      </c>
      <c r="IV127" s="415">
        <v>-0.0053</v>
      </c>
      <c r="IW127" s="192"/>
      <c r="IX127" s="192"/>
      <c r="IY127" s="389"/>
      <c r="IZ127" s="390" t="str">
        <f t="shared" si="243"/>
        <v>2025//12//18</v>
      </c>
      <c r="JA127" s="390">
        <v>4693229</v>
      </c>
      <c r="JB127" s="390">
        <v>4694629</v>
      </c>
      <c r="JC127" s="414">
        <v>-1400</v>
      </c>
      <c r="JD127" s="415">
        <v>-0.0003</v>
      </c>
      <c r="JE127" s="192"/>
      <c r="JF127" s="192"/>
      <c r="JG127" s="389"/>
      <c r="JH127" s="390" t="str">
        <f t="shared" si="244"/>
        <v>2025//12//18</v>
      </c>
      <c r="JI127" s="390">
        <v>1675528</v>
      </c>
      <c r="JJ127" s="390">
        <v>1685188</v>
      </c>
      <c r="JK127" s="414">
        <v>-9660</v>
      </c>
      <c r="JL127" s="415">
        <v>-0.0057</v>
      </c>
      <c r="JM127" s="192"/>
      <c r="JN127" s="192"/>
      <c r="JO127" s="192"/>
      <c r="JP127" s="390" t="str">
        <f t="shared" si="245"/>
        <v>2025//12//18</v>
      </c>
      <c r="JQ127" s="390">
        <v>1184490</v>
      </c>
      <c r="JR127" s="390">
        <v>1179790</v>
      </c>
      <c r="JS127" s="416">
        <v>4700</v>
      </c>
      <c r="JT127" s="417">
        <v>0.004</v>
      </c>
      <c r="JU127" s="192"/>
      <c r="JV127" s="192"/>
      <c r="JW127" s="409"/>
      <c r="JX127" s="390" t="str">
        <f t="shared" si="246"/>
        <v>2025//12//18</v>
      </c>
      <c r="JY127" s="390">
        <v>1515599</v>
      </c>
      <c r="JZ127" s="390">
        <v>1515649</v>
      </c>
      <c r="KA127" s="414">
        <v>-50</v>
      </c>
      <c r="KB127" s="409">
        <v>0</v>
      </c>
      <c r="KC127" s="192"/>
      <c r="KD127" s="409"/>
      <c r="KF127" s="390" t="str">
        <f t="shared" si="247"/>
        <v>2025//12//18</v>
      </c>
      <c r="KG127" s="390">
        <v>904156</v>
      </c>
      <c r="KH127" s="390">
        <v>904556</v>
      </c>
      <c r="KI127" s="414">
        <v>-400</v>
      </c>
      <c r="KJ127" s="415">
        <v>-0.0004</v>
      </c>
      <c r="KK127" s="391"/>
      <c r="KL127" s="391"/>
      <c r="KM127" s="389"/>
      <c r="KN127" s="390" t="str">
        <f t="shared" si="248"/>
        <v>2025//12//18</v>
      </c>
      <c r="KO127" s="390">
        <v>6634776</v>
      </c>
      <c r="KP127" s="390">
        <v>6615076</v>
      </c>
      <c r="KQ127" s="416">
        <v>19700</v>
      </c>
      <c r="KR127" s="417">
        <v>0.003</v>
      </c>
      <c r="KS127" s="192"/>
      <c r="KT127" s="192"/>
      <c r="KU127" s="389"/>
      <c r="KV127" s="390" t="str">
        <f t="shared" si="249"/>
        <v>2025//12//18</v>
      </c>
      <c r="KW127" s="390">
        <v>1046673</v>
      </c>
      <c r="KX127" s="390">
        <v>1046673</v>
      </c>
      <c r="KY127" s="390">
        <v>0</v>
      </c>
      <c r="KZ127" s="391">
        <v>0</v>
      </c>
      <c r="LA127" s="391"/>
      <c r="LB127" s="192"/>
      <c r="LC127" s="389"/>
      <c r="LD127" s="390" t="str">
        <f t="shared" si="250"/>
        <v>2025//12//18</v>
      </c>
      <c r="LE127" s="390">
        <v>467508</v>
      </c>
      <c r="LF127" s="390">
        <v>468158</v>
      </c>
      <c r="LG127" s="414">
        <v>-650</v>
      </c>
      <c r="LH127" s="415">
        <v>-0.0014</v>
      </c>
      <c r="LI127" s="192"/>
      <c r="LJ127" s="192"/>
      <c r="LK127" s="389"/>
      <c r="LL127" s="390" t="str">
        <f t="shared" si="251"/>
        <v>2025//12//18</v>
      </c>
      <c r="LM127" s="392">
        <v>3591115</v>
      </c>
      <c r="LN127" s="390">
        <v>3611455</v>
      </c>
      <c r="LO127" s="414">
        <v>-20340</v>
      </c>
      <c r="LP127" s="415">
        <v>-0.0056</v>
      </c>
      <c r="LQ127" s="192"/>
      <c r="LR127" s="192"/>
      <c r="LS127" s="389"/>
      <c r="LT127" s="390" t="str">
        <f t="shared" si="252"/>
        <v>2025//12//18</v>
      </c>
      <c r="LU127" s="390">
        <v>2624663</v>
      </c>
      <c r="LV127" s="390">
        <v>2623263</v>
      </c>
      <c r="LW127" s="416">
        <v>1400</v>
      </c>
      <c r="LX127" s="417">
        <v>0.0005</v>
      </c>
      <c r="LY127" s="192"/>
      <c r="LZ127" s="192"/>
      <c r="MA127" s="389"/>
      <c r="MB127" s="390" t="str">
        <f t="shared" si="253"/>
        <v>2025//12//18</v>
      </c>
      <c r="MC127" s="390">
        <v>828018</v>
      </c>
      <c r="MD127" s="390">
        <v>825468</v>
      </c>
      <c r="ME127" s="416">
        <v>2550</v>
      </c>
      <c r="MF127" s="417">
        <v>0.0031</v>
      </c>
      <c r="MG127" s="192"/>
      <c r="MH127" s="192"/>
      <c r="MI127" s="342"/>
      <c r="MJ127" s="341">
        <v>0.9612</v>
      </c>
      <c r="MK127" s="341" t="str">
        <f t="shared" si="254"/>
        <v>2025//12//18</v>
      </c>
      <c r="ML127" s="341">
        <v>237466</v>
      </c>
      <c r="MM127" s="12">
        <f t="shared" si="388"/>
        <v>236626</v>
      </c>
      <c r="MN127" s="341">
        <v>840</v>
      </c>
      <c r="MO127" s="350">
        <v>0.0035</v>
      </c>
      <c r="MP127" s="192"/>
      <c r="MQ127" s="394"/>
      <c r="MR127" s="394"/>
      <c r="MS127" s="204">
        <v>1.1768</v>
      </c>
      <c r="MT127" s="295" t="str">
        <f t="shared" si="255"/>
        <v>2025//12//18</v>
      </c>
      <c r="MU127" s="204">
        <v>17615</v>
      </c>
      <c r="MV127" s="204">
        <f t="shared" si="391"/>
        <v>17615</v>
      </c>
      <c r="MW127" s="204">
        <v>0</v>
      </c>
      <c r="MX127" s="296">
        <v>0</v>
      </c>
      <c r="MY127" s="192"/>
      <c r="MZ127" s="192"/>
      <c r="NA127" s="192"/>
      <c r="NB127" s="204">
        <v>1.185</v>
      </c>
      <c r="NC127" s="204" t="str">
        <f t="shared" si="256"/>
        <v>2025//12//18</v>
      </c>
      <c r="ND127" s="204">
        <v>25691</v>
      </c>
      <c r="NE127" s="204">
        <f t="shared" si="392"/>
        <v>25691</v>
      </c>
      <c r="NF127" s="204">
        <v>0</v>
      </c>
      <c r="NG127" s="296">
        <v>0</v>
      </c>
      <c r="NH127" s="192"/>
      <c r="NI127" s="192"/>
      <c r="NJ127" s="192"/>
      <c r="NK127" s="192"/>
      <c r="NL127" s="205">
        <v>1.1811</v>
      </c>
      <c r="NM127" s="204" t="str">
        <f t="shared" si="257"/>
        <v>2025//12//18</v>
      </c>
      <c r="NN127" s="205">
        <v>2200911</v>
      </c>
      <c r="NO127" s="8">
        <f t="shared" si="393"/>
        <v>2183511</v>
      </c>
      <c r="NP127" s="205">
        <v>17400</v>
      </c>
      <c r="NQ127" s="292">
        <v>0.008</v>
      </c>
      <c r="NR127" s="293"/>
      <c r="NS127" s="205">
        <v>1.0595</v>
      </c>
      <c r="NT127" s="294"/>
      <c r="NU127" s="204" t="str">
        <f t="shared" si="258"/>
        <v>2025//12//18</v>
      </c>
      <c r="NV127" s="205">
        <v>235276</v>
      </c>
      <c r="NW127" s="205">
        <f t="shared" si="394"/>
        <v>235976</v>
      </c>
      <c r="NX127" s="205">
        <v>-700</v>
      </c>
      <c r="NY127" s="292">
        <v>-0.003</v>
      </c>
      <c r="NZ127" s="391"/>
      <c r="OA127" s="389"/>
      <c r="OB127" s="389"/>
      <c r="OC127" s="390" t="str">
        <f t="shared" si="259"/>
        <v>2025//12//18</v>
      </c>
      <c r="OD127" s="390">
        <v>14973</v>
      </c>
      <c r="OE127" s="390">
        <v>15138</v>
      </c>
      <c r="OF127" s="414">
        <v>-165</v>
      </c>
      <c r="OG127" s="415">
        <v>-0.0109</v>
      </c>
      <c r="OH127" s="192"/>
      <c r="OI127" s="192"/>
      <c r="OJ127" s="389"/>
      <c r="OK127" s="390" t="str">
        <f t="shared" si="260"/>
        <v>2025//12//18</v>
      </c>
      <c r="OO127" s="192"/>
      <c r="OP127" s="192"/>
      <c r="OQ127" s="192"/>
      <c r="OT127" s="26" t="str">
        <f t="shared" si="211"/>
        <v>2025//12//18</v>
      </c>
      <c r="OU127" s="206">
        <v>135912.4066</v>
      </c>
      <c r="OV127" s="8">
        <f t="shared" si="401"/>
        <v>135792.4066</v>
      </c>
      <c r="OW127" s="191">
        <f t="shared" si="402"/>
        <v>120</v>
      </c>
      <c r="OX127" s="192">
        <f t="shared" si="403"/>
        <v>0.000883701843163298</v>
      </c>
    </row>
    <row r="128" s="8" customFormat="1" ht="17" customHeight="1" spans="1:414">
      <c r="A128" s="15"/>
      <c r="B128" s="15"/>
      <c r="C128" s="385" t="s">
        <v>557</v>
      </c>
      <c r="D128" s="395">
        <v>9016069</v>
      </c>
      <c r="E128" s="395">
        <v>8972239</v>
      </c>
      <c r="F128" s="459">
        <v>43830</v>
      </c>
      <c r="G128" s="460">
        <v>0.0049</v>
      </c>
      <c r="H128" s="18"/>
      <c r="I128" s="453"/>
      <c r="J128" s="453"/>
      <c r="K128" s="386" t="str">
        <f t="shared" si="212"/>
        <v>2025//12//17</v>
      </c>
      <c r="L128" s="395">
        <v>6642604</v>
      </c>
      <c r="M128" s="395">
        <v>6635134</v>
      </c>
      <c r="N128" s="459">
        <v>7470</v>
      </c>
      <c r="O128" s="460">
        <v>0.0011</v>
      </c>
      <c r="P128" s="18"/>
      <c r="Q128" s="453"/>
      <c r="R128" s="454"/>
      <c r="S128" s="386" t="str">
        <f t="shared" si="213"/>
        <v>2025//12//17</v>
      </c>
      <c r="T128" s="395">
        <v>5716237</v>
      </c>
      <c r="U128" s="395">
        <v>5716777</v>
      </c>
      <c r="V128" s="403">
        <v>-540</v>
      </c>
      <c r="W128" s="404">
        <v>-0.0001</v>
      </c>
      <c r="X128" s="18"/>
      <c r="Y128" s="453"/>
      <c r="Z128" s="454"/>
      <c r="AA128" s="386" t="str">
        <f t="shared" si="214"/>
        <v>2025//12//17</v>
      </c>
      <c r="AB128" s="395">
        <v>1861817</v>
      </c>
      <c r="AC128" s="395">
        <v>1852377</v>
      </c>
      <c r="AD128" s="459">
        <v>9440</v>
      </c>
      <c r="AE128" s="460">
        <v>0.0051</v>
      </c>
      <c r="AF128" s="18"/>
      <c r="AG128" s="453"/>
      <c r="AH128" s="454"/>
      <c r="AI128" s="386" t="str">
        <f t="shared" si="215"/>
        <v>2025//12//17</v>
      </c>
      <c r="AJ128" s="395">
        <v>2524522</v>
      </c>
      <c r="AK128" s="386">
        <v>2513522</v>
      </c>
      <c r="AL128" s="459">
        <v>11000</v>
      </c>
      <c r="AM128" s="460">
        <v>0.0044</v>
      </c>
      <c r="AN128" s="18"/>
      <c r="AO128" s="18"/>
      <c r="AP128" s="454"/>
      <c r="AQ128" s="386" t="str">
        <f t="shared" si="216"/>
        <v>2025//12//17</v>
      </c>
      <c r="AR128" s="418">
        <v>3151545</v>
      </c>
      <c r="AS128" s="395">
        <v>3166445</v>
      </c>
      <c r="AT128" s="403">
        <v>-14900</v>
      </c>
      <c r="AU128" s="404">
        <v>-0.0047</v>
      </c>
      <c r="AV128" s="18"/>
      <c r="AW128" s="18"/>
      <c r="AX128" s="17"/>
      <c r="AY128" s="205">
        <v>4.7724</v>
      </c>
      <c r="AZ128" s="204" t="str">
        <f t="shared" si="217"/>
        <v>2025//12//17</v>
      </c>
      <c r="BA128" s="205">
        <v>4081252</v>
      </c>
      <c r="BB128" s="205">
        <f t="shared" si="279"/>
        <v>4069192</v>
      </c>
      <c r="BC128" s="205">
        <v>12060</v>
      </c>
      <c r="BD128" s="292">
        <v>0.003</v>
      </c>
      <c r="BE128" s="18"/>
      <c r="BF128" s="18"/>
      <c r="BG128" s="74"/>
      <c r="BH128" s="387" t="str">
        <f t="shared" si="218"/>
        <v>2025//12//17</v>
      </c>
      <c r="BI128" s="387">
        <v>210927</v>
      </c>
      <c r="BJ128" s="387">
        <v>209827</v>
      </c>
      <c r="BK128" s="421">
        <v>1100</v>
      </c>
      <c r="BL128" s="422">
        <v>0.0052</v>
      </c>
      <c r="BM128" s="197"/>
      <c r="BN128" s="192"/>
      <c r="BO128" s="389"/>
      <c r="BP128" s="390" t="str">
        <f t="shared" si="219"/>
        <v>2025//12//17</v>
      </c>
      <c r="BQ128" s="392">
        <v>678962</v>
      </c>
      <c r="BR128" s="390">
        <v>667662</v>
      </c>
      <c r="BS128" s="416">
        <v>11300</v>
      </c>
      <c r="BT128" s="417">
        <v>0.0169</v>
      </c>
      <c r="BU128" s="192"/>
      <c r="BV128" s="192"/>
      <c r="BW128" s="389"/>
      <c r="BX128" s="390" t="str">
        <f t="shared" si="220"/>
        <v>2025//12//17</v>
      </c>
      <c r="BY128" s="390">
        <v>1994711</v>
      </c>
      <c r="BZ128" s="390">
        <v>2025011</v>
      </c>
      <c r="CA128" s="414">
        <v>-30300</v>
      </c>
      <c r="CB128" s="415">
        <v>-0.015</v>
      </c>
      <c r="CC128" s="192"/>
      <c r="CD128" s="409"/>
      <c r="CE128" s="389"/>
      <c r="CF128" s="390" t="str">
        <f t="shared" si="221"/>
        <v>2025//12//17</v>
      </c>
      <c r="CG128" s="390">
        <v>983854</v>
      </c>
      <c r="CH128" s="12">
        <f t="shared" si="289"/>
        <v>992404</v>
      </c>
      <c r="CI128" s="12">
        <f t="shared" si="290"/>
        <v>-8550</v>
      </c>
      <c r="CJ128" s="199">
        <f t="shared" si="291"/>
        <v>-0.00861544290430107</v>
      </c>
      <c r="CK128" s="192"/>
      <c r="CL128" s="391"/>
      <c r="CM128" s="389"/>
      <c r="CN128" s="390" t="str">
        <f t="shared" si="222"/>
        <v>2025//12//17</v>
      </c>
      <c r="CO128" s="390">
        <v>139146</v>
      </c>
      <c r="CP128" s="390">
        <v>138346</v>
      </c>
      <c r="CQ128" s="12">
        <f t="shared" si="293"/>
        <v>800</v>
      </c>
      <c r="CR128" s="199">
        <f t="shared" si="294"/>
        <v>0.0057826030387579</v>
      </c>
      <c r="CS128" s="391"/>
      <c r="CT128" s="391"/>
      <c r="CU128" s="389"/>
      <c r="CV128" s="390" t="str">
        <f t="shared" si="223"/>
        <v>2025//12//17</v>
      </c>
      <c r="CW128" s="390">
        <v>641090</v>
      </c>
      <c r="CX128" s="390">
        <v>643940</v>
      </c>
      <c r="CY128" s="414">
        <v>-2850</v>
      </c>
      <c r="CZ128" s="415">
        <v>-0.0044</v>
      </c>
      <c r="DA128" s="192"/>
      <c r="DB128" s="192"/>
      <c r="DC128" s="277"/>
      <c r="DD128" s="390" t="str">
        <f t="shared" si="224"/>
        <v>2025//12//17</v>
      </c>
      <c r="DE128" s="390">
        <v>971318</v>
      </c>
      <c r="DF128" s="12">
        <f t="shared" si="298"/>
        <v>952318</v>
      </c>
      <c r="DG128" s="416">
        <v>9500</v>
      </c>
      <c r="DH128" s="417">
        <v>0.02</v>
      </c>
      <c r="DI128" s="192"/>
      <c r="DJ128" s="192"/>
      <c r="DK128" s="389"/>
      <c r="DL128" s="390" t="str">
        <f t="shared" si="225"/>
        <v>2025//12//17</v>
      </c>
      <c r="DM128" s="390">
        <v>1486700</v>
      </c>
      <c r="DN128" s="390">
        <v>1483100</v>
      </c>
      <c r="DO128" s="416">
        <v>3600</v>
      </c>
      <c r="DP128" s="417">
        <v>0.0024</v>
      </c>
      <c r="DQ128" s="192"/>
      <c r="DR128" s="192"/>
      <c r="DS128" s="389"/>
      <c r="DT128" s="390" t="str">
        <f t="shared" si="226"/>
        <v>2025//12//17</v>
      </c>
      <c r="DU128" s="390">
        <v>1733489</v>
      </c>
      <c r="DV128" s="390">
        <v>1746989</v>
      </c>
      <c r="DW128" s="414">
        <v>-13500</v>
      </c>
      <c r="DX128" s="415">
        <v>-0.0077</v>
      </c>
      <c r="DY128" s="192"/>
      <c r="DZ128" s="192"/>
      <c r="EA128" s="389"/>
      <c r="EB128" s="390" t="str">
        <f t="shared" si="227"/>
        <v>2025//12//17</v>
      </c>
      <c r="EC128" s="390">
        <v>5366967</v>
      </c>
      <c r="ED128" s="390">
        <v>5416467</v>
      </c>
      <c r="EE128" s="414">
        <v>-49500</v>
      </c>
      <c r="EF128" s="415">
        <v>-0.0091</v>
      </c>
      <c r="EG128" s="192"/>
      <c r="EH128" s="192"/>
      <c r="EI128" s="389"/>
      <c r="EJ128" s="390" t="str">
        <f t="shared" si="228"/>
        <v>2025//12//17</v>
      </c>
      <c r="EK128" s="390">
        <v>1486523</v>
      </c>
      <c r="EL128" s="390">
        <v>1491923</v>
      </c>
      <c r="EM128" s="414">
        <v>-5400</v>
      </c>
      <c r="EN128" s="415">
        <v>-0.0036</v>
      </c>
      <c r="EO128" s="192"/>
      <c r="EP128" s="192"/>
      <c r="EQ128" s="340"/>
      <c r="ER128" s="341" t="str">
        <f t="shared" si="229"/>
        <v>2025//12//17</v>
      </c>
      <c r="ES128" s="341">
        <v>483497</v>
      </c>
      <c r="ET128" s="341">
        <v>484847</v>
      </c>
      <c r="EU128" s="341">
        <v>-1350</v>
      </c>
      <c r="EV128" s="350">
        <v>-0.0028</v>
      </c>
      <c r="EW128" s="192"/>
      <c r="EX128" s="192"/>
      <c r="EY128" s="389"/>
      <c r="EZ128" s="390" t="str">
        <f t="shared" si="230"/>
        <v>2025//12//17</v>
      </c>
      <c r="FA128" s="390">
        <v>1026408</v>
      </c>
      <c r="FB128" s="390">
        <v>1027108</v>
      </c>
      <c r="FC128" s="414">
        <v>-700</v>
      </c>
      <c r="FD128" s="415">
        <v>-0.0007</v>
      </c>
      <c r="FE128" s="192"/>
      <c r="FF128" s="192"/>
      <c r="FG128" s="192"/>
      <c r="FH128" s="390" t="str">
        <f t="shared" si="231"/>
        <v>2025//12//17</v>
      </c>
      <c r="FI128" s="392">
        <v>225395</v>
      </c>
      <c r="FJ128" s="390">
        <v>207295</v>
      </c>
      <c r="FK128" s="348">
        <v>18100</v>
      </c>
      <c r="FL128" s="349">
        <v>0.0873</v>
      </c>
      <c r="FM128" s="391"/>
      <c r="FN128" s="391"/>
      <c r="FO128" s="389"/>
      <c r="FP128" s="390" t="str">
        <f t="shared" si="232"/>
        <v>2025//12//17</v>
      </c>
      <c r="FQ128" s="390">
        <v>2645969</v>
      </c>
      <c r="FR128" s="390">
        <v>2639219</v>
      </c>
      <c r="FS128" s="416">
        <v>6750</v>
      </c>
      <c r="FT128" s="417">
        <v>0.0026</v>
      </c>
      <c r="FU128" s="192"/>
      <c r="FV128" s="192"/>
      <c r="FW128" s="389"/>
      <c r="FX128" s="390" t="str">
        <f t="shared" si="233"/>
        <v>2025//12//17</v>
      </c>
      <c r="FY128" s="390">
        <v>7391782</v>
      </c>
      <c r="FZ128" s="390">
        <v>7414882</v>
      </c>
      <c r="GA128" s="414">
        <v>-23100</v>
      </c>
      <c r="GB128" s="415">
        <v>-0.0031</v>
      </c>
      <c r="GC128" s="192"/>
      <c r="GD128" s="192"/>
      <c r="GE128" s="389"/>
      <c r="GF128" s="390" t="str">
        <f t="shared" si="234"/>
        <v>2025//12//17</v>
      </c>
      <c r="GG128" s="390">
        <v>4436969</v>
      </c>
      <c r="GH128" s="390">
        <v>4463469</v>
      </c>
      <c r="GI128" s="414">
        <v>-26500</v>
      </c>
      <c r="GJ128" s="415">
        <v>-0.0059</v>
      </c>
      <c r="GK128" s="192"/>
      <c r="GL128" s="192"/>
      <c r="GM128" s="389"/>
      <c r="GN128" s="390" t="str">
        <f t="shared" si="235"/>
        <v>2025//12//17</v>
      </c>
      <c r="GO128" s="390">
        <v>1511098</v>
      </c>
      <c r="GP128" s="390">
        <v>1512478</v>
      </c>
      <c r="GQ128" s="414">
        <v>-1380</v>
      </c>
      <c r="GR128" s="415">
        <v>-0.0009</v>
      </c>
      <c r="GS128" s="192"/>
      <c r="GT128" s="192"/>
      <c r="GU128" s="389"/>
      <c r="GV128" s="390" t="str">
        <f t="shared" si="236"/>
        <v>2025//12//17</v>
      </c>
      <c r="GW128" s="390">
        <v>1254349</v>
      </c>
      <c r="GX128" s="390">
        <v>1271149</v>
      </c>
      <c r="GY128" s="414">
        <v>-16800</v>
      </c>
      <c r="GZ128" s="415">
        <v>-0.0132</v>
      </c>
      <c r="HA128" s="192"/>
      <c r="HB128" s="192"/>
      <c r="HC128" s="389"/>
      <c r="HD128" s="390" t="str">
        <f t="shared" si="237"/>
        <v>2025//12//17</v>
      </c>
      <c r="HE128" s="390">
        <v>1434165</v>
      </c>
      <c r="HF128" s="390">
        <v>1449565</v>
      </c>
      <c r="HG128" s="414">
        <v>-15400</v>
      </c>
      <c r="HH128" s="415">
        <v>-0.0106</v>
      </c>
      <c r="HI128" s="391"/>
      <c r="HJ128" s="192"/>
      <c r="HK128" s="389"/>
      <c r="HL128" s="390" t="str">
        <f t="shared" si="238"/>
        <v>2025//12//17</v>
      </c>
      <c r="HM128" s="390">
        <v>180804</v>
      </c>
      <c r="HN128" s="390">
        <v>181654</v>
      </c>
      <c r="HO128" s="414">
        <v>-850</v>
      </c>
      <c r="HP128" s="415">
        <v>-0.0047</v>
      </c>
      <c r="HQ128" s="192"/>
      <c r="HR128" s="192"/>
      <c r="HS128" s="389"/>
      <c r="HT128" s="390" t="str">
        <f t="shared" si="239"/>
        <v>2025//12//17</v>
      </c>
      <c r="HU128" s="390">
        <v>122769</v>
      </c>
      <c r="HV128" s="390">
        <v>123769</v>
      </c>
      <c r="HW128" s="414">
        <v>-1000</v>
      </c>
      <c r="HX128" s="415">
        <v>-0.0081</v>
      </c>
      <c r="HY128" s="192"/>
      <c r="HZ128" s="192"/>
      <c r="IA128" s="389"/>
      <c r="IB128" s="390" t="str">
        <f t="shared" si="240"/>
        <v>2025//12//17</v>
      </c>
      <c r="IC128" s="390"/>
      <c r="ID128" s="390"/>
      <c r="IE128" s="390"/>
      <c r="IF128" s="391"/>
      <c r="IG128" s="391"/>
      <c r="IH128" s="192"/>
      <c r="II128" s="389"/>
      <c r="IJ128" s="390" t="str">
        <f t="shared" si="241"/>
        <v>2025//12//17</v>
      </c>
      <c r="IK128" s="390">
        <v>385276</v>
      </c>
      <c r="IL128" s="390">
        <v>385676</v>
      </c>
      <c r="IM128" s="414">
        <v>-400</v>
      </c>
      <c r="IN128" s="415">
        <v>-0.001</v>
      </c>
      <c r="IO128" s="192"/>
      <c r="IP128" s="192"/>
      <c r="IQ128" s="389"/>
      <c r="IR128" s="390" t="str">
        <f t="shared" si="242"/>
        <v>2025//12//17</v>
      </c>
      <c r="IS128" s="390">
        <v>112989</v>
      </c>
      <c r="IT128" s="390">
        <v>112989</v>
      </c>
      <c r="IU128" s="410">
        <v>0</v>
      </c>
      <c r="IV128" s="409">
        <v>0</v>
      </c>
      <c r="IW128" s="192"/>
      <c r="IX128" s="192"/>
      <c r="IY128" s="389"/>
      <c r="IZ128" s="390" t="str">
        <f t="shared" si="243"/>
        <v>2025//12//17</v>
      </c>
      <c r="JA128" s="390">
        <v>4694629</v>
      </c>
      <c r="JB128" s="390">
        <v>4733429</v>
      </c>
      <c r="JC128" s="414">
        <v>-38800</v>
      </c>
      <c r="JD128" s="415">
        <v>-0.0082</v>
      </c>
      <c r="JE128" s="192"/>
      <c r="JF128" s="192"/>
      <c r="JG128" s="389"/>
      <c r="JH128" s="390" t="str">
        <f t="shared" si="244"/>
        <v>2025//12//17</v>
      </c>
      <c r="JI128" s="390">
        <v>1685188</v>
      </c>
      <c r="JJ128" s="390">
        <v>1714288</v>
      </c>
      <c r="JK128" s="414">
        <v>-29100</v>
      </c>
      <c r="JL128" s="415">
        <v>-0.017</v>
      </c>
      <c r="JM128" s="192"/>
      <c r="JN128" s="192"/>
      <c r="JO128" s="192"/>
      <c r="JP128" s="390" t="str">
        <f t="shared" si="245"/>
        <v>2025//12//17</v>
      </c>
      <c r="JQ128" s="390">
        <v>1179790</v>
      </c>
      <c r="JR128" s="390">
        <v>1178190</v>
      </c>
      <c r="JS128" s="416">
        <v>1600</v>
      </c>
      <c r="JT128" s="417">
        <v>0.0014</v>
      </c>
      <c r="JU128" s="192"/>
      <c r="JV128" s="192"/>
      <c r="JW128" s="409"/>
      <c r="JX128" s="390" t="str">
        <f t="shared" si="246"/>
        <v>2025//12//17</v>
      </c>
      <c r="JY128" s="390">
        <v>1515649</v>
      </c>
      <c r="JZ128" s="390">
        <v>1507949</v>
      </c>
      <c r="KA128" s="416">
        <v>7700</v>
      </c>
      <c r="KB128" s="417">
        <v>0.0051</v>
      </c>
      <c r="KC128" s="192"/>
      <c r="KD128" s="409"/>
      <c r="KF128" s="390" t="str">
        <f t="shared" si="247"/>
        <v>2025//12//17</v>
      </c>
      <c r="KG128" s="390">
        <v>904556</v>
      </c>
      <c r="KH128" s="390">
        <v>904556</v>
      </c>
      <c r="KI128" s="410">
        <v>0</v>
      </c>
      <c r="KJ128" s="409">
        <v>0</v>
      </c>
      <c r="KK128" s="391"/>
      <c r="KL128" s="391"/>
      <c r="KM128" s="389"/>
      <c r="KN128" s="390" t="str">
        <f t="shared" si="248"/>
        <v>2025//12//17</v>
      </c>
      <c r="KO128" s="390">
        <v>6615076</v>
      </c>
      <c r="KP128" s="390">
        <v>6601176</v>
      </c>
      <c r="KQ128" s="416">
        <v>13900</v>
      </c>
      <c r="KR128" s="417">
        <v>0.0021</v>
      </c>
      <c r="KS128" s="192"/>
      <c r="KT128" s="192"/>
      <c r="KU128" s="389"/>
      <c r="KV128" s="390" t="str">
        <f t="shared" si="249"/>
        <v>2025//12//17</v>
      </c>
      <c r="KW128" s="390">
        <v>1046673</v>
      </c>
      <c r="KX128" s="390">
        <v>1046673</v>
      </c>
      <c r="KY128" s="390">
        <v>0</v>
      </c>
      <c r="KZ128" s="391">
        <v>0</v>
      </c>
      <c r="LA128" s="391"/>
      <c r="LB128" s="192"/>
      <c r="LC128" s="389"/>
      <c r="LD128" s="390" t="str">
        <f t="shared" si="250"/>
        <v>2025//12//17</v>
      </c>
      <c r="LE128" s="390">
        <v>468158</v>
      </c>
      <c r="LF128" s="390">
        <v>468458</v>
      </c>
      <c r="LG128" s="414">
        <v>-300</v>
      </c>
      <c r="LH128" s="415">
        <v>-0.0006</v>
      </c>
      <c r="LI128" s="192"/>
      <c r="LJ128" s="192"/>
      <c r="LK128" s="389"/>
      <c r="LL128" s="390" t="str">
        <f t="shared" si="251"/>
        <v>2025//12//17</v>
      </c>
      <c r="LM128" s="392">
        <v>3611455</v>
      </c>
      <c r="LN128" s="390">
        <v>3605695</v>
      </c>
      <c r="LO128" s="416">
        <v>5760</v>
      </c>
      <c r="LP128" s="417">
        <v>0.0016</v>
      </c>
      <c r="LQ128" s="192"/>
      <c r="LR128" s="192"/>
      <c r="LS128" s="389"/>
      <c r="LT128" s="390" t="str">
        <f t="shared" si="252"/>
        <v>2025//12//17</v>
      </c>
      <c r="LU128" s="390">
        <v>2623263</v>
      </c>
      <c r="LV128" s="390">
        <v>2623263</v>
      </c>
      <c r="LW128" s="410">
        <v>0</v>
      </c>
      <c r="LX128" s="409">
        <v>0</v>
      </c>
      <c r="LY128" s="192"/>
      <c r="LZ128" s="192"/>
      <c r="MA128" s="389"/>
      <c r="MB128" s="390" t="str">
        <f t="shared" si="253"/>
        <v>2025//12//17</v>
      </c>
      <c r="MC128" s="390">
        <v>825468</v>
      </c>
      <c r="MD128" s="390">
        <v>827318</v>
      </c>
      <c r="ME128" s="414">
        <v>-1850</v>
      </c>
      <c r="MF128" s="415">
        <v>-0.0022</v>
      </c>
      <c r="MG128" s="192"/>
      <c r="MH128" s="192"/>
      <c r="MI128" s="342"/>
      <c r="MJ128" s="341">
        <v>0.9696</v>
      </c>
      <c r="MK128" s="341" t="str">
        <f t="shared" si="254"/>
        <v>2025//12//17</v>
      </c>
      <c r="ML128" s="341">
        <v>236626</v>
      </c>
      <c r="MM128" s="12">
        <f t="shared" si="388"/>
        <v>235426</v>
      </c>
      <c r="MN128" s="341">
        <v>1200</v>
      </c>
      <c r="MO128" s="350">
        <v>0.0051</v>
      </c>
      <c r="MP128" s="192"/>
      <c r="MQ128" s="394"/>
      <c r="MR128" s="394"/>
      <c r="MS128" s="204">
        <v>1.1713</v>
      </c>
      <c r="MT128" s="295" t="str">
        <f t="shared" si="255"/>
        <v>2025//12//17</v>
      </c>
      <c r="MU128" s="204">
        <v>17615</v>
      </c>
      <c r="MV128" s="204">
        <f t="shared" si="391"/>
        <v>17615</v>
      </c>
      <c r="MW128" s="204">
        <v>0</v>
      </c>
      <c r="MX128" s="296">
        <v>0</v>
      </c>
      <c r="MY128" s="192"/>
      <c r="MZ128" s="192"/>
      <c r="NA128" s="192"/>
      <c r="NB128" s="204">
        <v>1.178</v>
      </c>
      <c r="NC128" s="204" t="str">
        <f t="shared" si="256"/>
        <v>2025//12//17</v>
      </c>
      <c r="ND128" s="204">
        <v>25691</v>
      </c>
      <c r="NE128" s="204">
        <f t="shared" si="392"/>
        <v>25491</v>
      </c>
      <c r="NF128" s="204">
        <v>200</v>
      </c>
      <c r="NG128" s="296">
        <v>0.0078</v>
      </c>
      <c r="NH128" s="192"/>
      <c r="NI128" s="192"/>
      <c r="NJ128" s="192"/>
      <c r="NK128" s="192"/>
      <c r="NL128" s="205">
        <v>1.1692</v>
      </c>
      <c r="NM128" s="204" t="str">
        <f t="shared" si="257"/>
        <v>2025//12//17</v>
      </c>
      <c r="NN128" s="205">
        <v>2183511</v>
      </c>
      <c r="NO128" s="8">
        <f t="shared" si="393"/>
        <v>2175411</v>
      </c>
      <c r="NP128" s="205">
        <v>8100</v>
      </c>
      <c r="NQ128" s="292">
        <v>0.0037</v>
      </c>
      <c r="NR128" s="293"/>
      <c r="NS128" s="205">
        <v>1.0567</v>
      </c>
      <c r="NT128" s="294"/>
      <c r="NU128" s="204" t="str">
        <f t="shared" si="258"/>
        <v>2025//12//17</v>
      </c>
      <c r="NV128" s="205">
        <v>235976</v>
      </c>
      <c r="NW128" s="205">
        <f t="shared" si="394"/>
        <v>236826</v>
      </c>
      <c r="NX128" s="205">
        <v>-850</v>
      </c>
      <c r="NY128" s="292">
        <v>-0.0036</v>
      </c>
      <c r="NZ128" s="391"/>
      <c r="OA128" s="389"/>
      <c r="OB128" s="389"/>
      <c r="OC128" s="390" t="str">
        <f t="shared" si="259"/>
        <v>2025//12//17</v>
      </c>
      <c r="OD128" s="390">
        <v>15138</v>
      </c>
      <c r="OE128" s="390">
        <v>15253</v>
      </c>
      <c r="OF128" s="414">
        <v>-115</v>
      </c>
      <c r="OG128" s="415">
        <v>-0.0075</v>
      </c>
      <c r="OH128" s="192"/>
      <c r="OI128" s="192"/>
      <c r="OJ128" s="389"/>
      <c r="OK128" s="390" t="str">
        <f t="shared" si="260"/>
        <v>2025//12//17</v>
      </c>
      <c r="OO128" s="192"/>
      <c r="OP128" s="192"/>
      <c r="OQ128" s="192"/>
      <c r="OT128" s="26" t="str">
        <f t="shared" si="211"/>
        <v>2025//12//17</v>
      </c>
      <c r="OU128" s="206">
        <v>135792.4066</v>
      </c>
      <c r="OV128" s="8">
        <f t="shared" si="401"/>
        <v>135672.4066</v>
      </c>
      <c r="OW128" s="191">
        <f t="shared" si="402"/>
        <v>120</v>
      </c>
      <c r="OX128" s="192">
        <f t="shared" si="403"/>
        <v>0.000884483462829648</v>
      </c>
    </row>
    <row r="129" s="8" customFormat="1" ht="17" customHeight="1" spans="1:414">
      <c r="A129" s="15"/>
      <c r="B129" s="15"/>
      <c r="C129" s="385" t="s">
        <v>558</v>
      </c>
      <c r="D129" s="395">
        <v>8972239</v>
      </c>
      <c r="E129" s="395">
        <v>8977999</v>
      </c>
      <c r="F129" s="403">
        <v>-5760</v>
      </c>
      <c r="G129" s="404">
        <v>-0.0006</v>
      </c>
      <c r="H129" s="18"/>
      <c r="I129" s="453"/>
      <c r="J129" s="453"/>
      <c r="K129" s="386" t="str">
        <f t="shared" si="212"/>
        <v>2025//12//16</v>
      </c>
      <c r="L129" s="395">
        <v>6635134</v>
      </c>
      <c r="M129" s="395">
        <v>6634234</v>
      </c>
      <c r="N129" s="459">
        <v>900</v>
      </c>
      <c r="O129" s="460">
        <v>0.0001</v>
      </c>
      <c r="P129" s="18"/>
      <c r="Q129" s="453"/>
      <c r="R129" s="454"/>
      <c r="S129" s="386" t="str">
        <f t="shared" si="213"/>
        <v>2025//12//16</v>
      </c>
      <c r="T129" s="395">
        <v>5716777</v>
      </c>
      <c r="U129" s="395">
        <v>5750257</v>
      </c>
      <c r="V129" s="403">
        <v>-33480</v>
      </c>
      <c r="W129" s="404">
        <v>-0.0058</v>
      </c>
      <c r="X129" s="18"/>
      <c r="Y129" s="453"/>
      <c r="Z129" s="454"/>
      <c r="AA129" s="386" t="str">
        <f t="shared" si="214"/>
        <v>2025//12//16</v>
      </c>
      <c r="AB129" s="395">
        <v>1852377</v>
      </c>
      <c r="AC129" s="395">
        <v>1853377</v>
      </c>
      <c r="AD129" s="403">
        <v>-1000</v>
      </c>
      <c r="AE129" s="404">
        <v>-0.0005</v>
      </c>
      <c r="AF129" s="18"/>
      <c r="AG129" s="453"/>
      <c r="AH129" s="454"/>
      <c r="AI129" s="386" t="str">
        <f t="shared" si="215"/>
        <v>2025//12//16</v>
      </c>
      <c r="AJ129" s="395">
        <v>2513522</v>
      </c>
      <c r="AK129" s="386">
        <v>2508322</v>
      </c>
      <c r="AL129" s="459">
        <v>5200</v>
      </c>
      <c r="AM129" s="460">
        <v>0.0021</v>
      </c>
      <c r="AN129" s="18"/>
      <c r="AO129" s="18"/>
      <c r="AP129" s="454"/>
      <c r="AQ129" s="386" t="str">
        <f t="shared" si="216"/>
        <v>2025//12//16</v>
      </c>
      <c r="AR129" s="418">
        <v>3166445</v>
      </c>
      <c r="AS129" s="395">
        <v>3144545</v>
      </c>
      <c r="AT129" s="459">
        <v>21900</v>
      </c>
      <c r="AU129" s="460">
        <v>0.007</v>
      </c>
      <c r="AV129" s="18"/>
      <c r="AW129" s="18"/>
      <c r="AX129" s="17"/>
      <c r="AY129" s="205">
        <v>4.6859</v>
      </c>
      <c r="AZ129" s="204" t="str">
        <f t="shared" si="217"/>
        <v>2025//12//16</v>
      </c>
      <c r="BA129" s="205">
        <v>4069192</v>
      </c>
      <c r="BB129" s="205">
        <f t="shared" si="279"/>
        <v>4063612</v>
      </c>
      <c r="BC129" s="205">
        <v>5580</v>
      </c>
      <c r="BD129" s="292">
        <v>0.0014</v>
      </c>
      <c r="BE129" s="18"/>
      <c r="BF129" s="18"/>
      <c r="BG129" s="74"/>
      <c r="BH129" s="387" t="str">
        <f t="shared" si="218"/>
        <v>2025//12//16</v>
      </c>
      <c r="BI129" s="387">
        <v>209827</v>
      </c>
      <c r="BJ129" s="387">
        <v>203627</v>
      </c>
      <c r="BK129" s="421">
        <v>6200</v>
      </c>
      <c r="BL129" s="422">
        <v>0.0304</v>
      </c>
      <c r="BM129" s="197"/>
      <c r="BN129" s="192"/>
      <c r="BO129" s="389"/>
      <c r="BP129" s="390" t="str">
        <f t="shared" si="219"/>
        <v>2025//12//16</v>
      </c>
      <c r="BQ129" s="392">
        <v>667662</v>
      </c>
      <c r="BR129" s="390">
        <v>661862</v>
      </c>
      <c r="BS129" s="416">
        <v>5800</v>
      </c>
      <c r="BT129" s="417">
        <v>0.0088</v>
      </c>
      <c r="BU129" s="192"/>
      <c r="BV129" s="192"/>
      <c r="BW129" s="389"/>
      <c r="BX129" s="390" t="str">
        <f t="shared" si="220"/>
        <v>2025//12//16</v>
      </c>
      <c r="BY129" s="390">
        <v>2025011</v>
      </c>
      <c r="BZ129" s="390">
        <v>2045611</v>
      </c>
      <c r="CA129" s="414">
        <v>-20600</v>
      </c>
      <c r="CB129" s="415">
        <v>-0.0101</v>
      </c>
      <c r="CC129" s="192"/>
      <c r="CD129" s="409"/>
      <c r="CE129" s="389"/>
      <c r="CF129" s="390" t="str">
        <f t="shared" si="221"/>
        <v>2025//12//16</v>
      </c>
      <c r="CG129" s="390">
        <v>992404</v>
      </c>
      <c r="CH129" s="12">
        <f t="shared" si="289"/>
        <v>983754</v>
      </c>
      <c r="CI129" s="12">
        <f t="shared" si="290"/>
        <v>8650</v>
      </c>
      <c r="CJ129" s="199">
        <f t="shared" si="291"/>
        <v>0.00879284861865873</v>
      </c>
      <c r="CK129" s="192"/>
      <c r="CL129" s="391"/>
      <c r="CM129" s="389"/>
      <c r="CN129" s="390" t="str">
        <f t="shared" si="222"/>
        <v>2025//12//16</v>
      </c>
      <c r="CO129" s="390">
        <v>138346</v>
      </c>
      <c r="CP129" s="390">
        <v>137246</v>
      </c>
      <c r="CQ129" s="12">
        <f t="shared" si="293"/>
        <v>1100</v>
      </c>
      <c r="CR129" s="199">
        <f t="shared" si="294"/>
        <v>0.00801480553167305</v>
      </c>
      <c r="CS129" s="391"/>
      <c r="CT129" s="391"/>
      <c r="CU129" s="389"/>
      <c r="CV129" s="390" t="str">
        <f t="shared" si="223"/>
        <v>2025//12//16</v>
      </c>
      <c r="CW129" s="390">
        <v>643940</v>
      </c>
      <c r="CX129" s="390">
        <v>640640</v>
      </c>
      <c r="CY129" s="416">
        <v>3300</v>
      </c>
      <c r="CZ129" s="417">
        <v>0.0052</v>
      </c>
      <c r="DA129" s="192"/>
      <c r="DB129" s="192"/>
      <c r="DC129" s="277"/>
      <c r="DD129" s="390" t="str">
        <f t="shared" si="224"/>
        <v>2025//12//16</v>
      </c>
      <c r="DE129" s="390">
        <v>952318</v>
      </c>
      <c r="DF129" s="12">
        <f t="shared" si="298"/>
        <v>904718</v>
      </c>
      <c r="DG129" s="416">
        <v>23800</v>
      </c>
      <c r="DH129" s="417">
        <v>0.0526</v>
      </c>
      <c r="DI129" s="192"/>
      <c r="DJ129" s="192"/>
      <c r="DK129" s="389"/>
      <c r="DL129" s="390" t="str">
        <f t="shared" si="225"/>
        <v>2025//12//16</v>
      </c>
      <c r="DM129" s="390">
        <v>1483100</v>
      </c>
      <c r="DN129" s="390">
        <v>1469300</v>
      </c>
      <c r="DO129" s="416">
        <v>13800</v>
      </c>
      <c r="DP129" s="417">
        <v>0.0094</v>
      </c>
      <c r="DQ129" s="192"/>
      <c r="DR129" s="192"/>
      <c r="DS129" s="389"/>
      <c r="DT129" s="390" t="str">
        <f t="shared" si="226"/>
        <v>2025//12//16</v>
      </c>
      <c r="DU129" s="390">
        <v>1746989</v>
      </c>
      <c r="DV129" s="390">
        <v>1737089</v>
      </c>
      <c r="DW129" s="416">
        <v>9900</v>
      </c>
      <c r="DX129" s="417">
        <v>0.0057</v>
      </c>
      <c r="DY129" s="192"/>
      <c r="DZ129" s="192"/>
      <c r="EA129" s="389"/>
      <c r="EB129" s="390" t="str">
        <f t="shared" si="227"/>
        <v>2025//12//16</v>
      </c>
      <c r="EC129" s="390">
        <v>5416467</v>
      </c>
      <c r="ED129" s="390">
        <v>5353467</v>
      </c>
      <c r="EE129" s="416">
        <v>63000</v>
      </c>
      <c r="EF129" s="417">
        <v>0.0118</v>
      </c>
      <c r="EG129" s="192"/>
      <c r="EH129" s="192"/>
      <c r="EI129" s="389"/>
      <c r="EJ129" s="390" t="str">
        <f t="shared" si="228"/>
        <v>2025//12//16</v>
      </c>
      <c r="EK129" s="390">
        <v>1491923</v>
      </c>
      <c r="EL129" s="390">
        <v>1492323</v>
      </c>
      <c r="EM129" s="414">
        <v>-400</v>
      </c>
      <c r="EN129" s="415">
        <v>-0.0003</v>
      </c>
      <c r="EO129" s="192"/>
      <c r="EP129" s="192"/>
      <c r="EQ129" s="340"/>
      <c r="ER129" s="341" t="str">
        <f t="shared" si="229"/>
        <v>2025//12//16</v>
      </c>
      <c r="ES129" s="341">
        <v>484847</v>
      </c>
      <c r="ET129" s="341">
        <v>483497</v>
      </c>
      <c r="EU129" s="341">
        <v>1350</v>
      </c>
      <c r="EV129" s="350">
        <v>0.0028</v>
      </c>
      <c r="EW129" s="192"/>
      <c r="EX129" s="192"/>
      <c r="EY129" s="389"/>
      <c r="EZ129" s="390" t="str">
        <f t="shared" si="230"/>
        <v>2025//12//16</v>
      </c>
      <c r="FA129" s="390">
        <v>1027108</v>
      </c>
      <c r="FB129" s="390">
        <v>1045708</v>
      </c>
      <c r="FC129" s="414">
        <v>-18600</v>
      </c>
      <c r="FD129" s="415">
        <v>-0.0178</v>
      </c>
      <c r="FE129" s="192"/>
      <c r="FF129" s="192"/>
      <c r="FG129" s="192"/>
      <c r="FH129" s="390" t="str">
        <f t="shared" si="231"/>
        <v>2025//12//16</v>
      </c>
      <c r="FI129" s="392">
        <v>207295</v>
      </c>
      <c r="FJ129" s="390">
        <v>201695</v>
      </c>
      <c r="FK129" s="348">
        <v>5600</v>
      </c>
      <c r="FL129" s="349">
        <v>0.0278</v>
      </c>
      <c r="FM129" s="391"/>
      <c r="FN129" s="391"/>
      <c r="FO129" s="389"/>
      <c r="FP129" s="390" t="str">
        <f t="shared" si="232"/>
        <v>2025//12//16</v>
      </c>
      <c r="FQ129" s="390">
        <v>2639219</v>
      </c>
      <c r="FR129" s="390">
        <v>2638469</v>
      </c>
      <c r="FS129" s="416">
        <v>750</v>
      </c>
      <c r="FT129" s="417">
        <v>0.0003</v>
      </c>
      <c r="FU129" s="192"/>
      <c r="FV129" s="192"/>
      <c r="FW129" s="389"/>
      <c r="FX129" s="390" t="str">
        <f t="shared" si="233"/>
        <v>2025//12//16</v>
      </c>
      <c r="FY129" s="390">
        <v>7414882</v>
      </c>
      <c r="FZ129" s="390">
        <v>7393482</v>
      </c>
      <c r="GA129" s="416">
        <v>21400</v>
      </c>
      <c r="GB129" s="417">
        <v>0.0029</v>
      </c>
      <c r="GC129" s="192"/>
      <c r="GD129" s="192"/>
      <c r="GE129" s="389"/>
      <c r="GF129" s="390" t="str">
        <f t="shared" si="234"/>
        <v>2025//12//16</v>
      </c>
      <c r="GG129" s="390">
        <v>4463469</v>
      </c>
      <c r="GH129" s="390">
        <v>4431069</v>
      </c>
      <c r="GI129" s="416">
        <v>32400</v>
      </c>
      <c r="GJ129" s="417">
        <v>0.0073</v>
      </c>
      <c r="GK129" s="192"/>
      <c r="GL129" s="192"/>
      <c r="GM129" s="389"/>
      <c r="GN129" s="390" t="str">
        <f t="shared" si="235"/>
        <v>2025//12//16</v>
      </c>
      <c r="GO129" s="390">
        <v>1512478</v>
      </c>
      <c r="GP129" s="390">
        <v>1508818</v>
      </c>
      <c r="GQ129" s="416">
        <v>3660</v>
      </c>
      <c r="GR129" s="417">
        <v>0.0024</v>
      </c>
      <c r="GS129" s="192"/>
      <c r="GT129" s="192"/>
      <c r="GU129" s="389"/>
      <c r="GV129" s="390" t="str">
        <f t="shared" si="236"/>
        <v>2025//12//16</v>
      </c>
      <c r="GW129" s="390">
        <v>1271149</v>
      </c>
      <c r="GX129" s="390">
        <v>1291949</v>
      </c>
      <c r="GY129" s="414">
        <v>-20800</v>
      </c>
      <c r="GZ129" s="415">
        <v>-0.0161</v>
      </c>
      <c r="HA129" s="192"/>
      <c r="HB129" s="192"/>
      <c r="HC129" s="389"/>
      <c r="HD129" s="390" t="str">
        <f t="shared" si="237"/>
        <v>2025//12//16</v>
      </c>
      <c r="HE129" s="390">
        <v>1449565</v>
      </c>
      <c r="HF129" s="390">
        <v>1446165</v>
      </c>
      <c r="HG129" s="416">
        <v>3400</v>
      </c>
      <c r="HH129" s="417">
        <v>0.0024</v>
      </c>
      <c r="HI129" s="391"/>
      <c r="HJ129" s="192"/>
      <c r="HK129" s="389"/>
      <c r="HL129" s="390" t="str">
        <f t="shared" si="238"/>
        <v>2025//12//16</v>
      </c>
      <c r="HM129" s="390">
        <v>181654</v>
      </c>
      <c r="HN129" s="390">
        <v>182854</v>
      </c>
      <c r="HO129" s="414">
        <v>-1200</v>
      </c>
      <c r="HP129" s="415">
        <v>-0.0066</v>
      </c>
      <c r="HQ129" s="192"/>
      <c r="HR129" s="192"/>
      <c r="HS129" s="389"/>
      <c r="HT129" s="390" t="str">
        <f t="shared" si="239"/>
        <v>2025//12//16</v>
      </c>
      <c r="HU129" s="390">
        <v>123769</v>
      </c>
      <c r="HV129" s="390">
        <v>124769</v>
      </c>
      <c r="HW129" s="414">
        <v>-1000</v>
      </c>
      <c r="HX129" s="415">
        <v>-0.008</v>
      </c>
      <c r="HY129" s="192"/>
      <c r="HZ129" s="192"/>
      <c r="IA129" s="389"/>
      <c r="IB129" s="390" t="str">
        <f t="shared" si="240"/>
        <v>2025//12//16</v>
      </c>
      <c r="IC129" s="390"/>
      <c r="ID129" s="390"/>
      <c r="IE129" s="390"/>
      <c r="IF129" s="391"/>
      <c r="IG129" s="391"/>
      <c r="IH129" s="192"/>
      <c r="II129" s="389"/>
      <c r="IJ129" s="390" t="str">
        <f t="shared" si="241"/>
        <v>2025//12//16</v>
      </c>
      <c r="IK129" s="390">
        <v>385676</v>
      </c>
      <c r="IL129" s="390">
        <v>386636</v>
      </c>
      <c r="IM129" s="414">
        <v>-960</v>
      </c>
      <c r="IN129" s="415">
        <v>-0.0025</v>
      </c>
      <c r="IO129" s="192"/>
      <c r="IP129" s="192"/>
      <c r="IQ129" s="389"/>
      <c r="IR129" s="390" t="str">
        <f t="shared" si="242"/>
        <v>2025//12//16</v>
      </c>
      <c r="IS129" s="390">
        <v>112989</v>
      </c>
      <c r="IT129" s="390">
        <v>113689</v>
      </c>
      <c r="IU129" s="414">
        <v>-700</v>
      </c>
      <c r="IV129" s="415">
        <v>-0.0062</v>
      </c>
      <c r="IW129" s="192"/>
      <c r="IX129" s="192"/>
      <c r="IY129" s="389"/>
      <c r="IZ129" s="390" t="str">
        <f t="shared" si="243"/>
        <v>2025//12//16</v>
      </c>
      <c r="JA129" s="390">
        <v>4733429</v>
      </c>
      <c r="JB129" s="390">
        <v>4710529</v>
      </c>
      <c r="JC129" s="416">
        <v>22900</v>
      </c>
      <c r="JD129" s="417">
        <v>0.0049</v>
      </c>
      <c r="JE129" s="192"/>
      <c r="JF129" s="192"/>
      <c r="JG129" s="389"/>
      <c r="JH129" s="390" t="str">
        <f t="shared" si="244"/>
        <v>2025//12//16</v>
      </c>
      <c r="JI129" s="390">
        <v>1714288</v>
      </c>
      <c r="JJ129" s="390">
        <v>1704928</v>
      </c>
      <c r="JK129" s="416">
        <v>9360</v>
      </c>
      <c r="JL129" s="417">
        <v>0.0055</v>
      </c>
      <c r="JM129" s="192"/>
      <c r="JN129" s="192"/>
      <c r="JO129" s="192"/>
      <c r="JP129" s="390" t="str">
        <f t="shared" si="245"/>
        <v>2025//12//16</v>
      </c>
      <c r="JQ129" s="390">
        <v>1178190</v>
      </c>
      <c r="JR129" s="390">
        <v>1185290</v>
      </c>
      <c r="JS129" s="414">
        <v>-7100</v>
      </c>
      <c r="JT129" s="415">
        <v>-0.006</v>
      </c>
      <c r="JU129" s="192"/>
      <c r="JV129" s="192"/>
      <c r="JW129" s="409"/>
      <c r="JX129" s="390" t="str">
        <f t="shared" si="246"/>
        <v>2025//12//16</v>
      </c>
      <c r="JY129" s="390">
        <v>1507949</v>
      </c>
      <c r="JZ129" s="390">
        <v>1507899</v>
      </c>
      <c r="KA129" s="416">
        <v>50</v>
      </c>
      <c r="KB129" s="409">
        <v>0</v>
      </c>
      <c r="KC129" s="192"/>
      <c r="KD129" s="409"/>
      <c r="KF129" s="390" t="str">
        <f t="shared" si="247"/>
        <v>2025//12//16</v>
      </c>
      <c r="KG129" s="390">
        <v>904556</v>
      </c>
      <c r="KH129" s="390">
        <v>904556</v>
      </c>
      <c r="KI129" s="410">
        <v>0</v>
      </c>
      <c r="KJ129" s="409">
        <v>0</v>
      </c>
      <c r="KK129" s="391"/>
      <c r="KL129" s="391"/>
      <c r="KM129" s="389"/>
      <c r="KN129" s="390" t="str">
        <f t="shared" si="248"/>
        <v>2025//12//16</v>
      </c>
      <c r="KO129" s="390">
        <v>6601176</v>
      </c>
      <c r="KP129" s="390">
        <v>6453076</v>
      </c>
      <c r="KQ129" s="416">
        <v>148100</v>
      </c>
      <c r="KR129" s="417">
        <v>0.023</v>
      </c>
      <c r="KS129" s="192"/>
      <c r="KT129" s="192"/>
      <c r="KU129" s="389"/>
      <c r="KV129" s="390" t="str">
        <f t="shared" si="249"/>
        <v>2025//12//16</v>
      </c>
      <c r="KW129" s="390">
        <v>1046673</v>
      </c>
      <c r="KX129" s="390">
        <v>1042473</v>
      </c>
      <c r="KY129" s="348">
        <v>4200</v>
      </c>
      <c r="KZ129" s="349">
        <v>0.004</v>
      </c>
      <c r="LA129" s="349"/>
      <c r="LB129" s="192"/>
      <c r="LC129" s="389"/>
      <c r="LD129" s="390" t="str">
        <f t="shared" si="250"/>
        <v>2025//12//16</v>
      </c>
      <c r="LE129" s="390">
        <v>468458</v>
      </c>
      <c r="LF129" s="390">
        <v>470858</v>
      </c>
      <c r="LG129" s="414">
        <v>-2400</v>
      </c>
      <c r="LH129" s="415">
        <v>-0.0051</v>
      </c>
      <c r="LI129" s="192"/>
      <c r="LJ129" s="192"/>
      <c r="LK129" s="389"/>
      <c r="LL129" s="390" t="str">
        <f t="shared" si="251"/>
        <v>2025//12//16</v>
      </c>
      <c r="LM129" s="392">
        <v>3605695</v>
      </c>
      <c r="LN129" s="390">
        <v>3628195</v>
      </c>
      <c r="LO129" s="414">
        <v>-22500</v>
      </c>
      <c r="LP129" s="415">
        <v>-0.0062</v>
      </c>
      <c r="LQ129" s="192"/>
      <c r="LR129" s="192"/>
      <c r="LS129" s="389"/>
      <c r="LT129" s="390" t="str">
        <f t="shared" si="252"/>
        <v>2025//12//16</v>
      </c>
      <c r="LU129" s="390">
        <v>2623263</v>
      </c>
      <c r="LV129" s="390">
        <v>2603063</v>
      </c>
      <c r="LW129" s="416">
        <v>20200</v>
      </c>
      <c r="LX129" s="417">
        <v>0.0078</v>
      </c>
      <c r="LY129" s="192"/>
      <c r="LZ129" s="192"/>
      <c r="MA129" s="389"/>
      <c r="MB129" s="390" t="str">
        <f t="shared" si="253"/>
        <v>2025//12//16</v>
      </c>
      <c r="MC129" s="390">
        <v>827318</v>
      </c>
      <c r="MD129" s="390">
        <v>828768</v>
      </c>
      <c r="ME129" s="414">
        <v>-1450</v>
      </c>
      <c r="MF129" s="415">
        <v>-0.0017</v>
      </c>
      <c r="MG129" s="192"/>
      <c r="MH129" s="192"/>
      <c r="MI129" s="342"/>
      <c r="MJ129" s="341">
        <v>0.9494</v>
      </c>
      <c r="MK129" s="341" t="str">
        <f t="shared" si="254"/>
        <v>2025//12//16</v>
      </c>
      <c r="ML129" s="341">
        <v>235426</v>
      </c>
      <c r="MM129" s="12">
        <f t="shared" si="388"/>
        <v>233866</v>
      </c>
      <c r="MN129" s="341">
        <v>1560</v>
      </c>
      <c r="MO129" s="350">
        <v>0.0067</v>
      </c>
      <c r="MP129" s="192"/>
      <c r="MQ129" s="394"/>
      <c r="MR129" s="394"/>
      <c r="MS129" s="204">
        <v>1.1597</v>
      </c>
      <c r="MT129" s="295" t="str">
        <f t="shared" si="255"/>
        <v>2025//12//16</v>
      </c>
      <c r="MU129" s="204">
        <v>17615</v>
      </c>
      <c r="MV129" s="204">
        <f t="shared" si="391"/>
        <v>18015</v>
      </c>
      <c r="MW129" s="204">
        <v>-400</v>
      </c>
      <c r="MX129" s="296">
        <v>-0.0222</v>
      </c>
      <c r="MY129" s="192"/>
      <c r="MZ129" s="192"/>
      <c r="NA129" s="192"/>
      <c r="NB129" s="204">
        <v>1.159</v>
      </c>
      <c r="NC129" s="204" t="str">
        <f t="shared" si="256"/>
        <v>2025//12//16</v>
      </c>
      <c r="ND129" s="204">
        <v>25491</v>
      </c>
      <c r="NE129" s="204">
        <f t="shared" si="392"/>
        <v>25291</v>
      </c>
      <c r="NF129" s="204">
        <v>200</v>
      </c>
      <c r="NG129" s="296">
        <v>0.0079</v>
      </c>
      <c r="NH129" s="192"/>
      <c r="NI129" s="192"/>
      <c r="NJ129" s="192"/>
      <c r="NK129" s="192"/>
      <c r="NL129" s="8"/>
      <c r="NM129" s="8" t="str">
        <f t="shared" si="257"/>
        <v>2025//12//16</v>
      </c>
      <c r="NN129" s="205">
        <v>2175411</v>
      </c>
      <c r="NO129" s="205"/>
      <c r="NP129" s="205">
        <v>15500</v>
      </c>
      <c r="NQ129" s="292">
        <v>0.0072</v>
      </c>
      <c r="NR129" s="192"/>
      <c r="NS129" s="8"/>
      <c r="NU129" s="8" t="str">
        <f t="shared" si="258"/>
        <v>2025//12//16</v>
      </c>
      <c r="NV129" s="205">
        <v>236826</v>
      </c>
      <c r="NW129" s="389"/>
      <c r="NX129" s="205">
        <v>-350</v>
      </c>
      <c r="NY129" s="292">
        <v>-0.0015</v>
      </c>
      <c r="NZ129" s="391"/>
      <c r="OA129" s="389"/>
      <c r="OB129" s="389"/>
      <c r="OC129" s="390" t="str">
        <f t="shared" si="259"/>
        <v>2025//12//16</v>
      </c>
      <c r="OD129" s="390">
        <v>15253</v>
      </c>
      <c r="OE129" s="390">
        <v>15331</v>
      </c>
      <c r="OF129" s="414">
        <v>-78</v>
      </c>
      <c r="OG129" s="415">
        <v>-0.0051</v>
      </c>
      <c r="OH129" s="192"/>
      <c r="OI129" s="192"/>
      <c r="OJ129" s="389"/>
      <c r="OK129" s="390" t="str">
        <f t="shared" si="260"/>
        <v>2025//12//16</v>
      </c>
      <c r="OO129" s="192"/>
      <c r="OP129" s="192"/>
      <c r="OQ129" s="192"/>
      <c r="OT129" s="26" t="str">
        <f t="shared" si="211"/>
        <v>2025//12//16</v>
      </c>
      <c r="OU129" s="206">
        <v>135672.4066</v>
      </c>
      <c r="OV129" s="8">
        <f t="shared" si="401"/>
        <v>135552.4066</v>
      </c>
      <c r="OW129" s="191">
        <f t="shared" si="402"/>
        <v>120</v>
      </c>
      <c r="OX129" s="192">
        <f t="shared" si="403"/>
        <v>0.000885266466379358</v>
      </c>
    </row>
    <row r="130" s="8" customFormat="1" ht="17" customHeight="1" spans="1:414">
      <c r="A130" s="15"/>
      <c r="B130" s="15"/>
      <c r="C130" s="385" t="s">
        <v>559</v>
      </c>
      <c r="D130" s="395">
        <v>8977999</v>
      </c>
      <c r="E130" s="395">
        <v>9000859</v>
      </c>
      <c r="F130" s="403">
        <v>-22860</v>
      </c>
      <c r="G130" s="404">
        <v>-0.0025</v>
      </c>
      <c r="H130" s="18"/>
      <c r="I130" s="453"/>
      <c r="J130" s="453"/>
      <c r="K130" s="386" t="str">
        <f t="shared" si="212"/>
        <v>2025//12//15</v>
      </c>
      <c r="L130" s="395">
        <v>6634234</v>
      </c>
      <c r="M130" s="395">
        <v>6636214</v>
      </c>
      <c r="N130" s="403">
        <v>-1980</v>
      </c>
      <c r="O130" s="404">
        <v>-0.0003</v>
      </c>
      <c r="P130" s="18"/>
      <c r="Q130" s="453"/>
      <c r="R130" s="454"/>
      <c r="S130" s="386" t="str">
        <f t="shared" si="213"/>
        <v>2025//12//15</v>
      </c>
      <c r="T130" s="395">
        <v>5750257</v>
      </c>
      <c r="U130" s="395">
        <v>5762497</v>
      </c>
      <c r="V130" s="403">
        <v>-12240</v>
      </c>
      <c r="W130" s="404">
        <v>-0.0021</v>
      </c>
      <c r="X130" s="18"/>
      <c r="Y130" s="453"/>
      <c r="Z130" s="454"/>
      <c r="AA130" s="386" t="str">
        <f t="shared" si="214"/>
        <v>2025//12//15</v>
      </c>
      <c r="AB130" s="395">
        <v>1853377</v>
      </c>
      <c r="AC130" s="395">
        <v>1854097</v>
      </c>
      <c r="AD130" s="403">
        <v>-720</v>
      </c>
      <c r="AE130" s="404">
        <v>-0.0004</v>
      </c>
      <c r="AF130" s="18"/>
      <c r="AG130" s="453"/>
      <c r="AH130" s="454"/>
      <c r="AI130" s="386" t="str">
        <f t="shared" si="215"/>
        <v>2025//12//15</v>
      </c>
      <c r="AJ130" s="395">
        <v>2508322</v>
      </c>
      <c r="AK130" s="386">
        <v>2508922</v>
      </c>
      <c r="AL130" s="403">
        <v>-600</v>
      </c>
      <c r="AM130" s="404">
        <v>-0.0002</v>
      </c>
      <c r="AN130" s="18"/>
      <c r="AO130" s="18"/>
      <c r="AP130" s="454"/>
      <c r="AQ130" s="386" t="str">
        <f t="shared" si="216"/>
        <v>2025//12//15</v>
      </c>
      <c r="AR130" s="418">
        <v>3144545</v>
      </c>
      <c r="AS130" s="395">
        <v>3130545</v>
      </c>
      <c r="AT130" s="459">
        <v>14000</v>
      </c>
      <c r="AU130" s="460">
        <v>0.0045</v>
      </c>
      <c r="AV130" s="18"/>
      <c r="AW130" s="18"/>
      <c r="AX130" s="17"/>
      <c r="AY130" s="205">
        <v>4.7427</v>
      </c>
      <c r="AZ130" s="204" t="str">
        <f t="shared" si="217"/>
        <v>2025//12//15</v>
      </c>
      <c r="BA130" s="205">
        <v>4063612</v>
      </c>
      <c r="BB130" s="205">
        <f t="shared" si="279"/>
        <v>4064332</v>
      </c>
      <c r="BC130" s="205">
        <v>-720</v>
      </c>
      <c r="BD130" s="292">
        <v>-0.0002</v>
      </c>
      <c r="BE130" s="18"/>
      <c r="BF130" s="18"/>
      <c r="BG130" s="74"/>
      <c r="BH130" s="387" t="str">
        <f t="shared" si="218"/>
        <v>2025//12//15</v>
      </c>
      <c r="BI130" s="387">
        <v>203627</v>
      </c>
      <c r="BJ130" s="387">
        <v>195127</v>
      </c>
      <c r="BK130" s="421">
        <v>8500</v>
      </c>
      <c r="BL130" s="422">
        <v>0.0436</v>
      </c>
      <c r="BM130" s="197"/>
      <c r="BN130" s="192"/>
      <c r="BO130" s="389"/>
      <c r="BP130" s="390" t="str">
        <f t="shared" si="219"/>
        <v>2025//12//15</v>
      </c>
      <c r="BQ130" s="392">
        <v>661862</v>
      </c>
      <c r="BR130" s="390">
        <v>666162</v>
      </c>
      <c r="BS130" s="414">
        <v>-4300</v>
      </c>
      <c r="BT130" s="415">
        <v>-0.0065</v>
      </c>
      <c r="BU130" s="192"/>
      <c r="BV130" s="192"/>
      <c r="BW130" s="389"/>
      <c r="BX130" s="390" t="str">
        <f t="shared" si="220"/>
        <v>2025//12//15</v>
      </c>
      <c r="BY130" s="390">
        <v>2045611</v>
      </c>
      <c r="BZ130" s="390">
        <v>2062361</v>
      </c>
      <c r="CA130" s="414">
        <v>-16750</v>
      </c>
      <c r="CB130" s="415">
        <v>-0.0081</v>
      </c>
      <c r="CC130" s="192"/>
      <c r="CD130" s="409"/>
      <c r="CE130" s="389"/>
      <c r="CF130" s="390" t="str">
        <f t="shared" si="221"/>
        <v>2025//12//15</v>
      </c>
      <c r="CG130" s="390">
        <v>983754</v>
      </c>
      <c r="CH130" s="12">
        <f t="shared" si="289"/>
        <v>986404</v>
      </c>
      <c r="CI130" s="12">
        <f t="shared" si="290"/>
        <v>-2650</v>
      </c>
      <c r="CJ130" s="199">
        <f t="shared" si="291"/>
        <v>-0.00268652600759932</v>
      </c>
      <c r="CK130" s="192"/>
      <c r="CL130" s="391"/>
      <c r="CM130" s="389"/>
      <c r="CN130" s="390" t="str">
        <f t="shared" si="222"/>
        <v>2025//12//15</v>
      </c>
      <c r="CO130" s="390">
        <v>137246</v>
      </c>
      <c r="CP130" s="390">
        <v>137146</v>
      </c>
      <c r="CQ130" s="12">
        <f t="shared" si="293"/>
        <v>100</v>
      </c>
      <c r="CR130" s="199">
        <f t="shared" si="294"/>
        <v>0.000729149956980153</v>
      </c>
      <c r="CS130" s="391"/>
      <c r="CT130" s="391"/>
      <c r="CU130" s="389"/>
      <c r="CV130" s="390" t="str">
        <f t="shared" si="223"/>
        <v>2025//12//15</v>
      </c>
      <c r="CW130" s="390">
        <v>640640</v>
      </c>
      <c r="CX130" s="390">
        <v>639590</v>
      </c>
      <c r="CY130" s="416">
        <v>1050</v>
      </c>
      <c r="CZ130" s="417">
        <v>0.0016</v>
      </c>
      <c r="DA130" s="192"/>
      <c r="DB130" s="192"/>
      <c r="DC130" s="277"/>
      <c r="DD130" s="390" t="str">
        <f t="shared" si="224"/>
        <v>2025//12//15</v>
      </c>
      <c r="DE130" s="390">
        <v>904718</v>
      </c>
      <c r="DF130" s="12">
        <f t="shared" si="298"/>
        <v>881718</v>
      </c>
      <c r="DG130" s="416">
        <v>11500</v>
      </c>
      <c r="DH130" s="417">
        <v>0.0261</v>
      </c>
      <c r="DI130" s="192"/>
      <c r="DJ130" s="192"/>
      <c r="DK130" s="389"/>
      <c r="DL130" s="390" t="str">
        <f t="shared" si="225"/>
        <v>2025//12//15</v>
      </c>
      <c r="DM130" s="390">
        <v>1469300</v>
      </c>
      <c r="DN130" s="390">
        <v>1462100</v>
      </c>
      <c r="DO130" s="416">
        <v>7200</v>
      </c>
      <c r="DP130" s="417">
        <v>0.0049</v>
      </c>
      <c r="DQ130" s="192"/>
      <c r="DR130" s="192"/>
      <c r="DS130" s="389"/>
      <c r="DT130" s="390" t="str">
        <f t="shared" si="226"/>
        <v>2025//12//15</v>
      </c>
      <c r="DU130" s="390">
        <v>1737089</v>
      </c>
      <c r="DV130" s="390">
        <v>1699889</v>
      </c>
      <c r="DW130" s="416">
        <v>37200</v>
      </c>
      <c r="DX130" s="417">
        <v>0.0219</v>
      </c>
      <c r="DY130" s="192"/>
      <c r="DZ130" s="192"/>
      <c r="EA130" s="389"/>
      <c r="EB130" s="390" t="str">
        <f t="shared" si="227"/>
        <v>2025//12//15</v>
      </c>
      <c r="EC130" s="390">
        <v>5353467</v>
      </c>
      <c r="ED130" s="390">
        <v>5302617</v>
      </c>
      <c r="EE130" s="416">
        <v>50850</v>
      </c>
      <c r="EF130" s="417">
        <v>0.0096</v>
      </c>
      <c r="EG130" s="192"/>
      <c r="EH130" s="192"/>
      <c r="EI130" s="389"/>
      <c r="EJ130" s="390" t="str">
        <f t="shared" si="228"/>
        <v>2025//12//15</v>
      </c>
      <c r="EK130" s="390">
        <v>1492323</v>
      </c>
      <c r="EL130" s="390">
        <v>1492523</v>
      </c>
      <c r="EM130" s="414">
        <v>-200</v>
      </c>
      <c r="EN130" s="415">
        <v>-0.0001</v>
      </c>
      <c r="EO130" s="192"/>
      <c r="EP130" s="192"/>
      <c r="EQ130" s="340"/>
      <c r="ER130" s="341" t="str">
        <f t="shared" si="229"/>
        <v>2025//12//15</v>
      </c>
      <c r="ES130" s="341">
        <v>483497</v>
      </c>
      <c r="ET130" s="341">
        <v>482897</v>
      </c>
      <c r="EU130" s="341">
        <v>600</v>
      </c>
      <c r="EV130" s="350">
        <v>0.0012</v>
      </c>
      <c r="EW130" s="192"/>
      <c r="EX130" s="192"/>
      <c r="EY130" s="389"/>
      <c r="EZ130" s="390" t="str">
        <f t="shared" si="230"/>
        <v>2025//12//15</v>
      </c>
      <c r="FA130" s="390">
        <v>1045708</v>
      </c>
      <c r="FB130" s="390">
        <v>1060508</v>
      </c>
      <c r="FC130" s="414">
        <v>-14800</v>
      </c>
      <c r="FD130" s="415">
        <v>-0.014</v>
      </c>
      <c r="FE130" s="192"/>
      <c r="FF130" s="192"/>
      <c r="FG130" s="192"/>
      <c r="FH130" s="390" t="str">
        <f t="shared" si="231"/>
        <v>2025//12//15</v>
      </c>
      <c r="FI130" s="392">
        <v>201695</v>
      </c>
      <c r="FJ130" s="390">
        <v>188795</v>
      </c>
      <c r="FK130" s="348">
        <v>12900</v>
      </c>
      <c r="FL130" s="349">
        <v>0.0683</v>
      </c>
      <c r="FM130" s="391"/>
      <c r="FN130" s="391"/>
      <c r="FO130" s="389"/>
      <c r="FP130" s="390" t="str">
        <f t="shared" si="232"/>
        <v>2025//12//15</v>
      </c>
      <c r="FQ130" s="390">
        <v>2638469</v>
      </c>
      <c r="FR130" s="390">
        <v>2633219</v>
      </c>
      <c r="FS130" s="416">
        <v>5250</v>
      </c>
      <c r="FT130" s="417">
        <v>0.002</v>
      </c>
      <c r="FU130" s="192"/>
      <c r="FV130" s="192"/>
      <c r="FW130" s="389"/>
      <c r="FX130" s="390" t="str">
        <f t="shared" si="233"/>
        <v>2025//12//15</v>
      </c>
      <c r="FY130" s="390">
        <v>7393482</v>
      </c>
      <c r="FZ130" s="390">
        <v>7384682</v>
      </c>
      <c r="GA130" s="416">
        <v>8800</v>
      </c>
      <c r="GB130" s="417">
        <v>0.0012</v>
      </c>
      <c r="GC130" s="192"/>
      <c r="GD130" s="192"/>
      <c r="GE130" s="389"/>
      <c r="GF130" s="390" t="str">
        <f t="shared" si="234"/>
        <v>2025//12//15</v>
      </c>
      <c r="GG130" s="390">
        <v>4431069</v>
      </c>
      <c r="GH130" s="390">
        <v>4409369</v>
      </c>
      <c r="GI130" s="416">
        <v>21700</v>
      </c>
      <c r="GJ130" s="417">
        <v>0.0049</v>
      </c>
      <c r="GK130" s="192"/>
      <c r="GL130" s="192"/>
      <c r="GM130" s="389"/>
      <c r="GN130" s="390" t="str">
        <f t="shared" si="235"/>
        <v>2025//12//15</v>
      </c>
      <c r="GO130" s="390">
        <v>1508818</v>
      </c>
      <c r="GP130" s="390">
        <v>1504798</v>
      </c>
      <c r="GQ130" s="416">
        <v>4020</v>
      </c>
      <c r="GR130" s="417">
        <v>0.0027</v>
      </c>
      <c r="GS130" s="192"/>
      <c r="GT130" s="192"/>
      <c r="GU130" s="389"/>
      <c r="GV130" s="390" t="str">
        <f t="shared" si="236"/>
        <v>2025//12//15</v>
      </c>
      <c r="GW130" s="390">
        <v>1291949</v>
      </c>
      <c r="GX130" s="390">
        <v>1297549</v>
      </c>
      <c r="GY130" s="414">
        <v>-5600</v>
      </c>
      <c r="GZ130" s="415">
        <v>-0.0043</v>
      </c>
      <c r="HA130" s="192"/>
      <c r="HB130" s="192"/>
      <c r="HC130" s="389"/>
      <c r="HD130" s="390" t="str">
        <f t="shared" si="237"/>
        <v>2025//12//15</v>
      </c>
      <c r="HE130" s="390">
        <v>1446165</v>
      </c>
      <c r="HF130" s="390">
        <v>1450265</v>
      </c>
      <c r="HG130" s="414">
        <v>-4100</v>
      </c>
      <c r="HH130" s="415">
        <v>-0.0028</v>
      </c>
      <c r="HI130" s="391"/>
      <c r="HJ130" s="192"/>
      <c r="HK130" s="389"/>
      <c r="HL130" s="390" t="str">
        <f t="shared" si="238"/>
        <v>2025//12//15</v>
      </c>
      <c r="HM130" s="390">
        <v>182854</v>
      </c>
      <c r="HN130" s="390">
        <v>183304</v>
      </c>
      <c r="HO130" s="414">
        <v>-450</v>
      </c>
      <c r="HP130" s="415">
        <v>-0.0025</v>
      </c>
      <c r="HQ130" s="192"/>
      <c r="HR130" s="192"/>
      <c r="HS130" s="389"/>
      <c r="HT130" s="390" t="str">
        <f t="shared" si="239"/>
        <v>2025//12//15</v>
      </c>
      <c r="HU130" s="390">
        <v>124769</v>
      </c>
      <c r="HV130" s="390">
        <v>125369</v>
      </c>
      <c r="HW130" s="414">
        <v>-600</v>
      </c>
      <c r="HX130" s="415">
        <v>-0.0048</v>
      </c>
      <c r="HY130" s="192"/>
      <c r="HZ130" s="192"/>
      <c r="IA130" s="389"/>
      <c r="IB130" s="390" t="str">
        <f t="shared" si="240"/>
        <v>2025//12//15</v>
      </c>
      <c r="IC130" s="390"/>
      <c r="ID130" s="390"/>
      <c r="IE130" s="390"/>
      <c r="IF130" s="391"/>
      <c r="IG130" s="391"/>
      <c r="IH130" s="192"/>
      <c r="II130" s="389"/>
      <c r="IJ130" s="390" t="str">
        <f t="shared" si="241"/>
        <v>2025//12//15</v>
      </c>
      <c r="IK130" s="390">
        <v>386636</v>
      </c>
      <c r="IL130" s="390">
        <v>386956</v>
      </c>
      <c r="IM130" s="414">
        <v>-320</v>
      </c>
      <c r="IN130" s="415">
        <v>-0.0008</v>
      </c>
      <c r="IO130" s="192"/>
      <c r="IP130" s="192"/>
      <c r="IQ130" s="389"/>
      <c r="IR130" s="390" t="str">
        <f t="shared" si="242"/>
        <v>2025//12//15</v>
      </c>
      <c r="IS130" s="390">
        <v>113689</v>
      </c>
      <c r="IT130" s="390">
        <v>114289</v>
      </c>
      <c r="IU130" s="414">
        <v>-600</v>
      </c>
      <c r="IV130" s="415">
        <v>-0.0052</v>
      </c>
      <c r="IW130" s="192"/>
      <c r="IX130" s="192"/>
      <c r="IY130" s="389"/>
      <c r="IZ130" s="390" t="str">
        <f t="shared" si="243"/>
        <v>2025//12//15</v>
      </c>
      <c r="JA130" s="390">
        <v>4710529</v>
      </c>
      <c r="JB130" s="390">
        <v>4761829</v>
      </c>
      <c r="JC130" s="414">
        <v>-51300</v>
      </c>
      <c r="JD130" s="415">
        <v>-0.0108</v>
      </c>
      <c r="JE130" s="192"/>
      <c r="JF130" s="192"/>
      <c r="JG130" s="389"/>
      <c r="JH130" s="390" t="str">
        <f t="shared" si="244"/>
        <v>2025//12//15</v>
      </c>
      <c r="JI130" s="390">
        <v>1704928</v>
      </c>
      <c r="JJ130" s="390">
        <v>1728088</v>
      </c>
      <c r="JK130" s="414">
        <v>-23160</v>
      </c>
      <c r="JL130" s="415">
        <v>-0.0134</v>
      </c>
      <c r="JM130" s="192"/>
      <c r="JN130" s="192"/>
      <c r="JO130" s="192"/>
      <c r="JP130" s="390" t="str">
        <f t="shared" si="245"/>
        <v>2025//12//15</v>
      </c>
      <c r="JQ130" s="390">
        <v>1185290</v>
      </c>
      <c r="JR130" s="390">
        <v>1184690</v>
      </c>
      <c r="JS130" s="416">
        <v>600</v>
      </c>
      <c r="JT130" s="417">
        <v>0.0005</v>
      </c>
      <c r="JU130" s="192"/>
      <c r="JV130" s="192"/>
      <c r="JW130" s="409"/>
      <c r="JX130" s="390" t="str">
        <f t="shared" si="246"/>
        <v>2025//12//15</v>
      </c>
      <c r="JY130" s="390">
        <v>1507899</v>
      </c>
      <c r="JZ130" s="390">
        <v>1507999</v>
      </c>
      <c r="KA130" s="414">
        <v>-100</v>
      </c>
      <c r="KB130" s="415">
        <v>-0.0001</v>
      </c>
      <c r="KC130" s="192"/>
      <c r="KD130" s="409"/>
      <c r="KF130" s="390" t="str">
        <f t="shared" si="247"/>
        <v>2025//12//15</v>
      </c>
      <c r="KG130" s="390">
        <v>904556</v>
      </c>
      <c r="KH130" s="390">
        <v>904756</v>
      </c>
      <c r="KI130" s="414">
        <v>-200</v>
      </c>
      <c r="KJ130" s="415">
        <v>-0.0002</v>
      </c>
      <c r="KK130" s="391"/>
      <c r="KL130" s="391"/>
      <c r="KM130" s="389"/>
      <c r="KN130" s="390" t="str">
        <f t="shared" si="248"/>
        <v>2025//12//15</v>
      </c>
      <c r="KO130" s="390">
        <v>6453076</v>
      </c>
      <c r="KP130" s="390">
        <v>6451976</v>
      </c>
      <c r="KQ130" s="416">
        <v>1100</v>
      </c>
      <c r="KR130" s="417">
        <v>0.0002</v>
      </c>
      <c r="KS130" s="192"/>
      <c r="KT130" s="192"/>
      <c r="KU130" s="389"/>
      <c r="KV130" s="390" t="str">
        <f t="shared" si="249"/>
        <v>2025//12//15</v>
      </c>
      <c r="KW130" s="390">
        <v>1042473</v>
      </c>
      <c r="KX130" s="390">
        <v>1041873</v>
      </c>
      <c r="KY130" s="348">
        <v>600</v>
      </c>
      <c r="KZ130" s="349">
        <v>0.0006</v>
      </c>
      <c r="LA130" s="349"/>
      <c r="LB130" s="192"/>
      <c r="LC130" s="389"/>
      <c r="LD130" s="390" t="str">
        <f t="shared" si="250"/>
        <v>2025//12//15</v>
      </c>
      <c r="LE130" s="390">
        <v>470858</v>
      </c>
      <c r="LF130" s="390">
        <v>473708</v>
      </c>
      <c r="LG130" s="414">
        <v>-2850</v>
      </c>
      <c r="LH130" s="415">
        <v>-0.006</v>
      </c>
      <c r="LI130" s="192"/>
      <c r="LJ130" s="192"/>
      <c r="LK130" s="389"/>
      <c r="LL130" s="390" t="str">
        <f t="shared" si="251"/>
        <v>2025//12//15</v>
      </c>
      <c r="LM130" s="392">
        <v>3628195</v>
      </c>
      <c r="LN130" s="390">
        <v>3703615</v>
      </c>
      <c r="LO130" s="414">
        <v>-75420</v>
      </c>
      <c r="LP130" s="415">
        <v>-0.0204</v>
      </c>
      <c r="LQ130" s="192"/>
      <c r="LR130" s="192"/>
      <c r="LS130" s="389"/>
      <c r="LT130" s="390" t="str">
        <f t="shared" si="252"/>
        <v>2025//12//15</v>
      </c>
      <c r="LU130" s="390">
        <v>2603063</v>
      </c>
      <c r="LV130" s="390">
        <v>2601263</v>
      </c>
      <c r="LW130" s="416">
        <v>1800</v>
      </c>
      <c r="LX130" s="417">
        <v>0.0007</v>
      </c>
      <c r="LY130" s="192"/>
      <c r="LZ130" s="192"/>
      <c r="MA130" s="389"/>
      <c r="MB130" s="390" t="str">
        <f t="shared" si="253"/>
        <v>2025//12//15</v>
      </c>
      <c r="MC130" s="390">
        <v>828768</v>
      </c>
      <c r="MD130" s="390">
        <v>830668</v>
      </c>
      <c r="ME130" s="414">
        <v>-1900</v>
      </c>
      <c r="MF130" s="415">
        <v>-0.0023</v>
      </c>
      <c r="MG130" s="192"/>
      <c r="MH130" s="192"/>
      <c r="MI130" s="342"/>
      <c r="MJ130" s="341">
        <v>0.9664</v>
      </c>
      <c r="MK130" s="341" t="str">
        <f t="shared" si="254"/>
        <v>2025//12//15</v>
      </c>
      <c r="ML130" s="341">
        <v>233866</v>
      </c>
      <c r="MM130" s="12">
        <f t="shared" si="388"/>
        <v>235426</v>
      </c>
      <c r="MN130" s="341">
        <v>-1560</v>
      </c>
      <c r="MO130" s="350">
        <v>-0.0066</v>
      </c>
      <c r="MP130" s="192"/>
      <c r="MQ130" s="394"/>
      <c r="MR130" s="394"/>
      <c r="MS130" s="204">
        <v>1.1821</v>
      </c>
      <c r="MT130" s="295" t="str">
        <f t="shared" si="255"/>
        <v>2025//12//15</v>
      </c>
      <c r="MU130" s="204">
        <v>18015</v>
      </c>
      <c r="MV130" s="204">
        <f t="shared" si="391"/>
        <v>18015</v>
      </c>
      <c r="MW130" s="204">
        <v>0</v>
      </c>
      <c r="MX130" s="296">
        <v>0</v>
      </c>
      <c r="MY130" s="192"/>
      <c r="MZ130" s="192"/>
      <c r="NA130" s="192"/>
      <c r="NB130" s="204">
        <v>1.184</v>
      </c>
      <c r="NC130" s="204" t="str">
        <f t="shared" si="256"/>
        <v>2025//12//15</v>
      </c>
      <c r="ND130" s="204">
        <v>25291</v>
      </c>
      <c r="NE130" s="204">
        <f t="shared" si="392"/>
        <v>25291</v>
      </c>
      <c r="NF130" s="204">
        <v>0</v>
      </c>
      <c r="NG130" s="296">
        <v>0</v>
      </c>
      <c r="NH130" s="192"/>
      <c r="NI130" s="192"/>
      <c r="NJ130" s="192"/>
      <c r="NK130" s="192"/>
      <c r="NL130" s="8"/>
      <c r="NM130" s="8" t="str">
        <f t="shared" si="257"/>
        <v>2025//12//15</v>
      </c>
      <c r="NQ130" s="192"/>
      <c r="NR130" s="192"/>
      <c r="NS130" s="8"/>
      <c r="NU130" s="8" t="str">
        <f t="shared" si="258"/>
        <v>2025//12//15</v>
      </c>
      <c r="NV130" s="389"/>
      <c r="NW130" s="389"/>
      <c r="NX130" s="389"/>
      <c r="NY130" s="391"/>
      <c r="NZ130" s="391"/>
      <c r="OA130" s="389"/>
      <c r="OB130" s="389"/>
      <c r="OC130" s="390" t="str">
        <f t="shared" si="259"/>
        <v>2025//12//15</v>
      </c>
      <c r="OD130" s="390">
        <v>15331</v>
      </c>
      <c r="OE130" s="390">
        <v>15112</v>
      </c>
      <c r="OF130" s="416">
        <v>219</v>
      </c>
      <c r="OG130" s="417">
        <v>0.0145</v>
      </c>
      <c r="OH130" s="192"/>
      <c r="OI130" s="192"/>
      <c r="OJ130" s="389"/>
      <c r="OK130" s="390" t="str">
        <f t="shared" si="260"/>
        <v>2025//12//15</v>
      </c>
      <c r="OO130" s="192"/>
      <c r="OP130" s="192"/>
      <c r="OQ130" s="192"/>
      <c r="OT130" s="26" t="str">
        <f t="shared" ref="OT130:OT193" si="407">OK130</f>
        <v>2025//12//15</v>
      </c>
      <c r="OU130" s="206">
        <v>135552.4066</v>
      </c>
      <c r="OV130" s="8">
        <f t="shared" si="401"/>
        <v>135432.4066</v>
      </c>
      <c r="OW130" s="191">
        <f t="shared" si="402"/>
        <v>120</v>
      </c>
      <c r="OX130" s="192">
        <f t="shared" si="403"/>
        <v>0.000886050857491002</v>
      </c>
    </row>
    <row r="131" s="8" customFormat="1" ht="17" customHeight="1" spans="1:414">
      <c r="A131" s="15"/>
      <c r="B131" s="15"/>
      <c r="C131" s="385" t="s">
        <v>560</v>
      </c>
      <c r="D131" s="395">
        <v>9000859</v>
      </c>
      <c r="E131" s="395">
        <v>8950099</v>
      </c>
      <c r="F131" s="459">
        <v>50760</v>
      </c>
      <c r="G131" s="460">
        <v>0.0057</v>
      </c>
      <c r="H131" s="18"/>
      <c r="I131" s="453"/>
      <c r="J131" s="453"/>
      <c r="K131" s="386" t="str">
        <f t="shared" si="212"/>
        <v>2025//12//12</v>
      </c>
      <c r="L131" s="395">
        <v>6636214</v>
      </c>
      <c r="M131" s="395">
        <v>6627844</v>
      </c>
      <c r="N131" s="459">
        <v>8370</v>
      </c>
      <c r="O131" s="460">
        <v>0.0013</v>
      </c>
      <c r="P131" s="18"/>
      <c r="Q131" s="453"/>
      <c r="R131" s="454"/>
      <c r="S131" s="386" t="str">
        <f t="shared" si="213"/>
        <v>2025//12//12</v>
      </c>
      <c r="T131" s="395">
        <v>5762497</v>
      </c>
      <c r="U131" s="395">
        <v>5734147</v>
      </c>
      <c r="V131" s="459">
        <v>28350</v>
      </c>
      <c r="W131" s="460">
        <v>0.0049</v>
      </c>
      <c r="X131" s="18"/>
      <c r="Y131" s="453"/>
      <c r="Z131" s="454"/>
      <c r="AA131" s="386" t="str">
        <f t="shared" si="214"/>
        <v>2025//12//12</v>
      </c>
      <c r="AB131" s="395">
        <v>1854097</v>
      </c>
      <c r="AC131" s="395">
        <v>1825617</v>
      </c>
      <c r="AD131" s="459">
        <v>28480</v>
      </c>
      <c r="AE131" s="460">
        <v>0.0156</v>
      </c>
      <c r="AF131" s="18"/>
      <c r="AG131" s="453"/>
      <c r="AH131" s="454"/>
      <c r="AI131" s="386" t="str">
        <f t="shared" si="215"/>
        <v>2025//12//12</v>
      </c>
      <c r="AJ131" s="395">
        <v>2508922</v>
      </c>
      <c r="AK131" s="386">
        <v>2478122</v>
      </c>
      <c r="AL131" s="459">
        <v>30800</v>
      </c>
      <c r="AM131" s="460">
        <v>0.0124</v>
      </c>
      <c r="AN131" s="18"/>
      <c r="AO131" s="18"/>
      <c r="AP131" s="454"/>
      <c r="AQ131" s="386" t="str">
        <f t="shared" si="216"/>
        <v>2025//12//12</v>
      </c>
      <c r="AR131" s="418">
        <v>3130545</v>
      </c>
      <c r="AS131" s="395">
        <v>3112545</v>
      </c>
      <c r="AT131" s="459">
        <v>18000</v>
      </c>
      <c r="AU131" s="460">
        <v>0.0058</v>
      </c>
      <c r="AV131" s="18"/>
      <c r="AW131" s="18"/>
      <c r="AX131" s="17"/>
      <c r="AY131" s="205">
        <v>4.7713</v>
      </c>
      <c r="AZ131" s="204" t="str">
        <f t="shared" si="217"/>
        <v>2025//12//12</v>
      </c>
      <c r="BA131" s="205">
        <v>4064332</v>
      </c>
      <c r="BB131" s="205">
        <f t="shared" si="279"/>
        <v>4056142</v>
      </c>
      <c r="BC131" s="205">
        <v>8190</v>
      </c>
      <c r="BD131" s="292">
        <v>0.002</v>
      </c>
      <c r="BE131" s="18"/>
      <c r="BF131" s="18"/>
      <c r="BG131" s="74"/>
      <c r="BH131" s="387" t="str">
        <f t="shared" si="218"/>
        <v>2025//12//12</v>
      </c>
      <c r="BI131" s="387">
        <v>195127</v>
      </c>
      <c r="BJ131" s="387">
        <v>184827</v>
      </c>
      <c r="BK131" s="421">
        <v>10300</v>
      </c>
      <c r="BL131" s="422">
        <v>0.0557</v>
      </c>
      <c r="BM131" s="197"/>
      <c r="BN131" s="192"/>
      <c r="BO131" s="389"/>
      <c r="BP131" s="390" t="str">
        <f t="shared" si="219"/>
        <v>2025//12//12</v>
      </c>
      <c r="BQ131" s="392">
        <v>666162</v>
      </c>
      <c r="BR131" s="390">
        <v>669262</v>
      </c>
      <c r="BS131" s="414">
        <v>-3100</v>
      </c>
      <c r="BT131" s="415">
        <v>-0.0046</v>
      </c>
      <c r="BU131" s="192"/>
      <c r="BV131" s="192"/>
      <c r="BW131" s="389"/>
      <c r="BX131" s="390" t="str">
        <f t="shared" si="220"/>
        <v>2025//12//12</v>
      </c>
      <c r="BY131" s="390">
        <v>2062361</v>
      </c>
      <c r="BZ131" s="390">
        <v>2044061</v>
      </c>
      <c r="CA131" s="416">
        <v>18300</v>
      </c>
      <c r="CB131" s="417">
        <v>0.009</v>
      </c>
      <c r="CC131" s="192"/>
      <c r="CD131" s="409"/>
      <c r="CE131" s="389"/>
      <c r="CF131" s="390" t="str">
        <f t="shared" si="221"/>
        <v>2025//12//12</v>
      </c>
      <c r="CG131" s="390">
        <v>986404</v>
      </c>
      <c r="CH131" s="12">
        <f t="shared" si="289"/>
        <v>982904</v>
      </c>
      <c r="CI131" s="12">
        <f t="shared" si="290"/>
        <v>3500</v>
      </c>
      <c r="CJ131" s="199">
        <f t="shared" si="291"/>
        <v>0.00356087674889918</v>
      </c>
      <c r="CK131" s="192"/>
      <c r="CL131" s="391"/>
      <c r="CM131" s="389"/>
      <c r="CN131" s="390" t="str">
        <f t="shared" si="222"/>
        <v>2025//12//12</v>
      </c>
      <c r="CO131" s="390">
        <v>137146</v>
      </c>
      <c r="CP131" s="390">
        <v>136246</v>
      </c>
      <c r="CQ131" s="12">
        <f t="shared" si="293"/>
        <v>900</v>
      </c>
      <c r="CR131" s="199">
        <f t="shared" si="294"/>
        <v>0.00660569851591973</v>
      </c>
      <c r="CS131" s="391"/>
      <c r="CT131" s="391"/>
      <c r="CU131" s="389"/>
      <c r="CV131" s="390" t="str">
        <f t="shared" si="223"/>
        <v>2025//12//12</v>
      </c>
      <c r="CW131" s="390">
        <v>639590</v>
      </c>
      <c r="CX131" s="390">
        <v>636590</v>
      </c>
      <c r="CY131" s="416">
        <v>3000</v>
      </c>
      <c r="CZ131" s="417">
        <v>0.0047</v>
      </c>
      <c r="DA131" s="192"/>
      <c r="DB131" s="192"/>
      <c r="DC131" s="277"/>
      <c r="DD131" s="390" t="str">
        <f t="shared" si="224"/>
        <v>2025//12//12</v>
      </c>
      <c r="DE131" s="390">
        <v>881718</v>
      </c>
      <c r="DF131" s="12">
        <f t="shared" si="298"/>
        <v>881518</v>
      </c>
      <c r="DG131" s="416">
        <v>100</v>
      </c>
      <c r="DH131" s="417">
        <v>0.0002</v>
      </c>
      <c r="DI131" s="192"/>
      <c r="DJ131" s="192"/>
      <c r="DK131" s="389"/>
      <c r="DL131" s="390" t="str">
        <f t="shared" si="225"/>
        <v>2025//12//12</v>
      </c>
      <c r="DM131" s="390">
        <v>1462100</v>
      </c>
      <c r="DN131" s="390">
        <v>1482500</v>
      </c>
      <c r="DO131" s="414">
        <v>-20400</v>
      </c>
      <c r="DP131" s="415">
        <v>-0.0138</v>
      </c>
      <c r="DQ131" s="192"/>
      <c r="DR131" s="192"/>
      <c r="DS131" s="389"/>
      <c r="DT131" s="390" t="str">
        <f t="shared" si="226"/>
        <v>2025//12//12</v>
      </c>
      <c r="DU131" s="390">
        <v>1699889</v>
      </c>
      <c r="DV131" s="390">
        <v>1728089</v>
      </c>
      <c r="DW131" s="414">
        <v>-28200</v>
      </c>
      <c r="DX131" s="415">
        <v>-0.0163</v>
      </c>
      <c r="DY131" s="192"/>
      <c r="DZ131" s="192"/>
      <c r="EA131" s="389"/>
      <c r="EB131" s="390" t="str">
        <f t="shared" si="227"/>
        <v>2025//12//12</v>
      </c>
      <c r="EC131" s="390">
        <v>5302617</v>
      </c>
      <c r="ED131" s="390">
        <v>5344467</v>
      </c>
      <c r="EE131" s="414">
        <v>-41850</v>
      </c>
      <c r="EF131" s="415">
        <v>-0.0078</v>
      </c>
      <c r="EG131" s="192"/>
      <c r="EH131" s="192"/>
      <c r="EI131" s="389"/>
      <c r="EJ131" s="390" t="str">
        <f t="shared" si="228"/>
        <v>2025//12//12</v>
      </c>
      <c r="EK131" s="390">
        <v>1492523</v>
      </c>
      <c r="EL131" s="390">
        <v>1495923</v>
      </c>
      <c r="EM131" s="414">
        <v>-3400</v>
      </c>
      <c r="EN131" s="415">
        <v>-0.0023</v>
      </c>
      <c r="EO131" s="192"/>
      <c r="EP131" s="192"/>
      <c r="EQ131" s="340"/>
      <c r="ER131" s="341" t="str">
        <f t="shared" si="229"/>
        <v>2025//12//12</v>
      </c>
      <c r="ES131" s="341">
        <v>482897</v>
      </c>
      <c r="ET131" s="341">
        <v>484247</v>
      </c>
      <c r="EU131" s="341">
        <v>-1350</v>
      </c>
      <c r="EV131" s="350">
        <v>-0.0028</v>
      </c>
      <c r="EW131" s="192"/>
      <c r="EX131" s="192"/>
      <c r="EY131" s="389"/>
      <c r="EZ131" s="390" t="str">
        <f t="shared" si="230"/>
        <v>2025//12//12</v>
      </c>
      <c r="FA131" s="390">
        <v>1060508</v>
      </c>
      <c r="FB131" s="390">
        <v>1090508</v>
      </c>
      <c r="FC131" s="414">
        <v>-30000</v>
      </c>
      <c r="FD131" s="415">
        <v>-0.0275</v>
      </c>
      <c r="FE131" s="192"/>
      <c r="FF131" s="192"/>
      <c r="FG131" s="192"/>
      <c r="FH131" s="390" t="str">
        <f t="shared" si="231"/>
        <v>2025//12//12</v>
      </c>
      <c r="FI131" s="392">
        <v>188795</v>
      </c>
      <c r="FJ131" s="390">
        <v>187195</v>
      </c>
      <c r="FK131" s="348">
        <v>1600</v>
      </c>
      <c r="FL131" s="349">
        <v>0.0085</v>
      </c>
      <c r="FM131" s="391"/>
      <c r="FN131" s="391"/>
      <c r="FO131" s="389"/>
      <c r="FP131" s="390" t="str">
        <f t="shared" si="232"/>
        <v>2025//12//12</v>
      </c>
      <c r="FQ131" s="390">
        <v>2633219</v>
      </c>
      <c r="FR131" s="390">
        <v>2635019</v>
      </c>
      <c r="FS131" s="414">
        <v>-1800</v>
      </c>
      <c r="FT131" s="415">
        <v>-0.0007</v>
      </c>
      <c r="FU131" s="192"/>
      <c r="FV131" s="192"/>
      <c r="FW131" s="389"/>
      <c r="FX131" s="390" t="str">
        <f t="shared" si="233"/>
        <v>2025//12//12</v>
      </c>
      <c r="FY131" s="390">
        <v>7384682</v>
      </c>
      <c r="FZ131" s="390">
        <v>7386082</v>
      </c>
      <c r="GA131" s="414">
        <v>-1400</v>
      </c>
      <c r="GB131" s="415">
        <v>-0.0002</v>
      </c>
      <c r="GC131" s="192"/>
      <c r="GD131" s="192"/>
      <c r="GE131" s="389"/>
      <c r="GF131" s="390" t="str">
        <f t="shared" si="234"/>
        <v>2025//12//12</v>
      </c>
      <c r="GG131" s="390">
        <v>4409369</v>
      </c>
      <c r="GH131" s="390">
        <v>4396769</v>
      </c>
      <c r="GI131" s="416">
        <v>12600</v>
      </c>
      <c r="GJ131" s="417">
        <v>0.0029</v>
      </c>
      <c r="GK131" s="192"/>
      <c r="GL131" s="192"/>
      <c r="GM131" s="389"/>
      <c r="GN131" s="390" t="str">
        <f t="shared" si="235"/>
        <v>2025//12//12</v>
      </c>
      <c r="GO131" s="390">
        <v>1504798</v>
      </c>
      <c r="GP131" s="390">
        <v>1506418</v>
      </c>
      <c r="GQ131" s="414">
        <v>-1620</v>
      </c>
      <c r="GR131" s="415">
        <v>-0.0011</v>
      </c>
      <c r="GS131" s="192"/>
      <c r="GT131" s="192"/>
      <c r="GU131" s="389"/>
      <c r="GV131" s="390" t="str">
        <f t="shared" si="236"/>
        <v>2025//12//12</v>
      </c>
      <c r="GW131" s="390">
        <v>1297549</v>
      </c>
      <c r="GX131" s="390">
        <v>1301549</v>
      </c>
      <c r="GY131" s="414">
        <v>-4000</v>
      </c>
      <c r="GZ131" s="415">
        <v>-0.0031</v>
      </c>
      <c r="HA131" s="192"/>
      <c r="HB131" s="192"/>
      <c r="HC131" s="389"/>
      <c r="HD131" s="390" t="str">
        <f t="shared" si="237"/>
        <v>2025//12//12</v>
      </c>
      <c r="HE131" s="390">
        <v>1450265</v>
      </c>
      <c r="HF131" s="390">
        <v>1433865</v>
      </c>
      <c r="HG131" s="416">
        <v>16400</v>
      </c>
      <c r="HH131" s="417">
        <v>0.0114</v>
      </c>
      <c r="HI131" s="391"/>
      <c r="HJ131" s="192"/>
      <c r="HK131" s="389"/>
      <c r="HL131" s="390" t="str">
        <f t="shared" si="238"/>
        <v>2025//12//12</v>
      </c>
      <c r="HM131" s="390">
        <v>183304</v>
      </c>
      <c r="HN131" s="390">
        <v>183454</v>
      </c>
      <c r="HO131" s="414">
        <v>-150</v>
      </c>
      <c r="HP131" s="415">
        <v>-0.0008</v>
      </c>
      <c r="HQ131" s="192"/>
      <c r="HR131" s="192"/>
      <c r="HS131" s="389"/>
      <c r="HT131" s="390" t="str">
        <f t="shared" si="239"/>
        <v>2025//12//12</v>
      </c>
      <c r="HU131" s="390">
        <v>125369</v>
      </c>
      <c r="HV131" s="390">
        <v>125469</v>
      </c>
      <c r="HW131" s="414">
        <v>-100</v>
      </c>
      <c r="HX131" s="415">
        <v>-0.0008</v>
      </c>
      <c r="HY131" s="192"/>
      <c r="HZ131" s="192"/>
      <c r="IA131" s="389"/>
      <c r="IB131" s="390" t="str">
        <f t="shared" si="240"/>
        <v>2025//12//12</v>
      </c>
      <c r="IC131" s="390"/>
      <c r="ID131" s="390"/>
      <c r="IE131" s="390"/>
      <c r="IF131" s="391"/>
      <c r="IG131" s="391"/>
      <c r="IH131" s="192"/>
      <c r="II131" s="389"/>
      <c r="IJ131" s="390" t="str">
        <f t="shared" si="241"/>
        <v>2025//12//12</v>
      </c>
      <c r="IK131" s="390">
        <v>386956</v>
      </c>
      <c r="IL131" s="390">
        <v>393836</v>
      </c>
      <c r="IM131" s="414">
        <v>-6880</v>
      </c>
      <c r="IN131" s="415">
        <v>-0.0175</v>
      </c>
      <c r="IO131" s="192"/>
      <c r="IP131" s="192"/>
      <c r="IQ131" s="389"/>
      <c r="IR131" s="390" t="str">
        <f t="shared" si="242"/>
        <v>2025//12//12</v>
      </c>
      <c r="IS131" s="390">
        <v>114289</v>
      </c>
      <c r="IT131" s="390">
        <v>115689</v>
      </c>
      <c r="IU131" s="414">
        <v>-1400</v>
      </c>
      <c r="IV131" s="415">
        <v>-0.0121</v>
      </c>
      <c r="IW131" s="192"/>
      <c r="IX131" s="192"/>
      <c r="IY131" s="389"/>
      <c r="IZ131" s="390" t="str">
        <f t="shared" si="243"/>
        <v>2025//12//12</v>
      </c>
      <c r="JA131" s="390">
        <v>4761829</v>
      </c>
      <c r="JB131" s="390">
        <v>4759629</v>
      </c>
      <c r="JC131" s="416">
        <v>2200</v>
      </c>
      <c r="JD131" s="417">
        <v>0.0005</v>
      </c>
      <c r="JE131" s="192"/>
      <c r="JF131" s="192"/>
      <c r="JG131" s="389"/>
      <c r="JH131" s="390" t="str">
        <f t="shared" si="244"/>
        <v>2025//12//12</v>
      </c>
      <c r="JI131" s="390">
        <v>1728088</v>
      </c>
      <c r="JJ131" s="390">
        <v>1797388</v>
      </c>
      <c r="JK131" s="414">
        <v>-69300</v>
      </c>
      <c r="JL131" s="415">
        <v>-0.0386</v>
      </c>
      <c r="JM131" s="192"/>
      <c r="JN131" s="192"/>
      <c r="JO131" s="192"/>
      <c r="JP131" s="390" t="str">
        <f t="shared" si="245"/>
        <v>2025//12//12</v>
      </c>
      <c r="JQ131" s="390">
        <v>1184690</v>
      </c>
      <c r="JR131" s="390">
        <v>1183590</v>
      </c>
      <c r="JS131" s="416">
        <v>1100</v>
      </c>
      <c r="JT131" s="417">
        <v>0.0009</v>
      </c>
      <c r="JU131" s="192"/>
      <c r="JV131" s="192"/>
      <c r="JW131" s="409"/>
      <c r="JX131" s="390" t="str">
        <f t="shared" si="246"/>
        <v>2025//12//12</v>
      </c>
      <c r="JY131" s="390">
        <v>1507999</v>
      </c>
      <c r="JZ131" s="390">
        <v>1509049</v>
      </c>
      <c r="KA131" s="414">
        <v>-1050</v>
      </c>
      <c r="KB131" s="415">
        <v>-0.0007</v>
      </c>
      <c r="KC131" s="192"/>
      <c r="KD131" s="409"/>
      <c r="KF131" s="390" t="str">
        <f t="shared" si="247"/>
        <v>2025//12//12</v>
      </c>
      <c r="KG131" s="390">
        <v>904756</v>
      </c>
      <c r="KH131" s="390">
        <v>904756</v>
      </c>
      <c r="KI131" s="410">
        <v>0</v>
      </c>
      <c r="KJ131" s="409">
        <v>0</v>
      </c>
      <c r="KK131" s="391"/>
      <c r="KL131" s="391"/>
      <c r="KM131" s="389"/>
      <c r="KN131" s="390" t="str">
        <f t="shared" si="248"/>
        <v>2025//12//12</v>
      </c>
      <c r="KO131" s="390">
        <v>6451976</v>
      </c>
      <c r="KP131" s="390">
        <v>6451376</v>
      </c>
      <c r="KQ131" s="416">
        <v>600</v>
      </c>
      <c r="KR131" s="417">
        <v>0.0001</v>
      </c>
      <c r="KS131" s="192"/>
      <c r="KT131" s="192"/>
      <c r="KU131" s="389"/>
      <c r="KV131" s="390" t="str">
        <f t="shared" si="249"/>
        <v>2025//12//12</v>
      </c>
      <c r="KW131" s="390">
        <v>1041873</v>
      </c>
      <c r="KX131" s="390">
        <v>1041873</v>
      </c>
      <c r="KY131" s="390">
        <v>0</v>
      </c>
      <c r="KZ131" s="391">
        <v>0</v>
      </c>
      <c r="LA131" s="391"/>
      <c r="LB131" s="192"/>
      <c r="LC131" s="389"/>
      <c r="LD131" s="390" t="str">
        <f t="shared" si="250"/>
        <v>2025//12//12</v>
      </c>
      <c r="LE131" s="390">
        <v>473708</v>
      </c>
      <c r="LF131" s="390">
        <v>474658</v>
      </c>
      <c r="LG131" s="414">
        <v>-950</v>
      </c>
      <c r="LH131" s="415">
        <v>-0.002</v>
      </c>
      <c r="LI131" s="192"/>
      <c r="LJ131" s="192"/>
      <c r="LK131" s="389"/>
      <c r="LL131" s="390" t="str">
        <f t="shared" si="251"/>
        <v>2025//12//12</v>
      </c>
      <c r="LM131" s="392">
        <v>3703615</v>
      </c>
      <c r="LN131" s="390">
        <v>3745195</v>
      </c>
      <c r="LO131" s="414">
        <v>-41580</v>
      </c>
      <c r="LP131" s="415">
        <v>-0.0111</v>
      </c>
      <c r="LQ131" s="192"/>
      <c r="LR131" s="192"/>
      <c r="LS131" s="389"/>
      <c r="LT131" s="390" t="str">
        <f t="shared" si="252"/>
        <v>2025//12//12</v>
      </c>
      <c r="LU131" s="390">
        <v>2601263</v>
      </c>
      <c r="LV131" s="390">
        <v>2586063</v>
      </c>
      <c r="LW131" s="416">
        <v>15200</v>
      </c>
      <c r="LX131" s="417">
        <v>0.0059</v>
      </c>
      <c r="LY131" s="192"/>
      <c r="LZ131" s="192"/>
      <c r="MA131" s="389"/>
      <c r="MB131" s="390" t="str">
        <f t="shared" si="253"/>
        <v>2025//12//12</v>
      </c>
      <c r="MC131" s="390">
        <v>830668</v>
      </c>
      <c r="MD131" s="390">
        <v>836718</v>
      </c>
      <c r="ME131" s="414">
        <v>-6050</v>
      </c>
      <c r="MF131" s="415">
        <v>-0.0072</v>
      </c>
      <c r="MG131" s="192"/>
      <c r="MH131" s="192"/>
      <c r="MI131" s="342"/>
      <c r="MJ131" s="341">
        <v>0.9843</v>
      </c>
      <c r="MK131" s="341" t="str">
        <f t="shared" si="254"/>
        <v>2025//12//12</v>
      </c>
      <c r="ML131" s="341">
        <v>235426</v>
      </c>
      <c r="MM131" s="12">
        <f t="shared" si="388"/>
        <v>238186</v>
      </c>
      <c r="MN131" s="341">
        <v>-2760</v>
      </c>
      <c r="MO131" s="350">
        <v>-0.0116</v>
      </c>
      <c r="MP131" s="192"/>
      <c r="MQ131" s="394"/>
      <c r="MR131" s="394"/>
      <c r="MS131" s="204">
        <v>1.1731</v>
      </c>
      <c r="MT131" s="295" t="str">
        <f t="shared" si="255"/>
        <v>2025//12//12</v>
      </c>
      <c r="MU131" s="204">
        <v>18015</v>
      </c>
      <c r="MV131" s="204">
        <f t="shared" si="391"/>
        <v>18315</v>
      </c>
      <c r="MW131" s="204">
        <v>-300</v>
      </c>
      <c r="MX131" s="296">
        <v>-0.0164</v>
      </c>
      <c r="MY131" s="192"/>
      <c r="MZ131" s="192"/>
      <c r="NA131" s="192"/>
      <c r="NB131" s="204">
        <v>1.184</v>
      </c>
      <c r="NC131" s="204" t="str">
        <f t="shared" si="256"/>
        <v>2025//12//12</v>
      </c>
      <c r="ND131" s="204">
        <v>25291</v>
      </c>
      <c r="NE131" s="204">
        <f t="shared" si="392"/>
        <v>25291</v>
      </c>
      <c r="NF131" s="204">
        <v>0</v>
      </c>
      <c r="NG131" s="296">
        <v>0</v>
      </c>
      <c r="NH131" s="192"/>
      <c r="NI131" s="192"/>
      <c r="NJ131" s="192"/>
      <c r="NK131" s="192"/>
      <c r="NL131" s="8"/>
      <c r="NM131" s="8" t="str">
        <f t="shared" si="257"/>
        <v>2025//12//12</v>
      </c>
      <c r="NQ131" s="192"/>
      <c r="NR131" s="192"/>
      <c r="NS131" s="8"/>
      <c r="NU131" s="8" t="str">
        <f t="shared" si="258"/>
        <v>2025//12//12</v>
      </c>
      <c r="NV131" s="389"/>
      <c r="NW131" s="389"/>
      <c r="NX131" s="389"/>
      <c r="NY131" s="391"/>
      <c r="NZ131" s="391"/>
      <c r="OA131" s="389"/>
      <c r="OB131" s="389"/>
      <c r="OC131" s="390" t="str">
        <f t="shared" si="259"/>
        <v>2025//12//12</v>
      </c>
      <c r="OD131" s="390">
        <v>15112</v>
      </c>
      <c r="OE131" s="390">
        <v>15344</v>
      </c>
      <c r="OF131" s="414">
        <v>-232</v>
      </c>
      <c r="OG131" s="415">
        <v>-0.0151</v>
      </c>
      <c r="OH131" s="192"/>
      <c r="OI131" s="192"/>
      <c r="OJ131" s="389"/>
      <c r="OK131" s="390" t="str">
        <f t="shared" si="260"/>
        <v>2025//12//12</v>
      </c>
      <c r="OO131" s="192"/>
      <c r="OP131" s="192"/>
      <c r="OQ131" s="192"/>
      <c r="OT131" s="26" t="str">
        <f t="shared" si="407"/>
        <v>2025//12//12</v>
      </c>
      <c r="OU131" s="206">
        <v>135432.4066</v>
      </c>
      <c r="OV131" s="8">
        <f t="shared" si="401"/>
        <v>135312.4066</v>
      </c>
      <c r="OW131" s="191">
        <f t="shared" si="402"/>
        <v>120</v>
      </c>
      <c r="OX131" s="192">
        <f t="shared" si="403"/>
        <v>0.000886836639856201</v>
      </c>
    </row>
    <row r="132" s="8" customFormat="1" ht="17" customHeight="1" spans="1:414">
      <c r="A132" s="15"/>
      <c r="B132" s="15"/>
      <c r="C132" s="385" t="s">
        <v>561</v>
      </c>
      <c r="D132" s="395">
        <v>8950099</v>
      </c>
      <c r="E132" s="395">
        <v>8970169</v>
      </c>
      <c r="F132" s="403">
        <v>-20070</v>
      </c>
      <c r="G132" s="404">
        <v>-0.0022</v>
      </c>
      <c r="H132" s="18"/>
      <c r="I132" s="453"/>
      <c r="J132" s="453"/>
      <c r="K132" s="386" t="str">
        <f t="shared" si="212"/>
        <v>2025//12//11</v>
      </c>
      <c r="L132" s="395">
        <v>6627844</v>
      </c>
      <c r="M132" s="395">
        <v>6628024</v>
      </c>
      <c r="N132" s="403">
        <v>-180</v>
      </c>
      <c r="O132" s="507">
        <v>0</v>
      </c>
      <c r="P132" s="18"/>
      <c r="Q132" s="453"/>
      <c r="R132" s="454"/>
      <c r="S132" s="386" t="str">
        <f t="shared" si="213"/>
        <v>2025//12//11</v>
      </c>
      <c r="T132" s="395">
        <v>5734147</v>
      </c>
      <c r="U132" s="395">
        <v>5714707</v>
      </c>
      <c r="V132" s="459">
        <v>19440</v>
      </c>
      <c r="W132" s="460">
        <v>0.0034</v>
      </c>
      <c r="X132" s="18"/>
      <c r="Y132" s="453"/>
      <c r="Z132" s="454"/>
      <c r="AA132" s="386" t="str">
        <f t="shared" si="214"/>
        <v>2025//12//11</v>
      </c>
      <c r="AB132" s="395">
        <v>1825617</v>
      </c>
      <c r="AC132" s="395">
        <v>1827177</v>
      </c>
      <c r="AD132" s="403">
        <v>-1560</v>
      </c>
      <c r="AE132" s="404">
        <v>-0.0009</v>
      </c>
      <c r="AF132" s="18"/>
      <c r="AG132" s="453"/>
      <c r="AH132" s="454"/>
      <c r="AI132" s="386" t="str">
        <f t="shared" si="215"/>
        <v>2025//12//11</v>
      </c>
      <c r="AJ132" s="395">
        <v>2478122</v>
      </c>
      <c r="AK132" s="386">
        <v>2488122</v>
      </c>
      <c r="AL132" s="403">
        <v>-10000</v>
      </c>
      <c r="AM132" s="404">
        <v>-0.004</v>
      </c>
      <c r="AN132" s="18"/>
      <c r="AO132" s="18"/>
      <c r="AP132" s="454"/>
      <c r="AQ132" s="386" t="str">
        <f t="shared" si="216"/>
        <v>2025//12//11</v>
      </c>
      <c r="AR132" s="418">
        <v>3112545</v>
      </c>
      <c r="AS132" s="395">
        <v>3131645</v>
      </c>
      <c r="AT132" s="403">
        <v>-19100</v>
      </c>
      <c r="AU132" s="404">
        <v>-0.0061</v>
      </c>
      <c r="AV132" s="18"/>
      <c r="AW132" s="18"/>
      <c r="AX132" s="17"/>
      <c r="AY132" s="17"/>
      <c r="AZ132" s="17" t="str">
        <f t="shared" si="217"/>
        <v>2025//12//11</v>
      </c>
      <c r="BA132" s="205">
        <v>4056142</v>
      </c>
      <c r="BB132" s="205">
        <f t="shared" si="279"/>
        <v>0</v>
      </c>
      <c r="BC132" s="205">
        <v>-360</v>
      </c>
      <c r="BD132" s="292">
        <v>-0.0001</v>
      </c>
      <c r="BE132" s="18"/>
      <c r="BF132" s="18"/>
      <c r="BG132" s="74"/>
      <c r="BH132" s="387" t="str">
        <f t="shared" si="218"/>
        <v>2025//12//11</v>
      </c>
      <c r="BI132" s="387">
        <v>184827</v>
      </c>
      <c r="BJ132" s="387">
        <v>182527</v>
      </c>
      <c r="BK132" s="421">
        <v>2300</v>
      </c>
      <c r="BL132" s="422">
        <v>0.0126</v>
      </c>
      <c r="BM132" s="197"/>
      <c r="BN132" s="192"/>
      <c r="BO132" s="389"/>
      <c r="BP132" s="390" t="str">
        <f t="shared" si="219"/>
        <v>2025//12//11</v>
      </c>
      <c r="BQ132" s="392">
        <v>669262</v>
      </c>
      <c r="BR132" s="390">
        <v>667362</v>
      </c>
      <c r="BS132" s="416">
        <v>1900</v>
      </c>
      <c r="BT132" s="417">
        <v>0.0028</v>
      </c>
      <c r="BU132" s="192"/>
      <c r="BV132" s="192"/>
      <c r="BW132" s="389"/>
      <c r="BX132" s="390" t="str">
        <f t="shared" si="220"/>
        <v>2025//12//11</v>
      </c>
      <c r="BY132" s="390">
        <v>2044061</v>
      </c>
      <c r="BZ132" s="390">
        <v>2057011</v>
      </c>
      <c r="CA132" s="414">
        <v>-12950</v>
      </c>
      <c r="CB132" s="415">
        <v>-0.0063</v>
      </c>
      <c r="CC132" s="192"/>
      <c r="CD132" s="409"/>
      <c r="CE132" s="389"/>
      <c r="CF132" s="390" t="str">
        <f t="shared" si="221"/>
        <v>2025//12//11</v>
      </c>
      <c r="CG132" s="390">
        <v>982904</v>
      </c>
      <c r="CH132" s="12">
        <f t="shared" si="289"/>
        <v>982904</v>
      </c>
      <c r="CI132" s="12">
        <f t="shared" si="290"/>
        <v>0</v>
      </c>
      <c r="CJ132" s="199">
        <f t="shared" si="291"/>
        <v>0</v>
      </c>
      <c r="CK132" s="192"/>
      <c r="CL132" s="391"/>
      <c r="CM132" s="389"/>
      <c r="CN132" s="390" t="str">
        <f t="shared" si="222"/>
        <v>2025//12//11</v>
      </c>
      <c r="CO132" s="390">
        <v>136246</v>
      </c>
      <c r="CP132" s="390">
        <v>136146</v>
      </c>
      <c r="CQ132" s="12">
        <f t="shared" si="293"/>
        <v>100</v>
      </c>
      <c r="CR132" s="199">
        <f t="shared" si="294"/>
        <v>0.000734505604277761</v>
      </c>
      <c r="CS132" s="391"/>
      <c r="CT132" s="391"/>
      <c r="CU132" s="389"/>
      <c r="CV132" s="390" t="str">
        <f t="shared" si="223"/>
        <v>2025//12//11</v>
      </c>
      <c r="CW132" s="390">
        <v>636590</v>
      </c>
      <c r="CX132" s="390">
        <v>636440</v>
      </c>
      <c r="CY132" s="416">
        <v>150</v>
      </c>
      <c r="CZ132" s="417">
        <v>0.0002</v>
      </c>
      <c r="DA132" s="192"/>
      <c r="DB132" s="192"/>
      <c r="DC132" s="277"/>
      <c r="DD132" s="390" t="str">
        <f t="shared" si="224"/>
        <v>2025//12//11</v>
      </c>
      <c r="DE132" s="390">
        <v>881518</v>
      </c>
      <c r="DF132" s="12">
        <f t="shared" si="298"/>
        <v>883718</v>
      </c>
      <c r="DG132" s="414">
        <v>-1100</v>
      </c>
      <c r="DH132" s="415">
        <v>-0.0025</v>
      </c>
      <c r="DI132" s="192"/>
      <c r="DJ132" s="192"/>
      <c r="DK132" s="389"/>
      <c r="DL132" s="390" t="str">
        <f t="shared" si="225"/>
        <v>2025//12//11</v>
      </c>
      <c r="DM132" s="390">
        <v>1482500</v>
      </c>
      <c r="DN132" s="390">
        <v>1484100</v>
      </c>
      <c r="DO132" s="414">
        <v>-1600</v>
      </c>
      <c r="DP132" s="415">
        <v>-0.0011</v>
      </c>
      <c r="DQ132" s="192"/>
      <c r="DR132" s="192"/>
      <c r="DS132" s="389"/>
      <c r="DT132" s="390" t="str">
        <f t="shared" si="226"/>
        <v>2025//12//11</v>
      </c>
      <c r="DU132" s="390">
        <v>1728089</v>
      </c>
      <c r="DV132" s="390">
        <v>1730789</v>
      </c>
      <c r="DW132" s="414">
        <v>-2700</v>
      </c>
      <c r="DX132" s="415">
        <v>-0.0016</v>
      </c>
      <c r="DY132" s="192"/>
      <c r="DZ132" s="192"/>
      <c r="EA132" s="389"/>
      <c r="EB132" s="390" t="str">
        <f t="shared" si="227"/>
        <v>2025//12//11</v>
      </c>
      <c r="EC132" s="390">
        <v>5344467</v>
      </c>
      <c r="ED132" s="390">
        <v>5308467</v>
      </c>
      <c r="EE132" s="416">
        <v>36000</v>
      </c>
      <c r="EF132" s="417">
        <v>0.0068</v>
      </c>
      <c r="EG132" s="192"/>
      <c r="EH132" s="192"/>
      <c r="EI132" s="389"/>
      <c r="EJ132" s="390" t="str">
        <f t="shared" si="228"/>
        <v>2025//12//11</v>
      </c>
      <c r="EK132" s="390">
        <v>1495923</v>
      </c>
      <c r="EL132" s="390">
        <v>1507923</v>
      </c>
      <c r="EM132" s="414">
        <v>-12000</v>
      </c>
      <c r="EN132" s="415">
        <v>-0.008</v>
      </c>
      <c r="EO132" s="192"/>
      <c r="EP132" s="192"/>
      <c r="EQ132" s="340"/>
      <c r="ER132" s="341" t="str">
        <f t="shared" si="229"/>
        <v>2025//12//11</v>
      </c>
      <c r="ES132" s="341">
        <v>484247</v>
      </c>
      <c r="ET132" s="341">
        <v>489797</v>
      </c>
      <c r="EU132" s="341">
        <v>-5550</v>
      </c>
      <c r="EV132" s="350">
        <v>-0.0113</v>
      </c>
      <c r="EW132" s="192"/>
      <c r="EX132" s="192"/>
      <c r="EY132" s="389"/>
      <c r="EZ132" s="390" t="str">
        <f t="shared" si="230"/>
        <v>2025//12//11</v>
      </c>
      <c r="FA132" s="390">
        <v>1090508</v>
      </c>
      <c r="FB132" s="390">
        <v>1106108</v>
      </c>
      <c r="FC132" s="414">
        <v>-15600</v>
      </c>
      <c r="FD132" s="415">
        <v>-0.0141</v>
      </c>
      <c r="FE132" s="192"/>
      <c r="FF132" s="192"/>
      <c r="FG132" s="192"/>
      <c r="FH132" s="390" t="str">
        <f t="shared" si="231"/>
        <v>2025//12//11</v>
      </c>
      <c r="FI132" s="392">
        <v>187195</v>
      </c>
      <c r="FJ132" s="390">
        <v>192095</v>
      </c>
      <c r="FK132" s="346">
        <v>-4900</v>
      </c>
      <c r="FL132" s="347">
        <v>-0.0255</v>
      </c>
      <c r="FM132" s="391"/>
      <c r="FN132" s="391"/>
      <c r="FO132" s="389"/>
      <c r="FP132" s="390" t="str">
        <f t="shared" si="232"/>
        <v>2025//12//11</v>
      </c>
      <c r="FQ132" s="390">
        <v>2635019</v>
      </c>
      <c r="FR132" s="390">
        <v>2616419</v>
      </c>
      <c r="FS132" s="416">
        <v>18600</v>
      </c>
      <c r="FT132" s="417">
        <v>0.0071</v>
      </c>
      <c r="FU132" s="192"/>
      <c r="FV132" s="192"/>
      <c r="FW132" s="389"/>
      <c r="FX132" s="390" t="str">
        <f t="shared" si="233"/>
        <v>2025//12//11</v>
      </c>
      <c r="FY132" s="390">
        <v>7386082</v>
      </c>
      <c r="FZ132" s="390">
        <v>7368882</v>
      </c>
      <c r="GA132" s="416">
        <v>17200</v>
      </c>
      <c r="GB132" s="417">
        <v>0.0023</v>
      </c>
      <c r="GC132" s="192"/>
      <c r="GD132" s="192"/>
      <c r="GE132" s="389"/>
      <c r="GF132" s="390" t="str">
        <f t="shared" si="234"/>
        <v>2025//12//11</v>
      </c>
      <c r="GG132" s="390">
        <v>4396769</v>
      </c>
      <c r="GH132" s="390">
        <v>4380169</v>
      </c>
      <c r="GI132" s="416">
        <v>16600</v>
      </c>
      <c r="GJ132" s="417">
        <v>0.0038</v>
      </c>
      <c r="GK132" s="192"/>
      <c r="GL132" s="192"/>
      <c r="GM132" s="389"/>
      <c r="GN132" s="390" t="str">
        <f t="shared" si="235"/>
        <v>2025//12//11</v>
      </c>
      <c r="GO132" s="390">
        <v>1506418</v>
      </c>
      <c r="GP132" s="390">
        <v>1508098</v>
      </c>
      <c r="GQ132" s="414">
        <v>-1680</v>
      </c>
      <c r="GR132" s="415">
        <v>-0.0011</v>
      </c>
      <c r="GS132" s="192"/>
      <c r="GT132" s="192"/>
      <c r="GU132" s="389"/>
      <c r="GV132" s="390" t="str">
        <f t="shared" si="236"/>
        <v>2025//12//11</v>
      </c>
      <c r="GW132" s="390">
        <v>1301549</v>
      </c>
      <c r="GX132" s="390">
        <v>1301549</v>
      </c>
      <c r="GY132" s="410">
        <v>0</v>
      </c>
      <c r="GZ132" s="409">
        <v>0</v>
      </c>
      <c r="HA132" s="192"/>
      <c r="HB132" s="192"/>
      <c r="HC132" s="389"/>
      <c r="HD132" s="390" t="str">
        <f t="shared" si="237"/>
        <v>2025//12//11</v>
      </c>
      <c r="HE132" s="390">
        <v>1433865</v>
      </c>
      <c r="HF132" s="390">
        <v>1425065</v>
      </c>
      <c r="HG132" s="416">
        <v>8800</v>
      </c>
      <c r="HH132" s="417">
        <v>0.0062</v>
      </c>
      <c r="HI132" s="391"/>
      <c r="HJ132" s="192"/>
      <c r="HK132" s="389"/>
      <c r="HL132" s="390" t="str">
        <f t="shared" si="238"/>
        <v>2025//12//11</v>
      </c>
      <c r="HM132" s="390">
        <v>183454</v>
      </c>
      <c r="HN132" s="390">
        <v>183604</v>
      </c>
      <c r="HO132" s="414">
        <v>-150</v>
      </c>
      <c r="HP132" s="415">
        <v>-0.0008</v>
      </c>
      <c r="HQ132" s="192"/>
      <c r="HR132" s="192"/>
      <c r="HS132" s="389"/>
      <c r="HT132" s="390" t="str">
        <f t="shared" si="239"/>
        <v>2025//12//11</v>
      </c>
      <c r="HU132" s="390">
        <v>125469</v>
      </c>
      <c r="HV132" s="390">
        <v>126669</v>
      </c>
      <c r="HW132" s="414">
        <v>-1200</v>
      </c>
      <c r="HX132" s="415">
        <v>-0.0095</v>
      </c>
      <c r="HY132" s="192"/>
      <c r="HZ132" s="192"/>
      <c r="IA132" s="389"/>
      <c r="IB132" s="390" t="str">
        <f t="shared" si="240"/>
        <v>2025//12//11</v>
      </c>
      <c r="IC132" s="390"/>
      <c r="ID132" s="390"/>
      <c r="IE132" s="390"/>
      <c r="IF132" s="391"/>
      <c r="IG132" s="391"/>
      <c r="IH132" s="192"/>
      <c r="II132" s="389"/>
      <c r="IJ132" s="390" t="str">
        <f t="shared" si="241"/>
        <v>2025//12//11</v>
      </c>
      <c r="IK132" s="390">
        <v>393836</v>
      </c>
      <c r="IL132" s="390">
        <v>395676</v>
      </c>
      <c r="IM132" s="414">
        <v>-1840</v>
      </c>
      <c r="IN132" s="415">
        <v>-0.0047</v>
      </c>
      <c r="IO132" s="192"/>
      <c r="IP132" s="192"/>
      <c r="IQ132" s="389"/>
      <c r="IR132" s="390" t="str">
        <f t="shared" si="242"/>
        <v>2025//12//11</v>
      </c>
      <c r="IS132" s="390">
        <v>115689</v>
      </c>
      <c r="IT132" s="390">
        <v>116889</v>
      </c>
      <c r="IU132" s="414">
        <v>-1200</v>
      </c>
      <c r="IV132" s="415">
        <v>-0.0103</v>
      </c>
      <c r="IW132" s="192"/>
      <c r="IX132" s="192"/>
      <c r="IY132" s="389"/>
      <c r="IZ132" s="390" t="str">
        <f t="shared" si="243"/>
        <v>2025//12//11</v>
      </c>
      <c r="JA132" s="390">
        <v>4759629</v>
      </c>
      <c r="JB132" s="390">
        <v>4748229</v>
      </c>
      <c r="JC132" s="416">
        <v>11400</v>
      </c>
      <c r="JD132" s="417">
        <v>0.0024</v>
      </c>
      <c r="JE132" s="192"/>
      <c r="JF132" s="192"/>
      <c r="JG132" s="389"/>
      <c r="JH132" s="390" t="str">
        <f t="shared" si="244"/>
        <v>2025//12//11</v>
      </c>
      <c r="JI132" s="390">
        <v>1797388</v>
      </c>
      <c r="JJ132" s="390">
        <v>1847968</v>
      </c>
      <c r="JK132" s="414">
        <v>-50580</v>
      </c>
      <c r="JL132" s="415">
        <v>-0.0274</v>
      </c>
      <c r="JM132" s="192"/>
      <c r="JN132" s="192"/>
      <c r="JO132" s="192"/>
      <c r="JP132" s="390" t="str">
        <f t="shared" si="245"/>
        <v>2025//12//11</v>
      </c>
      <c r="JQ132" s="390">
        <v>1183590</v>
      </c>
      <c r="JR132" s="390">
        <v>1182990</v>
      </c>
      <c r="JS132" s="416">
        <v>600</v>
      </c>
      <c r="JT132" s="417">
        <v>0.0005</v>
      </c>
      <c r="JU132" s="192"/>
      <c r="JV132" s="192"/>
      <c r="JW132" s="409"/>
      <c r="JX132" s="390" t="str">
        <f t="shared" si="246"/>
        <v>2025//12//11</v>
      </c>
      <c r="JY132" s="390">
        <v>1509049</v>
      </c>
      <c r="JZ132" s="390">
        <v>1509049</v>
      </c>
      <c r="KA132" s="410">
        <v>0</v>
      </c>
      <c r="KB132" s="409">
        <v>0</v>
      </c>
      <c r="KC132" s="192"/>
      <c r="KD132" s="409"/>
      <c r="KF132" s="390" t="str">
        <f t="shared" si="247"/>
        <v>2025//12//11</v>
      </c>
      <c r="KG132" s="390">
        <v>904756</v>
      </c>
      <c r="KH132" s="390">
        <v>904756</v>
      </c>
      <c r="KI132" s="410">
        <v>0</v>
      </c>
      <c r="KJ132" s="409">
        <v>0</v>
      </c>
      <c r="KK132" s="391"/>
      <c r="KL132" s="391"/>
      <c r="KM132" s="389"/>
      <c r="KN132" s="390" t="str">
        <f t="shared" si="248"/>
        <v>2025//12//11</v>
      </c>
      <c r="KO132" s="390">
        <v>6451376</v>
      </c>
      <c r="KP132" s="390">
        <v>6435676</v>
      </c>
      <c r="KQ132" s="416">
        <v>15700</v>
      </c>
      <c r="KR132" s="417">
        <v>0.0024</v>
      </c>
      <c r="KS132" s="192"/>
      <c r="KT132" s="192"/>
      <c r="KU132" s="389"/>
      <c r="KV132" s="390" t="str">
        <f t="shared" si="249"/>
        <v>2025//12//11</v>
      </c>
      <c r="KW132" s="390">
        <v>1041873</v>
      </c>
      <c r="KX132" s="390">
        <v>1041373</v>
      </c>
      <c r="KY132" s="348">
        <v>500</v>
      </c>
      <c r="KZ132" s="349">
        <v>0.0005</v>
      </c>
      <c r="LA132" s="349"/>
      <c r="LB132" s="192"/>
      <c r="LC132" s="389"/>
      <c r="LD132" s="390" t="str">
        <f t="shared" si="250"/>
        <v>2025//12//11</v>
      </c>
      <c r="LE132" s="390">
        <v>474658</v>
      </c>
      <c r="LF132" s="390">
        <v>476758</v>
      </c>
      <c r="LG132" s="414">
        <v>-2100</v>
      </c>
      <c r="LH132" s="415">
        <v>-0.0044</v>
      </c>
      <c r="LI132" s="192"/>
      <c r="LJ132" s="192"/>
      <c r="LK132" s="389"/>
      <c r="LL132" s="390" t="str">
        <f t="shared" si="251"/>
        <v>2025//12//11</v>
      </c>
      <c r="LM132" s="392">
        <v>3745195</v>
      </c>
      <c r="LN132" s="390">
        <v>3758695</v>
      </c>
      <c r="LO132" s="414">
        <v>-13500</v>
      </c>
      <c r="LP132" s="415">
        <v>-0.0036</v>
      </c>
      <c r="LQ132" s="192"/>
      <c r="LR132" s="192"/>
      <c r="LS132" s="389"/>
      <c r="LT132" s="390" t="str">
        <f t="shared" si="252"/>
        <v>2025//12//11</v>
      </c>
      <c r="LU132" s="390">
        <v>2586063</v>
      </c>
      <c r="LV132" s="390">
        <v>2584463</v>
      </c>
      <c r="LW132" s="416">
        <v>1600</v>
      </c>
      <c r="LX132" s="417">
        <v>0.0006</v>
      </c>
      <c r="LY132" s="192"/>
      <c r="LZ132" s="192"/>
      <c r="MA132" s="389"/>
      <c r="MB132" s="390" t="str">
        <f t="shared" si="253"/>
        <v>2025//12//11</v>
      </c>
      <c r="MC132" s="390">
        <v>836718</v>
      </c>
      <c r="MD132" s="390">
        <v>840168</v>
      </c>
      <c r="ME132" s="414">
        <v>-3450</v>
      </c>
      <c r="MF132" s="415">
        <v>-0.0041</v>
      </c>
      <c r="MG132" s="192"/>
      <c r="MH132" s="192"/>
      <c r="MI132" s="342"/>
      <c r="MJ132" s="341">
        <v>0.9715</v>
      </c>
      <c r="MK132" s="341" t="str">
        <f t="shared" si="254"/>
        <v>2025//12//11</v>
      </c>
      <c r="ML132" s="341">
        <v>238186</v>
      </c>
      <c r="MM132" s="12">
        <f t="shared" si="388"/>
        <v>238186</v>
      </c>
      <c r="MN132" s="341">
        <v>0</v>
      </c>
      <c r="MO132" s="350">
        <v>0</v>
      </c>
      <c r="MP132" s="192"/>
      <c r="MQ132" s="394"/>
      <c r="MR132" s="394"/>
      <c r="MS132" s="8"/>
      <c r="MT132" s="26" t="str">
        <f t="shared" si="255"/>
        <v>2025//12//11</v>
      </c>
      <c r="MU132" s="204">
        <v>18315</v>
      </c>
      <c r="MV132" s="204">
        <f t="shared" si="391"/>
        <v>0</v>
      </c>
      <c r="MW132" s="204">
        <v>-200</v>
      </c>
      <c r="MX132" s="296">
        <v>-0.0108</v>
      </c>
      <c r="MY132" s="192"/>
      <c r="MZ132" s="192"/>
      <c r="NA132" s="192"/>
      <c r="NB132" s="8"/>
      <c r="NC132" s="8" t="str">
        <f t="shared" si="256"/>
        <v>2025//12//11</v>
      </c>
      <c r="ND132" s="204">
        <v>25291</v>
      </c>
      <c r="NE132" s="204">
        <f t="shared" si="392"/>
        <v>0</v>
      </c>
      <c r="NF132" s="204">
        <v>0</v>
      </c>
      <c r="NG132" s="296">
        <v>0</v>
      </c>
      <c r="NH132" s="192"/>
      <c r="NI132" s="192"/>
      <c r="NJ132" s="192"/>
      <c r="NK132" s="192"/>
      <c r="NL132" s="8"/>
      <c r="NM132" s="8" t="str">
        <f t="shared" si="257"/>
        <v>2025//12//11</v>
      </c>
      <c r="NQ132" s="192"/>
      <c r="NR132" s="192"/>
      <c r="NS132" s="8"/>
      <c r="NU132" s="8" t="str">
        <f t="shared" si="258"/>
        <v>2025//12//11</v>
      </c>
      <c r="NV132" s="389"/>
      <c r="NW132" s="389"/>
      <c r="NX132" s="389"/>
      <c r="NY132" s="391"/>
      <c r="NZ132" s="391"/>
      <c r="OA132" s="389"/>
      <c r="OB132" s="389"/>
      <c r="OC132" s="390" t="str">
        <f t="shared" si="259"/>
        <v>2025//12//11</v>
      </c>
      <c r="OD132" s="390">
        <v>15344</v>
      </c>
      <c r="OE132" s="390">
        <v>15651</v>
      </c>
      <c r="OF132" s="414">
        <v>-307</v>
      </c>
      <c r="OG132" s="415">
        <v>-0.0196</v>
      </c>
      <c r="OH132" s="192"/>
      <c r="OI132" s="192"/>
      <c r="OJ132" s="389"/>
      <c r="OK132" s="390" t="str">
        <f t="shared" si="260"/>
        <v>2025//12//11</v>
      </c>
      <c r="OO132" s="192"/>
      <c r="OP132" s="192"/>
      <c r="OQ132" s="192"/>
      <c r="OT132" s="26" t="str">
        <f t="shared" si="407"/>
        <v>2025//12//11</v>
      </c>
      <c r="OU132" s="206">
        <v>135312.4066</v>
      </c>
      <c r="OV132" s="8">
        <f t="shared" si="401"/>
        <v>135192.4066</v>
      </c>
      <c r="OW132" s="191">
        <f t="shared" si="402"/>
        <v>120</v>
      </c>
      <c r="OX132" s="192">
        <f t="shared" si="403"/>
        <v>0.000887623817179685</v>
      </c>
    </row>
    <row r="133" s="8" customFormat="1" ht="17" customHeight="1" spans="1:414">
      <c r="A133" s="15"/>
      <c r="B133" s="15"/>
      <c r="C133" s="385" t="s">
        <v>562</v>
      </c>
      <c r="D133" s="395">
        <v>8970169</v>
      </c>
      <c r="E133" s="395">
        <v>8990779</v>
      </c>
      <c r="F133" s="403">
        <v>-20610</v>
      </c>
      <c r="G133" s="404">
        <v>-0.0023</v>
      </c>
      <c r="H133" s="18"/>
      <c r="I133" s="453"/>
      <c r="J133" s="453"/>
      <c r="K133" s="386" t="str">
        <f t="shared" si="212"/>
        <v>2025//12//10</v>
      </c>
      <c r="L133" s="395">
        <v>6628024</v>
      </c>
      <c r="M133" s="395">
        <v>6633154</v>
      </c>
      <c r="N133" s="403">
        <v>-5130</v>
      </c>
      <c r="O133" s="404">
        <v>-0.0008</v>
      </c>
      <c r="P133" s="18"/>
      <c r="Q133" s="453"/>
      <c r="R133" s="454"/>
      <c r="S133" s="386" t="str">
        <f t="shared" si="213"/>
        <v>2025//12//10</v>
      </c>
      <c r="T133" s="395">
        <v>5714707</v>
      </c>
      <c r="U133" s="395">
        <v>5742067</v>
      </c>
      <c r="V133" s="403">
        <v>-27360</v>
      </c>
      <c r="W133" s="404">
        <v>-0.0048</v>
      </c>
      <c r="X133" s="18"/>
      <c r="Y133" s="453"/>
      <c r="Z133" s="454"/>
      <c r="AA133" s="386" t="str">
        <f t="shared" si="214"/>
        <v>2025//12//10</v>
      </c>
      <c r="AB133" s="395">
        <v>1827177</v>
      </c>
      <c r="AC133" s="395">
        <v>1847177</v>
      </c>
      <c r="AD133" s="403">
        <v>-20000</v>
      </c>
      <c r="AE133" s="404">
        <v>-0.0108</v>
      </c>
      <c r="AF133" s="18"/>
      <c r="AG133" s="453"/>
      <c r="AH133" s="454"/>
      <c r="AI133" s="386" t="str">
        <f t="shared" si="215"/>
        <v>2025//12//10</v>
      </c>
      <c r="AJ133" s="395">
        <v>2488122</v>
      </c>
      <c r="AK133" s="386">
        <v>2511322</v>
      </c>
      <c r="AL133" s="403">
        <v>-23200</v>
      </c>
      <c r="AM133" s="404">
        <v>-0.0092</v>
      </c>
      <c r="AN133" s="18"/>
      <c r="AO133" s="18"/>
      <c r="AP133" s="454"/>
      <c r="AQ133" s="386" t="str">
        <f t="shared" si="216"/>
        <v>2025//12//10</v>
      </c>
      <c r="AR133" s="418">
        <v>3131645</v>
      </c>
      <c r="AS133" s="395">
        <v>3129245</v>
      </c>
      <c r="AT133" s="459">
        <v>2400</v>
      </c>
      <c r="AU133" s="460">
        <v>0.0008</v>
      </c>
      <c r="AV133" s="18"/>
      <c r="AW133" s="18"/>
      <c r="AX133" s="17"/>
      <c r="AY133" s="17"/>
      <c r="AZ133" s="17" t="str">
        <f t="shared" si="217"/>
        <v>2025//12//10</v>
      </c>
      <c r="BA133" s="17"/>
      <c r="BB133" s="17"/>
      <c r="BC133" s="17"/>
      <c r="BD133" s="18"/>
      <c r="BE133" s="18"/>
      <c r="BF133" s="18"/>
      <c r="BG133" s="74"/>
      <c r="BH133" s="387" t="str">
        <f t="shared" si="218"/>
        <v>2025//12//10</v>
      </c>
      <c r="BI133" s="387">
        <v>182527</v>
      </c>
      <c r="BJ133" s="387">
        <v>179927</v>
      </c>
      <c r="BK133" s="421">
        <v>2600</v>
      </c>
      <c r="BL133" s="422">
        <v>0.0145</v>
      </c>
      <c r="BM133" s="197"/>
      <c r="BN133" s="192"/>
      <c r="BO133" s="389"/>
      <c r="BP133" s="390" t="str">
        <f t="shared" si="219"/>
        <v>2025//12//10</v>
      </c>
      <c r="BQ133" s="392">
        <v>667362</v>
      </c>
      <c r="BR133" s="390">
        <v>662962</v>
      </c>
      <c r="BS133" s="416">
        <v>4400</v>
      </c>
      <c r="BT133" s="417">
        <v>0.0066</v>
      </c>
      <c r="BU133" s="192"/>
      <c r="BV133" s="192"/>
      <c r="BW133" s="389"/>
      <c r="BX133" s="390" t="str">
        <f t="shared" si="220"/>
        <v>2025//12//10</v>
      </c>
      <c r="BY133" s="390">
        <v>2057011</v>
      </c>
      <c r="BZ133" s="390">
        <v>2076811</v>
      </c>
      <c r="CA133" s="414">
        <v>-19800</v>
      </c>
      <c r="CB133" s="415">
        <v>-0.0095</v>
      </c>
      <c r="CC133" s="192"/>
      <c r="CD133" s="409"/>
      <c r="CE133" s="389"/>
      <c r="CF133" s="390" t="str">
        <f t="shared" si="221"/>
        <v>2025//12//10</v>
      </c>
      <c r="CG133" s="390">
        <v>982904</v>
      </c>
      <c r="CH133" s="12">
        <f t="shared" si="289"/>
        <v>971204</v>
      </c>
      <c r="CI133" s="12">
        <f t="shared" si="290"/>
        <v>11700</v>
      </c>
      <c r="CJ133" s="199">
        <f t="shared" si="291"/>
        <v>0.0120469026074851</v>
      </c>
      <c r="CK133" s="192"/>
      <c r="CL133" s="391"/>
      <c r="CM133" s="389"/>
      <c r="CN133" s="390" t="str">
        <f t="shared" si="222"/>
        <v>2025//12//10</v>
      </c>
      <c r="CO133" s="390">
        <v>136146</v>
      </c>
      <c r="CP133" s="390">
        <v>133146</v>
      </c>
      <c r="CQ133" s="12">
        <f t="shared" si="293"/>
        <v>3000</v>
      </c>
      <c r="CR133" s="199">
        <f t="shared" si="294"/>
        <v>0.0225316569780542</v>
      </c>
      <c r="CS133" s="391"/>
      <c r="CT133" s="391"/>
      <c r="CU133" s="389"/>
      <c r="CV133" s="390" t="str">
        <f t="shared" si="223"/>
        <v>2025//12//10</v>
      </c>
      <c r="CW133" s="390">
        <v>636440</v>
      </c>
      <c r="CX133" s="390">
        <v>634190</v>
      </c>
      <c r="CY133" s="416">
        <v>2250</v>
      </c>
      <c r="CZ133" s="417">
        <v>0.0035</v>
      </c>
      <c r="DA133" s="192"/>
      <c r="DB133" s="192"/>
      <c r="DC133" s="277"/>
      <c r="DD133" s="390" t="str">
        <f t="shared" si="224"/>
        <v>2025//12//10</v>
      </c>
      <c r="DE133" s="390">
        <v>883718</v>
      </c>
      <c r="DF133" s="12">
        <f t="shared" si="298"/>
        <v>882318</v>
      </c>
      <c r="DG133" s="416">
        <v>700</v>
      </c>
      <c r="DH133" s="417">
        <v>0.0016</v>
      </c>
      <c r="DI133" s="192"/>
      <c r="DJ133" s="192"/>
      <c r="DK133" s="389"/>
      <c r="DL133" s="390" t="str">
        <f t="shared" si="225"/>
        <v>2025//12//10</v>
      </c>
      <c r="DM133" s="390">
        <v>1484100</v>
      </c>
      <c r="DN133" s="390">
        <v>1490300</v>
      </c>
      <c r="DO133" s="414">
        <v>-6200</v>
      </c>
      <c r="DP133" s="415">
        <v>-0.0042</v>
      </c>
      <c r="DQ133" s="192"/>
      <c r="DR133" s="192"/>
      <c r="DS133" s="389"/>
      <c r="DT133" s="390" t="str">
        <f t="shared" si="226"/>
        <v>2025//12//10</v>
      </c>
      <c r="DU133" s="390">
        <v>1730789</v>
      </c>
      <c r="DV133" s="390">
        <v>1703789</v>
      </c>
      <c r="DW133" s="416">
        <v>27000</v>
      </c>
      <c r="DX133" s="417">
        <v>0.0158</v>
      </c>
      <c r="DY133" s="192"/>
      <c r="DZ133" s="192"/>
      <c r="EA133" s="389"/>
      <c r="EB133" s="390" t="str">
        <f t="shared" si="227"/>
        <v>2025//12//10</v>
      </c>
      <c r="EC133" s="390">
        <v>5308467</v>
      </c>
      <c r="ED133" s="390">
        <v>5287317</v>
      </c>
      <c r="EE133" s="416">
        <v>21150</v>
      </c>
      <c r="EF133" s="417">
        <v>0.004</v>
      </c>
      <c r="EG133" s="192"/>
      <c r="EH133" s="192"/>
      <c r="EI133" s="389"/>
      <c r="EJ133" s="390" t="str">
        <f t="shared" si="228"/>
        <v>2025//12//10</v>
      </c>
      <c r="EK133" s="390">
        <v>1507923</v>
      </c>
      <c r="EL133" s="390">
        <v>1527723</v>
      </c>
      <c r="EM133" s="414">
        <v>-19800</v>
      </c>
      <c r="EN133" s="415">
        <v>-0.013</v>
      </c>
      <c r="EO133" s="192"/>
      <c r="EP133" s="192"/>
      <c r="EQ133" s="340"/>
      <c r="ER133" s="341" t="str">
        <f t="shared" si="229"/>
        <v>2025//12//10</v>
      </c>
      <c r="ES133" s="341">
        <v>489797</v>
      </c>
      <c r="ET133" s="341">
        <v>496097</v>
      </c>
      <c r="EU133" s="341">
        <v>-6300</v>
      </c>
      <c r="EV133" s="350">
        <v>-0.0127</v>
      </c>
      <c r="EW133" s="192"/>
      <c r="EX133" s="192"/>
      <c r="EY133" s="389"/>
      <c r="EZ133" s="390" t="str">
        <f t="shared" si="230"/>
        <v>2025//12//10</v>
      </c>
      <c r="FA133" s="390">
        <v>1106108</v>
      </c>
      <c r="FB133" s="390">
        <v>1110808</v>
      </c>
      <c r="FC133" s="414">
        <v>-4700</v>
      </c>
      <c r="FD133" s="415">
        <v>-0.0042</v>
      </c>
      <c r="FE133" s="192"/>
      <c r="FF133" s="192"/>
      <c r="FG133" s="192"/>
      <c r="FH133" s="390" t="str">
        <f t="shared" si="231"/>
        <v>2025//12//10</v>
      </c>
      <c r="FI133" s="392">
        <v>192095</v>
      </c>
      <c r="FJ133" s="390">
        <v>182795</v>
      </c>
      <c r="FK133" s="348">
        <v>9300</v>
      </c>
      <c r="FL133" s="349">
        <v>0.0509</v>
      </c>
      <c r="FM133" s="391"/>
      <c r="FN133" s="391"/>
      <c r="FO133" s="389"/>
      <c r="FP133" s="390" t="str">
        <f t="shared" si="232"/>
        <v>2025//12//10</v>
      </c>
      <c r="FQ133" s="390">
        <v>2616419</v>
      </c>
      <c r="FR133" s="390">
        <v>2605769</v>
      </c>
      <c r="FS133" s="416">
        <v>10650</v>
      </c>
      <c r="FT133" s="417">
        <v>0.0041</v>
      </c>
      <c r="FU133" s="192"/>
      <c r="FV133" s="192"/>
      <c r="FW133" s="389"/>
      <c r="FX133" s="390" t="str">
        <f t="shared" si="233"/>
        <v>2025//12//10</v>
      </c>
      <c r="FY133" s="390">
        <v>7368882</v>
      </c>
      <c r="FZ133" s="390">
        <v>7375582</v>
      </c>
      <c r="GA133" s="414">
        <v>-6700</v>
      </c>
      <c r="GB133" s="415">
        <v>-0.0009</v>
      </c>
      <c r="GC133" s="192"/>
      <c r="GD133" s="192"/>
      <c r="GE133" s="389"/>
      <c r="GF133" s="390" t="str">
        <f t="shared" si="234"/>
        <v>2025//12//10</v>
      </c>
      <c r="GG133" s="390">
        <v>4380169</v>
      </c>
      <c r="GH133" s="390">
        <v>4367369</v>
      </c>
      <c r="GI133" s="416">
        <v>12800</v>
      </c>
      <c r="GJ133" s="417">
        <v>0.0029</v>
      </c>
      <c r="GK133" s="192"/>
      <c r="GL133" s="192"/>
      <c r="GM133" s="389"/>
      <c r="GN133" s="390" t="str">
        <f t="shared" si="235"/>
        <v>2025//12//10</v>
      </c>
      <c r="GO133" s="390">
        <v>1508098</v>
      </c>
      <c r="GP133" s="390">
        <v>1507198</v>
      </c>
      <c r="GQ133" s="416">
        <v>900</v>
      </c>
      <c r="GR133" s="417">
        <v>0.0006</v>
      </c>
      <c r="GS133" s="192"/>
      <c r="GT133" s="192"/>
      <c r="GU133" s="389"/>
      <c r="GV133" s="390" t="str">
        <f t="shared" si="236"/>
        <v>2025//12//10</v>
      </c>
      <c r="GW133" s="390">
        <v>1301549</v>
      </c>
      <c r="GX133" s="390">
        <v>1301749</v>
      </c>
      <c r="GY133" s="414">
        <v>-200</v>
      </c>
      <c r="GZ133" s="415">
        <v>-0.0002</v>
      </c>
      <c r="HA133" s="192"/>
      <c r="HB133" s="192"/>
      <c r="HC133" s="389"/>
      <c r="HD133" s="390" t="str">
        <f t="shared" si="237"/>
        <v>2025//12//10</v>
      </c>
      <c r="HE133" s="390">
        <v>1425065</v>
      </c>
      <c r="HF133" s="390">
        <v>1427765</v>
      </c>
      <c r="HG133" s="414">
        <v>-2700</v>
      </c>
      <c r="HH133" s="415">
        <v>-0.0019</v>
      </c>
      <c r="HI133" s="391"/>
      <c r="HJ133" s="192"/>
      <c r="HK133" s="389"/>
      <c r="HL133" s="390" t="str">
        <f t="shared" si="238"/>
        <v>2025//12//10</v>
      </c>
      <c r="HM133" s="390">
        <v>183604</v>
      </c>
      <c r="HN133" s="390">
        <v>185104</v>
      </c>
      <c r="HO133" s="414">
        <v>-1500</v>
      </c>
      <c r="HP133" s="415">
        <v>-0.0081</v>
      </c>
      <c r="HQ133" s="192"/>
      <c r="HR133" s="192"/>
      <c r="HS133" s="389"/>
      <c r="HT133" s="390" t="str">
        <f t="shared" si="239"/>
        <v>2025//12//10</v>
      </c>
      <c r="HU133" s="390">
        <v>126669</v>
      </c>
      <c r="HV133" s="390">
        <v>127369</v>
      </c>
      <c r="HW133" s="414">
        <v>-700</v>
      </c>
      <c r="HX133" s="415">
        <v>-0.0055</v>
      </c>
      <c r="HY133" s="192"/>
      <c r="HZ133" s="192"/>
      <c r="IA133" s="389"/>
      <c r="IB133" s="390" t="str">
        <f t="shared" si="240"/>
        <v>2025//12//10</v>
      </c>
      <c r="IC133" s="390"/>
      <c r="ID133" s="390"/>
      <c r="IE133" s="390"/>
      <c r="IF133" s="391"/>
      <c r="IG133" s="391"/>
      <c r="IH133" s="192"/>
      <c r="II133" s="389"/>
      <c r="IJ133" s="390" t="str">
        <f t="shared" si="241"/>
        <v>2025//12//10</v>
      </c>
      <c r="IK133" s="390">
        <v>395676</v>
      </c>
      <c r="IL133" s="390">
        <v>401196</v>
      </c>
      <c r="IM133" s="414">
        <v>-5520</v>
      </c>
      <c r="IN133" s="415">
        <v>-0.0138</v>
      </c>
      <c r="IO133" s="192"/>
      <c r="IP133" s="192"/>
      <c r="IQ133" s="389"/>
      <c r="IR133" s="390" t="str">
        <f t="shared" si="242"/>
        <v>2025//12//10</v>
      </c>
      <c r="IS133" s="390">
        <v>116889</v>
      </c>
      <c r="IT133" s="390">
        <v>117689</v>
      </c>
      <c r="IU133" s="414">
        <v>-800</v>
      </c>
      <c r="IV133" s="415">
        <v>-0.0068</v>
      </c>
      <c r="IW133" s="192"/>
      <c r="IX133" s="192"/>
      <c r="IY133" s="389"/>
      <c r="IZ133" s="390" t="str">
        <f t="shared" si="243"/>
        <v>2025//12//10</v>
      </c>
      <c r="JA133" s="390">
        <v>4748229</v>
      </c>
      <c r="JB133" s="390">
        <v>4741429</v>
      </c>
      <c r="JC133" s="416">
        <v>6800</v>
      </c>
      <c r="JD133" s="417">
        <v>0.0014</v>
      </c>
      <c r="JE133" s="192"/>
      <c r="JF133" s="192"/>
      <c r="JG133" s="389"/>
      <c r="JH133" s="390" t="str">
        <f t="shared" si="244"/>
        <v>2025//12//10</v>
      </c>
      <c r="JI133" s="390">
        <v>1847968</v>
      </c>
      <c r="JJ133" s="390">
        <v>1885588</v>
      </c>
      <c r="JK133" s="414">
        <v>-37620</v>
      </c>
      <c r="JL133" s="415">
        <v>-0.02</v>
      </c>
      <c r="JM133" s="192"/>
      <c r="JN133" s="192"/>
      <c r="JO133" s="192"/>
      <c r="JP133" s="390" t="str">
        <f t="shared" si="245"/>
        <v>2025//12//10</v>
      </c>
      <c r="JQ133" s="390">
        <v>1182990</v>
      </c>
      <c r="JR133" s="390">
        <v>1190090</v>
      </c>
      <c r="JS133" s="414">
        <v>-7100</v>
      </c>
      <c r="JT133" s="415">
        <v>-0.006</v>
      </c>
      <c r="JU133" s="192"/>
      <c r="JV133" s="192"/>
      <c r="JW133" s="409"/>
      <c r="JX133" s="390" t="str">
        <f t="shared" si="246"/>
        <v>2025//12//10</v>
      </c>
      <c r="JY133" s="390">
        <v>1509049</v>
      </c>
      <c r="JZ133" s="390">
        <v>1509249</v>
      </c>
      <c r="KA133" s="414">
        <v>-200</v>
      </c>
      <c r="KB133" s="415">
        <v>-0.0001</v>
      </c>
      <c r="KC133" s="192"/>
      <c r="KD133" s="409"/>
      <c r="KF133" s="390" t="str">
        <f t="shared" si="247"/>
        <v>2025//12//10</v>
      </c>
      <c r="KG133" s="390">
        <v>904756</v>
      </c>
      <c r="KH133" s="390">
        <v>904756</v>
      </c>
      <c r="KI133" s="410">
        <v>0</v>
      </c>
      <c r="KJ133" s="409">
        <v>0</v>
      </c>
      <c r="KK133" s="391"/>
      <c r="KL133" s="391"/>
      <c r="KM133" s="389"/>
      <c r="KN133" s="390" t="str">
        <f t="shared" si="248"/>
        <v>2025//12//10</v>
      </c>
      <c r="KO133" s="390">
        <v>6435676</v>
      </c>
      <c r="KP133" s="390">
        <v>6414576</v>
      </c>
      <c r="KQ133" s="416">
        <v>21100</v>
      </c>
      <c r="KR133" s="417">
        <v>0.0033</v>
      </c>
      <c r="KS133" s="192"/>
      <c r="KT133" s="192"/>
      <c r="KU133" s="389"/>
      <c r="KV133" s="390" t="str">
        <f t="shared" si="249"/>
        <v>2025//12//10</v>
      </c>
      <c r="KW133" s="390">
        <v>1041373</v>
      </c>
      <c r="KX133" s="390">
        <v>1036073</v>
      </c>
      <c r="KY133" s="348">
        <v>5300</v>
      </c>
      <c r="KZ133" s="349">
        <v>0.0051</v>
      </c>
      <c r="LA133" s="349"/>
      <c r="LB133" s="192"/>
      <c r="LC133" s="389"/>
      <c r="LD133" s="390" t="str">
        <f t="shared" si="250"/>
        <v>2025//12//10</v>
      </c>
      <c r="LE133" s="390">
        <v>476758</v>
      </c>
      <c r="LF133" s="390">
        <v>477908</v>
      </c>
      <c r="LG133" s="414">
        <v>-1150</v>
      </c>
      <c r="LH133" s="415">
        <v>-0.0024</v>
      </c>
      <c r="LI133" s="192"/>
      <c r="LJ133" s="192"/>
      <c r="LK133" s="389"/>
      <c r="LL133" s="390" t="str">
        <f t="shared" si="251"/>
        <v>2025//12//10</v>
      </c>
      <c r="LM133" s="392">
        <v>3758695</v>
      </c>
      <c r="LN133" s="390">
        <v>3764095</v>
      </c>
      <c r="LO133" s="414">
        <v>-5400</v>
      </c>
      <c r="LP133" s="415">
        <v>-0.0014</v>
      </c>
      <c r="LQ133" s="192"/>
      <c r="LR133" s="192"/>
      <c r="LS133" s="389"/>
      <c r="LT133" s="390" t="str">
        <f t="shared" si="252"/>
        <v>2025//12//10</v>
      </c>
      <c r="LU133" s="390">
        <v>2584463</v>
      </c>
      <c r="LV133" s="390">
        <v>2589463</v>
      </c>
      <c r="LW133" s="414">
        <v>-5000</v>
      </c>
      <c r="LX133" s="415">
        <v>-0.0019</v>
      </c>
      <c r="LY133" s="192"/>
      <c r="LZ133" s="192"/>
      <c r="MA133" s="389"/>
      <c r="MB133" s="390" t="str">
        <f t="shared" si="253"/>
        <v>2025//12//10</v>
      </c>
      <c r="MC133" s="390">
        <v>840168</v>
      </c>
      <c r="MD133" s="390">
        <v>839168</v>
      </c>
      <c r="ME133" s="416">
        <v>1000</v>
      </c>
      <c r="MF133" s="417">
        <v>0.0012</v>
      </c>
      <c r="MG133" s="192"/>
      <c r="MH133" s="192"/>
      <c r="MI133" s="342"/>
      <c r="MJ133" s="341">
        <v>0.9896</v>
      </c>
      <c r="MK133" s="341" t="str">
        <f t="shared" si="254"/>
        <v>2025//12//10</v>
      </c>
      <c r="ML133" s="341">
        <v>238186</v>
      </c>
      <c r="MM133" s="12">
        <f t="shared" si="388"/>
        <v>237466</v>
      </c>
      <c r="MN133" s="341">
        <v>720</v>
      </c>
      <c r="MO133" s="350">
        <v>0.003</v>
      </c>
      <c r="MP133" s="192"/>
      <c r="MQ133" s="394"/>
      <c r="MR133" s="394"/>
      <c r="MS133" s="391"/>
      <c r="MT133" s="26" t="str">
        <f t="shared" si="255"/>
        <v>2025//12//10</v>
      </c>
      <c r="MX133" s="192"/>
      <c r="MY133" s="192"/>
      <c r="MZ133" s="192"/>
      <c r="NA133" s="192"/>
      <c r="NB133" s="192"/>
      <c r="NC133" s="8" t="str">
        <f t="shared" si="256"/>
        <v>2025//12//10</v>
      </c>
      <c r="NG133" s="192"/>
      <c r="NH133" s="192"/>
      <c r="NI133" s="192"/>
      <c r="NJ133" s="192"/>
      <c r="NK133" s="192"/>
      <c r="NL133" s="8"/>
      <c r="NM133" s="8" t="str">
        <f t="shared" si="257"/>
        <v>2025//12//10</v>
      </c>
      <c r="NQ133" s="192"/>
      <c r="NR133" s="192"/>
      <c r="NS133" s="8"/>
      <c r="NU133" s="8" t="str">
        <f t="shared" si="258"/>
        <v>2025//12//10</v>
      </c>
      <c r="NV133" s="389"/>
      <c r="NW133" s="389"/>
      <c r="NX133" s="389"/>
      <c r="NY133" s="391"/>
      <c r="NZ133" s="391"/>
      <c r="OA133" s="389"/>
      <c r="OB133" s="389"/>
      <c r="OC133" s="390" t="str">
        <f t="shared" si="259"/>
        <v>2025//12//10</v>
      </c>
      <c r="OD133" s="390">
        <v>15651</v>
      </c>
      <c r="OE133" s="390">
        <v>15724</v>
      </c>
      <c r="OF133" s="414">
        <v>-73</v>
      </c>
      <c r="OG133" s="415">
        <v>-0.0046</v>
      </c>
      <c r="OH133" s="192"/>
      <c r="OI133" s="192"/>
      <c r="OJ133" s="389"/>
      <c r="OK133" s="390" t="str">
        <f t="shared" si="260"/>
        <v>2025//12//10</v>
      </c>
      <c r="OO133" s="192"/>
      <c r="OP133" s="192"/>
      <c r="OQ133" s="192"/>
      <c r="OT133" s="26" t="str">
        <f t="shared" si="407"/>
        <v>2025//12//10</v>
      </c>
      <c r="OU133" s="206">
        <v>135192.4066</v>
      </c>
      <c r="OV133" s="8">
        <f t="shared" si="401"/>
        <v>135072.4066</v>
      </c>
      <c r="OW133" s="191">
        <f t="shared" si="402"/>
        <v>120</v>
      </c>
      <c r="OX133" s="192">
        <f t="shared" si="403"/>
        <v>0.000888412393179348</v>
      </c>
    </row>
    <row r="134" s="8" customFormat="1" ht="17" customHeight="1" spans="1:414">
      <c r="A134" s="15"/>
      <c r="B134" s="15"/>
      <c r="C134" s="385" t="s">
        <v>563</v>
      </c>
      <c r="D134" s="395">
        <v>8990779</v>
      </c>
      <c r="E134" s="395">
        <v>9023719</v>
      </c>
      <c r="F134" s="403">
        <v>-32940</v>
      </c>
      <c r="G134" s="404">
        <v>-0.0037</v>
      </c>
      <c r="H134" s="18"/>
      <c r="I134" s="453"/>
      <c r="J134" s="453"/>
      <c r="K134" s="386" t="str">
        <f t="shared" si="212"/>
        <v>2025//12//9</v>
      </c>
      <c r="L134" s="395">
        <v>6633154</v>
      </c>
      <c r="M134" s="395">
        <v>6641614</v>
      </c>
      <c r="N134" s="403">
        <v>-8460</v>
      </c>
      <c r="O134" s="404">
        <v>-0.0013</v>
      </c>
      <c r="P134" s="18"/>
      <c r="Q134" s="453"/>
      <c r="R134" s="454"/>
      <c r="S134" s="386" t="str">
        <f t="shared" si="213"/>
        <v>2025//12//9</v>
      </c>
      <c r="T134" s="395">
        <v>5742067</v>
      </c>
      <c r="U134" s="395">
        <v>5754757</v>
      </c>
      <c r="V134" s="403">
        <v>-12690</v>
      </c>
      <c r="W134" s="404">
        <v>-0.0022</v>
      </c>
      <c r="X134" s="18"/>
      <c r="Y134" s="453"/>
      <c r="Z134" s="454"/>
      <c r="AA134" s="386" t="str">
        <f t="shared" si="214"/>
        <v>2025//12//9</v>
      </c>
      <c r="AB134" s="395">
        <v>1847177</v>
      </c>
      <c r="AC134" s="395">
        <v>1855297</v>
      </c>
      <c r="AD134" s="403">
        <v>-8120</v>
      </c>
      <c r="AE134" s="404">
        <v>-0.0044</v>
      </c>
      <c r="AF134" s="18"/>
      <c r="AG134" s="453"/>
      <c r="AH134" s="454"/>
      <c r="AI134" s="386" t="str">
        <f t="shared" si="215"/>
        <v>2025//12//9</v>
      </c>
      <c r="AJ134" s="395">
        <v>2511322</v>
      </c>
      <c r="AK134" s="386">
        <v>2514722</v>
      </c>
      <c r="AL134" s="403">
        <v>-3400</v>
      </c>
      <c r="AM134" s="404">
        <v>-0.0014</v>
      </c>
      <c r="AN134" s="18"/>
      <c r="AO134" s="18"/>
      <c r="AP134" s="454"/>
      <c r="AQ134" s="386" t="str">
        <f t="shared" si="216"/>
        <v>2025//12//9</v>
      </c>
      <c r="AR134" s="418">
        <v>3129245</v>
      </c>
      <c r="AS134" s="395">
        <v>3159845</v>
      </c>
      <c r="AT134" s="403">
        <v>-30600</v>
      </c>
      <c r="AU134" s="404">
        <v>-0.0097</v>
      </c>
      <c r="AV134" s="18"/>
      <c r="AW134" s="18"/>
      <c r="AX134" s="17"/>
      <c r="AY134" s="17"/>
      <c r="AZ134" s="17" t="str">
        <f t="shared" si="217"/>
        <v>2025//12//9</v>
      </c>
      <c r="BA134" s="17"/>
      <c r="BB134" s="17"/>
      <c r="BC134" s="17"/>
      <c r="BD134" s="18"/>
      <c r="BE134" s="18"/>
      <c r="BF134" s="18"/>
      <c r="BG134" s="74"/>
      <c r="BH134" s="387" t="str">
        <f t="shared" si="218"/>
        <v>2025//12//9</v>
      </c>
      <c r="BI134" s="387">
        <v>179927</v>
      </c>
      <c r="BJ134" s="387">
        <v>176527</v>
      </c>
      <c r="BK134" s="421">
        <v>3400</v>
      </c>
      <c r="BL134" s="422">
        <v>0.0193</v>
      </c>
      <c r="BM134" s="197"/>
      <c r="BN134" s="192"/>
      <c r="BO134" s="389"/>
      <c r="BP134" s="390" t="str">
        <f t="shared" si="219"/>
        <v>2025//12//9</v>
      </c>
      <c r="BQ134" s="392">
        <v>662962</v>
      </c>
      <c r="BR134" s="390">
        <v>662162</v>
      </c>
      <c r="BS134" s="416">
        <v>800</v>
      </c>
      <c r="BT134" s="417">
        <v>0.0012</v>
      </c>
      <c r="BU134" s="192"/>
      <c r="BV134" s="192"/>
      <c r="BW134" s="389"/>
      <c r="BX134" s="390" t="str">
        <f t="shared" si="220"/>
        <v>2025//12//9</v>
      </c>
      <c r="BY134" s="390">
        <v>2076811</v>
      </c>
      <c r="BZ134" s="390">
        <v>2094161</v>
      </c>
      <c r="CA134" s="414">
        <v>-17350</v>
      </c>
      <c r="CB134" s="415">
        <v>-0.0083</v>
      </c>
      <c r="CC134" s="192"/>
      <c r="CD134" s="409"/>
      <c r="CE134" s="389"/>
      <c r="CF134" s="390" t="str">
        <f t="shared" si="221"/>
        <v>2025//12//9</v>
      </c>
      <c r="CG134" s="390">
        <v>971204</v>
      </c>
      <c r="CH134" s="12">
        <f t="shared" si="289"/>
        <v>957104</v>
      </c>
      <c r="CI134" s="12">
        <f t="shared" si="290"/>
        <v>14100</v>
      </c>
      <c r="CJ134" s="199">
        <f t="shared" si="291"/>
        <v>0.0147319413564252</v>
      </c>
      <c r="CK134" s="192"/>
      <c r="CL134" s="391"/>
      <c r="CM134" s="389"/>
      <c r="CN134" s="390" t="str">
        <f t="shared" si="222"/>
        <v>2025//12//9</v>
      </c>
      <c r="CO134" s="390">
        <v>133146</v>
      </c>
      <c r="CP134" s="390">
        <v>130746</v>
      </c>
      <c r="CQ134" s="12">
        <f t="shared" si="293"/>
        <v>2400</v>
      </c>
      <c r="CR134" s="199">
        <f t="shared" si="294"/>
        <v>0.0183562021017851</v>
      </c>
      <c r="CS134" s="391"/>
      <c r="CT134" s="391"/>
      <c r="CU134" s="389"/>
      <c r="CV134" s="390" t="str">
        <f t="shared" si="223"/>
        <v>2025//12//9</v>
      </c>
      <c r="CW134" s="390">
        <v>634190</v>
      </c>
      <c r="CX134" s="390">
        <v>638140</v>
      </c>
      <c r="CY134" s="414">
        <v>-3950</v>
      </c>
      <c r="CZ134" s="415">
        <v>-0.0062</v>
      </c>
      <c r="DA134" s="192"/>
      <c r="DB134" s="192"/>
      <c r="DC134" s="277"/>
      <c r="DD134" s="390" t="str">
        <f t="shared" si="224"/>
        <v>2025//12//9</v>
      </c>
      <c r="DE134" s="390">
        <v>882318</v>
      </c>
      <c r="DF134" s="12">
        <f t="shared" si="298"/>
        <v>880918</v>
      </c>
      <c r="DG134" s="416">
        <v>700</v>
      </c>
      <c r="DH134" s="417">
        <v>0.0016</v>
      </c>
      <c r="DI134" s="192"/>
      <c r="DJ134" s="192"/>
      <c r="DK134" s="389"/>
      <c r="DL134" s="390" t="str">
        <f t="shared" si="225"/>
        <v>2025//12//9</v>
      </c>
      <c r="DM134" s="390">
        <v>1490300</v>
      </c>
      <c r="DN134" s="390">
        <v>1487500</v>
      </c>
      <c r="DO134" s="416">
        <v>2800</v>
      </c>
      <c r="DP134" s="417">
        <v>0.0019</v>
      </c>
      <c r="DQ134" s="192"/>
      <c r="DR134" s="192"/>
      <c r="DS134" s="389"/>
      <c r="DT134" s="390" t="str">
        <f t="shared" si="226"/>
        <v>2025//12//9</v>
      </c>
      <c r="DU134" s="390">
        <v>1703789</v>
      </c>
      <c r="DV134" s="390">
        <v>1680389</v>
      </c>
      <c r="DW134" s="416">
        <v>23400</v>
      </c>
      <c r="DX134" s="417">
        <v>0.0139</v>
      </c>
      <c r="DY134" s="192"/>
      <c r="DZ134" s="192"/>
      <c r="EA134" s="389"/>
      <c r="EB134" s="390" t="str">
        <f t="shared" si="227"/>
        <v>2025//12//9</v>
      </c>
      <c r="EC134" s="390">
        <v>5287317</v>
      </c>
      <c r="ED134" s="390">
        <v>5297667</v>
      </c>
      <c r="EE134" s="414">
        <v>-10350</v>
      </c>
      <c r="EF134" s="415">
        <v>-0.002</v>
      </c>
      <c r="EG134" s="192"/>
      <c r="EH134" s="192"/>
      <c r="EI134" s="389"/>
      <c r="EJ134" s="390" t="str">
        <f t="shared" si="228"/>
        <v>2025//12//9</v>
      </c>
      <c r="EK134" s="390">
        <v>1527723</v>
      </c>
      <c r="EL134" s="390">
        <v>1565323</v>
      </c>
      <c r="EM134" s="414">
        <v>-37600</v>
      </c>
      <c r="EN134" s="415">
        <v>-0.024</v>
      </c>
      <c r="EO134" s="192"/>
      <c r="EP134" s="192"/>
      <c r="EQ134" s="340"/>
      <c r="ER134" s="341" t="str">
        <f t="shared" si="229"/>
        <v>2025//12//9</v>
      </c>
      <c r="ES134" s="341">
        <v>496097</v>
      </c>
      <c r="ET134" s="341">
        <v>511697</v>
      </c>
      <c r="EU134" s="341">
        <v>-15600</v>
      </c>
      <c r="EV134" s="350">
        <v>-0.0305</v>
      </c>
      <c r="EW134" s="192"/>
      <c r="EX134" s="192"/>
      <c r="EY134" s="389"/>
      <c r="EZ134" s="390" t="str">
        <f t="shared" si="230"/>
        <v>2025//12//9</v>
      </c>
      <c r="FA134" s="390">
        <v>1110808</v>
      </c>
      <c r="FB134" s="390">
        <v>1123108</v>
      </c>
      <c r="FC134" s="414">
        <v>-12300</v>
      </c>
      <c r="FD134" s="415">
        <v>-0.011</v>
      </c>
      <c r="FE134" s="192"/>
      <c r="FF134" s="192"/>
      <c r="FG134" s="192"/>
      <c r="FH134" s="390" t="str">
        <f t="shared" si="231"/>
        <v>2025//12//9</v>
      </c>
      <c r="FI134" s="392">
        <v>182795</v>
      </c>
      <c r="FJ134" s="390">
        <v>173495</v>
      </c>
      <c r="FK134" s="348">
        <v>9300</v>
      </c>
      <c r="FL134" s="349">
        <v>0.0536</v>
      </c>
      <c r="FM134" s="391"/>
      <c r="FN134" s="391"/>
      <c r="FO134" s="389"/>
      <c r="FP134" s="390" t="str">
        <f t="shared" si="232"/>
        <v>2025//12//9</v>
      </c>
      <c r="FQ134" s="390">
        <v>2605769</v>
      </c>
      <c r="FR134" s="390">
        <v>2608019</v>
      </c>
      <c r="FS134" s="414">
        <v>-2250</v>
      </c>
      <c r="FT134" s="415">
        <v>-0.0009</v>
      </c>
      <c r="FU134" s="192"/>
      <c r="FV134" s="192"/>
      <c r="FW134" s="389"/>
      <c r="FX134" s="390" t="str">
        <f t="shared" si="233"/>
        <v>2025//12//9</v>
      </c>
      <c r="FY134" s="390">
        <v>7375582</v>
      </c>
      <c r="FZ134" s="390">
        <v>7372382</v>
      </c>
      <c r="GA134" s="416">
        <v>3200</v>
      </c>
      <c r="GB134" s="417">
        <v>0.0004</v>
      </c>
      <c r="GC134" s="192"/>
      <c r="GD134" s="192"/>
      <c r="GE134" s="389"/>
      <c r="GF134" s="390" t="str">
        <f t="shared" si="234"/>
        <v>2025//12//9</v>
      </c>
      <c r="GG134" s="390">
        <v>4367369</v>
      </c>
      <c r="GH134" s="390">
        <v>4378669</v>
      </c>
      <c r="GI134" s="414">
        <v>-11300</v>
      </c>
      <c r="GJ134" s="415">
        <v>-0.0026</v>
      </c>
      <c r="GK134" s="192"/>
      <c r="GL134" s="192"/>
      <c r="GM134" s="389"/>
      <c r="GN134" s="390" t="str">
        <f t="shared" si="235"/>
        <v>2025//12//9</v>
      </c>
      <c r="GO134" s="390">
        <v>1507198</v>
      </c>
      <c r="GP134" s="390">
        <v>1505458</v>
      </c>
      <c r="GQ134" s="416">
        <v>1740</v>
      </c>
      <c r="GR134" s="417">
        <v>0.0012</v>
      </c>
      <c r="GS134" s="192"/>
      <c r="GT134" s="192"/>
      <c r="GU134" s="389"/>
      <c r="GV134" s="390" t="str">
        <f t="shared" si="236"/>
        <v>2025//12//9</v>
      </c>
      <c r="GW134" s="390">
        <v>1301749</v>
      </c>
      <c r="GX134" s="390">
        <v>1316549</v>
      </c>
      <c r="GY134" s="414">
        <v>-14800</v>
      </c>
      <c r="GZ134" s="415">
        <v>-0.0112</v>
      </c>
      <c r="HA134" s="192"/>
      <c r="HB134" s="192"/>
      <c r="HC134" s="389"/>
      <c r="HD134" s="390" t="str">
        <f t="shared" si="237"/>
        <v>2025//12//9</v>
      </c>
      <c r="HE134" s="390">
        <v>1427765</v>
      </c>
      <c r="HF134" s="390">
        <v>1425165</v>
      </c>
      <c r="HG134" s="416">
        <v>2600</v>
      </c>
      <c r="HH134" s="417">
        <v>0.0018</v>
      </c>
      <c r="HI134" s="391"/>
      <c r="HJ134" s="192"/>
      <c r="HK134" s="389"/>
      <c r="HL134" s="390" t="str">
        <f t="shared" si="238"/>
        <v>2025//12//9</v>
      </c>
      <c r="HM134" s="390">
        <v>185104</v>
      </c>
      <c r="HN134" s="390">
        <v>191204</v>
      </c>
      <c r="HO134" s="414">
        <v>-6100</v>
      </c>
      <c r="HP134" s="415">
        <v>-0.0319</v>
      </c>
      <c r="HQ134" s="192"/>
      <c r="HR134" s="192"/>
      <c r="HS134" s="389"/>
      <c r="HT134" s="390" t="str">
        <f t="shared" si="239"/>
        <v>2025//12//9</v>
      </c>
      <c r="HU134" s="390">
        <v>127369</v>
      </c>
      <c r="HV134" s="390">
        <v>128469</v>
      </c>
      <c r="HW134" s="414">
        <v>-1100</v>
      </c>
      <c r="HX134" s="415">
        <v>-0.0086</v>
      </c>
      <c r="HY134" s="192"/>
      <c r="HZ134" s="192"/>
      <c r="IA134" s="389"/>
      <c r="IB134" s="390" t="str">
        <f t="shared" si="240"/>
        <v>2025//12//9</v>
      </c>
      <c r="IC134" s="390"/>
      <c r="ID134" s="390"/>
      <c r="IE134" s="390"/>
      <c r="IF134" s="391"/>
      <c r="IG134" s="391"/>
      <c r="IH134" s="192"/>
      <c r="II134" s="389"/>
      <c r="IJ134" s="390" t="str">
        <f t="shared" si="241"/>
        <v>2025//12//9</v>
      </c>
      <c r="IK134" s="390">
        <v>401196</v>
      </c>
      <c r="IL134" s="390">
        <v>418556</v>
      </c>
      <c r="IM134" s="414">
        <v>-17360</v>
      </c>
      <c r="IN134" s="415">
        <v>-0.0415</v>
      </c>
      <c r="IO134" s="192"/>
      <c r="IP134" s="192"/>
      <c r="IQ134" s="389"/>
      <c r="IR134" s="390" t="str">
        <f t="shared" si="242"/>
        <v>2025//12//9</v>
      </c>
      <c r="IS134" s="390">
        <v>117689</v>
      </c>
      <c r="IT134" s="390">
        <v>119589</v>
      </c>
      <c r="IU134" s="414">
        <v>-1900</v>
      </c>
      <c r="IV134" s="415">
        <v>-0.0159</v>
      </c>
      <c r="IW134" s="192"/>
      <c r="IX134" s="192"/>
      <c r="IY134" s="389"/>
      <c r="IZ134" s="390" t="str">
        <f t="shared" si="243"/>
        <v>2025//12//9</v>
      </c>
      <c r="JA134" s="390">
        <v>4741429</v>
      </c>
      <c r="JB134" s="390">
        <v>4735729</v>
      </c>
      <c r="JC134" s="416">
        <v>5700</v>
      </c>
      <c r="JD134" s="417">
        <v>0.0012</v>
      </c>
      <c r="JE134" s="192"/>
      <c r="JF134" s="192"/>
      <c r="JG134" s="389"/>
      <c r="JH134" s="390" t="str">
        <f t="shared" si="244"/>
        <v>2025//12//9</v>
      </c>
      <c r="JI134" s="390">
        <v>1885588</v>
      </c>
      <c r="JJ134" s="390">
        <v>1942948</v>
      </c>
      <c r="JK134" s="414">
        <v>-57360</v>
      </c>
      <c r="JL134" s="415">
        <v>-0.0295</v>
      </c>
      <c r="JM134" s="192"/>
      <c r="JN134" s="192"/>
      <c r="JO134" s="192"/>
      <c r="JP134" s="390" t="str">
        <f t="shared" si="245"/>
        <v>2025//12//9</v>
      </c>
      <c r="JQ134" s="390">
        <v>1190090</v>
      </c>
      <c r="JR134" s="390">
        <v>1191490</v>
      </c>
      <c r="JS134" s="414">
        <v>-1400</v>
      </c>
      <c r="JT134" s="415">
        <v>-0.0012</v>
      </c>
      <c r="JU134" s="192"/>
      <c r="JV134" s="192"/>
      <c r="JW134" s="409"/>
      <c r="JX134" s="390" t="str">
        <f t="shared" si="246"/>
        <v>2025//12//9</v>
      </c>
      <c r="JY134" s="390">
        <v>1509249</v>
      </c>
      <c r="JZ134" s="390">
        <v>1509299</v>
      </c>
      <c r="KA134" s="414">
        <v>-50</v>
      </c>
      <c r="KB134" s="409">
        <v>0</v>
      </c>
      <c r="KC134" s="192"/>
      <c r="KD134" s="409"/>
      <c r="KF134" s="390" t="str">
        <f t="shared" si="247"/>
        <v>2025//12//9</v>
      </c>
      <c r="KG134" s="390">
        <v>904756</v>
      </c>
      <c r="KH134" s="390">
        <v>904756</v>
      </c>
      <c r="KI134" s="410">
        <v>0</v>
      </c>
      <c r="KJ134" s="409">
        <v>0</v>
      </c>
      <c r="KK134" s="391"/>
      <c r="KL134" s="391"/>
      <c r="KM134" s="389"/>
      <c r="KN134" s="390" t="str">
        <f t="shared" si="248"/>
        <v>2025//12//9</v>
      </c>
      <c r="KO134" s="390">
        <v>6414576</v>
      </c>
      <c r="KP134" s="390">
        <v>6354976</v>
      </c>
      <c r="KQ134" s="416">
        <v>59600</v>
      </c>
      <c r="KR134" s="417">
        <v>0.0094</v>
      </c>
      <c r="KS134" s="192"/>
      <c r="KT134" s="192"/>
      <c r="KU134" s="389"/>
      <c r="KV134" s="390" t="str">
        <f t="shared" si="249"/>
        <v>2025//12//9</v>
      </c>
      <c r="KW134" s="390">
        <v>1036073</v>
      </c>
      <c r="KX134" s="390">
        <v>1015373</v>
      </c>
      <c r="KY134" s="348">
        <v>20700</v>
      </c>
      <c r="KZ134" s="349">
        <v>0.0204</v>
      </c>
      <c r="LA134" s="349"/>
      <c r="LB134" s="192"/>
      <c r="LC134" s="389"/>
      <c r="LD134" s="390" t="str">
        <f t="shared" si="250"/>
        <v>2025//12//9</v>
      </c>
      <c r="LE134" s="390">
        <v>477908</v>
      </c>
      <c r="LF134" s="390">
        <v>483208</v>
      </c>
      <c r="LG134" s="414">
        <v>-5300</v>
      </c>
      <c r="LH134" s="415">
        <v>-0.011</v>
      </c>
      <c r="LI134" s="192"/>
      <c r="LJ134" s="192"/>
      <c r="LK134" s="389"/>
      <c r="LL134" s="390" t="str">
        <f t="shared" si="251"/>
        <v>2025//12//9</v>
      </c>
      <c r="LM134" s="392">
        <v>3764095</v>
      </c>
      <c r="LN134" s="390">
        <v>3752395</v>
      </c>
      <c r="LO134" s="416">
        <v>11700</v>
      </c>
      <c r="LP134" s="417">
        <v>0.0031</v>
      </c>
      <c r="LQ134" s="192"/>
      <c r="LR134" s="192"/>
      <c r="LS134" s="389"/>
      <c r="LT134" s="390" t="str">
        <f t="shared" si="252"/>
        <v>2025//12//9</v>
      </c>
      <c r="LU134" s="390">
        <v>2589463</v>
      </c>
      <c r="LV134" s="390">
        <v>2596263</v>
      </c>
      <c r="LW134" s="414">
        <v>-6800</v>
      </c>
      <c r="LX134" s="415">
        <v>-0.0026</v>
      </c>
      <c r="LY134" s="192"/>
      <c r="LZ134" s="192"/>
      <c r="MA134" s="389"/>
      <c r="MB134" s="390" t="str">
        <f t="shared" si="253"/>
        <v>2025//12//9</v>
      </c>
      <c r="MC134" s="390">
        <v>839168</v>
      </c>
      <c r="MD134" s="390">
        <v>839518</v>
      </c>
      <c r="ME134" s="414">
        <v>-350</v>
      </c>
      <c r="MF134" s="415">
        <v>-0.0004</v>
      </c>
      <c r="MG134" s="192"/>
      <c r="MH134" s="192"/>
      <c r="MI134" s="342"/>
      <c r="MJ134" s="341">
        <v>0.9986</v>
      </c>
      <c r="MK134" s="341" t="str">
        <f t="shared" si="254"/>
        <v>2025//12//9</v>
      </c>
      <c r="ML134" s="341">
        <v>237466</v>
      </c>
      <c r="MM134" s="12">
        <f t="shared" si="388"/>
        <v>235066</v>
      </c>
      <c r="MN134" s="341">
        <v>2400</v>
      </c>
      <c r="MO134" s="350">
        <v>0.0102</v>
      </c>
      <c r="MP134" s="192"/>
      <c r="MQ134" s="394"/>
      <c r="MR134" s="394"/>
      <c r="MS134" s="391"/>
      <c r="MT134" s="26" t="str">
        <f t="shared" si="255"/>
        <v>2025//12//9</v>
      </c>
      <c r="MX134" s="192"/>
      <c r="MY134" s="192"/>
      <c r="MZ134" s="192"/>
      <c r="NA134" s="192"/>
      <c r="NB134" s="192"/>
      <c r="NC134" s="8" t="str">
        <f t="shared" si="256"/>
        <v>2025//12//9</v>
      </c>
      <c r="NG134" s="192"/>
      <c r="NH134" s="192"/>
      <c r="NI134" s="192"/>
      <c r="NJ134" s="192"/>
      <c r="NK134" s="192"/>
      <c r="NL134" s="8"/>
      <c r="NM134" s="8" t="str">
        <f t="shared" si="257"/>
        <v>2025//12//9</v>
      </c>
      <c r="NQ134" s="192"/>
      <c r="NR134" s="192"/>
      <c r="NS134" s="8"/>
      <c r="NU134" s="8" t="str">
        <f t="shared" si="258"/>
        <v>2025//12//9</v>
      </c>
      <c r="NV134" s="389"/>
      <c r="NW134" s="389"/>
      <c r="NX134" s="389"/>
      <c r="NY134" s="391"/>
      <c r="NZ134" s="391"/>
      <c r="OA134" s="389"/>
      <c r="OB134" s="389"/>
      <c r="OC134" s="390" t="str">
        <f t="shared" si="259"/>
        <v>2025//12//9</v>
      </c>
      <c r="OD134" s="390">
        <v>15724</v>
      </c>
      <c r="OE134" s="390">
        <v>16225</v>
      </c>
      <c r="OF134" s="414">
        <v>-501</v>
      </c>
      <c r="OG134" s="415">
        <v>-0.0309</v>
      </c>
      <c r="OH134" s="192"/>
      <c r="OI134" s="192"/>
      <c r="OJ134" s="389"/>
      <c r="OK134" s="390" t="str">
        <f t="shared" si="260"/>
        <v>2025//12//9</v>
      </c>
      <c r="OO134" s="192"/>
      <c r="OP134" s="192"/>
      <c r="OQ134" s="192"/>
      <c r="OT134" s="26" t="str">
        <f t="shared" si="407"/>
        <v>2025//12//9</v>
      </c>
      <c r="OU134" s="206">
        <v>135072.4066</v>
      </c>
      <c r="OV134" s="8">
        <f t="shared" si="401"/>
        <v>134952.4066</v>
      </c>
      <c r="OW134" s="191">
        <f t="shared" si="402"/>
        <v>120</v>
      </c>
      <c r="OX134" s="192">
        <f t="shared" si="403"/>
        <v>0.00088920237158631</v>
      </c>
    </row>
    <row r="135" s="8" customFormat="1" ht="17" customHeight="1" spans="1:414">
      <c r="A135" s="15"/>
      <c r="B135" s="15"/>
      <c r="C135" s="385" t="s">
        <v>564</v>
      </c>
      <c r="D135" s="395">
        <v>9023719</v>
      </c>
      <c r="E135" s="395">
        <v>9004279</v>
      </c>
      <c r="F135" s="459">
        <v>19440</v>
      </c>
      <c r="G135" s="460">
        <v>0.0022</v>
      </c>
      <c r="H135" s="18"/>
      <c r="I135" s="453"/>
      <c r="J135" s="453"/>
      <c r="K135" s="386" t="str">
        <f t="shared" si="212"/>
        <v>2025//12//8</v>
      </c>
      <c r="L135" s="395">
        <v>6641614</v>
      </c>
      <c r="M135" s="395">
        <v>6637294</v>
      </c>
      <c r="N135" s="459">
        <v>4320</v>
      </c>
      <c r="O135" s="460">
        <v>0.0007</v>
      </c>
      <c r="P135" s="18"/>
      <c r="Q135" s="453"/>
      <c r="R135" s="454"/>
      <c r="S135" s="386" t="str">
        <f t="shared" si="213"/>
        <v>2025//12//8</v>
      </c>
      <c r="T135" s="395">
        <v>5754757</v>
      </c>
      <c r="U135" s="395">
        <v>5753317</v>
      </c>
      <c r="V135" s="459">
        <v>1440</v>
      </c>
      <c r="W135" s="460">
        <v>0.0003</v>
      </c>
      <c r="X135" s="18"/>
      <c r="Y135" s="453"/>
      <c r="Z135" s="454"/>
      <c r="AA135" s="386" t="str">
        <f t="shared" si="214"/>
        <v>2025//12//8</v>
      </c>
      <c r="AB135" s="395">
        <v>1855297</v>
      </c>
      <c r="AC135" s="395">
        <v>1854897</v>
      </c>
      <c r="AD135" s="459">
        <v>400</v>
      </c>
      <c r="AE135" s="460">
        <v>0.0002</v>
      </c>
      <c r="AF135" s="18"/>
      <c r="AG135" s="453"/>
      <c r="AH135" s="454"/>
      <c r="AI135" s="386" t="str">
        <f t="shared" si="215"/>
        <v>2025//12//8</v>
      </c>
      <c r="AJ135" s="395">
        <v>2514722</v>
      </c>
      <c r="AK135" s="386">
        <v>2517922</v>
      </c>
      <c r="AL135" s="403">
        <v>-3200</v>
      </c>
      <c r="AM135" s="404">
        <v>-0.0013</v>
      </c>
      <c r="AN135" s="18"/>
      <c r="AO135" s="18"/>
      <c r="AP135" s="454"/>
      <c r="AQ135" s="386" t="str">
        <f t="shared" si="216"/>
        <v>2025//12//8</v>
      </c>
      <c r="AR135" s="418">
        <v>3159845</v>
      </c>
      <c r="AS135" s="395">
        <v>3187745</v>
      </c>
      <c r="AT135" s="403">
        <v>-27900</v>
      </c>
      <c r="AU135" s="404">
        <v>-0.0088</v>
      </c>
      <c r="AV135" s="18"/>
      <c r="AW135" s="18"/>
      <c r="AX135" s="17"/>
      <c r="AY135" s="17"/>
      <c r="AZ135" s="17" t="str">
        <f t="shared" si="217"/>
        <v>2025//12//8</v>
      </c>
      <c r="BA135" s="17"/>
      <c r="BB135" s="17"/>
      <c r="BC135" s="17"/>
      <c r="BD135" s="18"/>
      <c r="BE135" s="18"/>
      <c r="BF135" s="18"/>
      <c r="BG135" s="74"/>
      <c r="BH135" s="387" t="str">
        <f t="shared" si="218"/>
        <v>2025//12//8</v>
      </c>
      <c r="BI135" s="387">
        <v>176527</v>
      </c>
      <c r="BJ135" s="387">
        <v>166227</v>
      </c>
      <c r="BK135" s="421">
        <v>10300</v>
      </c>
      <c r="BL135" s="422">
        <v>0.062</v>
      </c>
      <c r="BM135" s="197"/>
      <c r="BN135" s="192"/>
      <c r="BO135" s="389"/>
      <c r="BP135" s="390" t="str">
        <f t="shared" si="219"/>
        <v>2025//12//8</v>
      </c>
      <c r="BQ135" s="392">
        <v>662162</v>
      </c>
      <c r="BR135" s="390">
        <v>658062</v>
      </c>
      <c r="BS135" s="416">
        <v>4100</v>
      </c>
      <c r="BT135" s="417">
        <v>0.0062</v>
      </c>
      <c r="BU135" s="192"/>
      <c r="BV135" s="192"/>
      <c r="BW135" s="389"/>
      <c r="BX135" s="390" t="str">
        <f t="shared" si="220"/>
        <v>2025//12//8</v>
      </c>
      <c r="BY135" s="390">
        <v>2094161</v>
      </c>
      <c r="BZ135" s="390">
        <v>2089161</v>
      </c>
      <c r="CA135" s="416">
        <v>5000</v>
      </c>
      <c r="CB135" s="417">
        <v>0.0024</v>
      </c>
      <c r="CC135" s="192"/>
      <c r="CD135" s="409"/>
      <c r="CE135" s="389"/>
      <c r="CF135" s="390" t="str">
        <f t="shared" si="221"/>
        <v>2025//12//8</v>
      </c>
      <c r="CG135" s="390">
        <v>957104</v>
      </c>
      <c r="CH135" s="12">
        <f t="shared" si="289"/>
        <v>940104</v>
      </c>
      <c r="CI135" s="12">
        <f t="shared" si="290"/>
        <v>17000</v>
      </c>
      <c r="CJ135" s="199">
        <f t="shared" si="291"/>
        <v>0.0180831056989439</v>
      </c>
      <c r="CK135" s="192"/>
      <c r="CL135" s="391"/>
      <c r="CM135" s="389"/>
      <c r="CN135" s="390" t="str">
        <f t="shared" si="222"/>
        <v>2025//12//8</v>
      </c>
      <c r="CO135" s="390">
        <v>130746</v>
      </c>
      <c r="CP135" s="390">
        <v>131446</v>
      </c>
      <c r="CQ135" s="12">
        <f t="shared" si="293"/>
        <v>-700</v>
      </c>
      <c r="CR135" s="199">
        <f t="shared" si="294"/>
        <v>-0.00532538076472468</v>
      </c>
      <c r="CS135" s="391"/>
      <c r="CT135" s="391"/>
      <c r="CU135" s="389"/>
      <c r="CV135" s="390" t="str">
        <f t="shared" si="223"/>
        <v>2025//12//8</v>
      </c>
      <c r="CW135" s="390">
        <v>638140</v>
      </c>
      <c r="CX135" s="390">
        <v>648490</v>
      </c>
      <c r="CY135" s="414">
        <v>-10350</v>
      </c>
      <c r="CZ135" s="415">
        <v>-0.016</v>
      </c>
      <c r="DA135" s="192"/>
      <c r="DB135" s="192"/>
      <c r="DC135" s="277"/>
      <c r="DD135" s="390" t="str">
        <f t="shared" si="224"/>
        <v>2025//12//8</v>
      </c>
      <c r="DE135" s="390">
        <v>880918</v>
      </c>
      <c r="DF135" s="12">
        <f t="shared" si="298"/>
        <v>874918</v>
      </c>
      <c r="DG135" s="416">
        <v>3000</v>
      </c>
      <c r="DH135" s="417">
        <v>0.0069</v>
      </c>
      <c r="DI135" s="192"/>
      <c r="DJ135" s="192"/>
      <c r="DK135" s="389"/>
      <c r="DL135" s="390" t="str">
        <f t="shared" si="225"/>
        <v>2025//12//8</v>
      </c>
      <c r="DM135" s="390">
        <v>1487500</v>
      </c>
      <c r="DN135" s="390">
        <v>1519700</v>
      </c>
      <c r="DO135" s="414">
        <v>-32200</v>
      </c>
      <c r="DP135" s="415">
        <v>-0.0212</v>
      </c>
      <c r="DQ135" s="192"/>
      <c r="DR135" s="192"/>
      <c r="DS135" s="389"/>
      <c r="DT135" s="390" t="str">
        <f t="shared" si="226"/>
        <v>2025//12//8</v>
      </c>
      <c r="DU135" s="390">
        <v>1680389</v>
      </c>
      <c r="DV135" s="390">
        <v>1692689</v>
      </c>
      <c r="DW135" s="414">
        <v>-12300</v>
      </c>
      <c r="DX135" s="415">
        <v>-0.0073</v>
      </c>
      <c r="DY135" s="192"/>
      <c r="DZ135" s="192"/>
      <c r="EA135" s="389"/>
      <c r="EB135" s="390" t="str">
        <f t="shared" si="227"/>
        <v>2025//12//8</v>
      </c>
      <c r="EC135" s="390">
        <v>5297667</v>
      </c>
      <c r="ED135" s="390">
        <v>5241867</v>
      </c>
      <c r="EE135" s="416">
        <v>55800</v>
      </c>
      <c r="EF135" s="417">
        <v>0.0106</v>
      </c>
      <c r="EG135" s="192"/>
      <c r="EH135" s="192"/>
      <c r="EI135" s="389"/>
      <c r="EJ135" s="390" t="str">
        <f t="shared" si="228"/>
        <v>2025//12//8</v>
      </c>
      <c r="EK135" s="390">
        <v>1565323</v>
      </c>
      <c r="EL135" s="390">
        <v>1593523</v>
      </c>
      <c r="EM135" s="414">
        <v>-28200</v>
      </c>
      <c r="EN135" s="415">
        <v>-0.0177</v>
      </c>
      <c r="EO135" s="192"/>
      <c r="EP135" s="192"/>
      <c r="EQ135" s="340"/>
      <c r="ER135" s="341" t="str">
        <f t="shared" si="229"/>
        <v>2025//12//8</v>
      </c>
      <c r="ES135" s="341">
        <v>511697</v>
      </c>
      <c r="ET135" s="341">
        <v>521597</v>
      </c>
      <c r="EU135" s="341">
        <v>-9900</v>
      </c>
      <c r="EV135" s="350">
        <v>-0.019</v>
      </c>
      <c r="EW135" s="192"/>
      <c r="EX135" s="192"/>
      <c r="EY135" s="389"/>
      <c r="EZ135" s="390" t="str">
        <f t="shared" si="230"/>
        <v>2025//12//8</v>
      </c>
      <c r="FA135" s="390">
        <v>1123108</v>
      </c>
      <c r="FB135" s="390">
        <v>1156708</v>
      </c>
      <c r="FC135" s="414">
        <v>-33600</v>
      </c>
      <c r="FD135" s="415">
        <v>-0.029</v>
      </c>
      <c r="FE135" s="192"/>
      <c r="FF135" s="192"/>
      <c r="FG135" s="192"/>
      <c r="FH135" s="390" t="str">
        <f t="shared" si="231"/>
        <v>2025//12//8</v>
      </c>
      <c r="FI135" s="392">
        <v>173495</v>
      </c>
      <c r="FJ135" s="390">
        <v>151295</v>
      </c>
      <c r="FK135" s="348">
        <v>22200</v>
      </c>
      <c r="FL135" s="349">
        <v>0.1467</v>
      </c>
      <c r="FM135" s="391"/>
      <c r="FN135" s="391"/>
      <c r="FO135" s="389"/>
      <c r="FP135" s="390" t="str">
        <f t="shared" si="232"/>
        <v>2025//12//8</v>
      </c>
      <c r="FQ135" s="390">
        <v>2608019</v>
      </c>
      <c r="FR135" s="390">
        <v>2562119</v>
      </c>
      <c r="FS135" s="416">
        <v>45900</v>
      </c>
      <c r="FT135" s="417">
        <v>0.0179</v>
      </c>
      <c r="FU135" s="192"/>
      <c r="FV135" s="192"/>
      <c r="FW135" s="389"/>
      <c r="FX135" s="390" t="str">
        <f t="shared" si="233"/>
        <v>2025//12//8</v>
      </c>
      <c r="FY135" s="390">
        <v>7372382</v>
      </c>
      <c r="FZ135" s="390">
        <v>7367982</v>
      </c>
      <c r="GA135" s="416">
        <v>4400</v>
      </c>
      <c r="GB135" s="417">
        <v>0.0006</v>
      </c>
      <c r="GC135" s="192"/>
      <c r="GD135" s="192"/>
      <c r="GE135" s="389"/>
      <c r="GF135" s="390" t="str">
        <f t="shared" si="234"/>
        <v>2025//12//8</v>
      </c>
      <c r="GG135" s="390">
        <v>4378669</v>
      </c>
      <c r="GH135" s="390">
        <v>4384669</v>
      </c>
      <c r="GI135" s="414">
        <v>-6000</v>
      </c>
      <c r="GJ135" s="415">
        <v>-0.0014</v>
      </c>
      <c r="GK135" s="192"/>
      <c r="GL135" s="192"/>
      <c r="GM135" s="389"/>
      <c r="GN135" s="390" t="str">
        <f t="shared" si="235"/>
        <v>2025//12//8</v>
      </c>
      <c r="GO135" s="390">
        <v>1505458</v>
      </c>
      <c r="GP135" s="390">
        <v>1494418</v>
      </c>
      <c r="GQ135" s="416">
        <v>11040</v>
      </c>
      <c r="GR135" s="417">
        <v>0.0074</v>
      </c>
      <c r="GS135" s="192"/>
      <c r="GT135" s="192"/>
      <c r="GU135" s="389"/>
      <c r="GV135" s="390" t="str">
        <f t="shared" si="236"/>
        <v>2025//12//8</v>
      </c>
      <c r="GW135" s="390">
        <v>1316549</v>
      </c>
      <c r="GX135" s="390">
        <v>1319949</v>
      </c>
      <c r="GY135" s="414">
        <v>-3400</v>
      </c>
      <c r="GZ135" s="415">
        <v>-0.0026</v>
      </c>
      <c r="HA135" s="192"/>
      <c r="HB135" s="192"/>
      <c r="HC135" s="389"/>
      <c r="HD135" s="390" t="str">
        <f t="shared" si="237"/>
        <v>2025//12//8</v>
      </c>
      <c r="HE135" s="390">
        <v>1425165</v>
      </c>
      <c r="HF135" s="390">
        <v>1427365</v>
      </c>
      <c r="HG135" s="414">
        <v>-2200</v>
      </c>
      <c r="HH135" s="415">
        <v>-0.0015</v>
      </c>
      <c r="HI135" s="391"/>
      <c r="HJ135" s="192"/>
      <c r="HK135" s="389"/>
      <c r="HL135" s="390" t="str">
        <f t="shared" si="238"/>
        <v>2025//12//8</v>
      </c>
      <c r="HM135" s="390">
        <v>191204</v>
      </c>
      <c r="HN135" s="390">
        <v>194604</v>
      </c>
      <c r="HO135" s="414">
        <v>-3400</v>
      </c>
      <c r="HP135" s="415">
        <v>-0.0175</v>
      </c>
      <c r="HQ135" s="192"/>
      <c r="HR135" s="192"/>
      <c r="HS135" s="389"/>
      <c r="HT135" s="390" t="str">
        <f t="shared" si="239"/>
        <v>2025//12//8</v>
      </c>
      <c r="HU135" s="390">
        <v>128469</v>
      </c>
      <c r="HV135" s="390">
        <v>141069</v>
      </c>
      <c r="HW135" s="414">
        <v>-12600</v>
      </c>
      <c r="HX135" s="415">
        <v>-0.0893</v>
      </c>
      <c r="HY135" s="192"/>
      <c r="HZ135" s="192"/>
      <c r="IA135" s="389"/>
      <c r="IB135" s="390" t="str">
        <f t="shared" si="240"/>
        <v>2025//12//8</v>
      </c>
      <c r="IC135" s="390"/>
      <c r="ID135" s="390"/>
      <c r="IE135" s="390"/>
      <c r="IF135" s="391"/>
      <c r="IG135" s="391"/>
      <c r="IH135" s="192"/>
      <c r="II135" s="389"/>
      <c r="IJ135" s="390" t="str">
        <f t="shared" si="241"/>
        <v>2025//12//8</v>
      </c>
      <c r="IK135" s="390">
        <v>418556</v>
      </c>
      <c r="IL135" s="390">
        <v>417756</v>
      </c>
      <c r="IM135" s="416">
        <v>800</v>
      </c>
      <c r="IN135" s="417">
        <v>0.0019</v>
      </c>
      <c r="IO135" s="192"/>
      <c r="IP135" s="192"/>
      <c r="IQ135" s="389"/>
      <c r="IR135" s="390" t="str">
        <f t="shared" si="242"/>
        <v>2025//12//8</v>
      </c>
      <c r="IS135" s="390">
        <v>119589</v>
      </c>
      <c r="IT135" s="390">
        <v>119789</v>
      </c>
      <c r="IU135" s="414">
        <v>-200</v>
      </c>
      <c r="IV135" s="415">
        <v>-0.0017</v>
      </c>
      <c r="IW135" s="192"/>
      <c r="IX135" s="192"/>
      <c r="IY135" s="389"/>
      <c r="IZ135" s="390" t="str">
        <f t="shared" si="243"/>
        <v>2025//12//8</v>
      </c>
      <c r="JA135" s="390">
        <v>4735729</v>
      </c>
      <c r="JB135" s="390">
        <v>4949529</v>
      </c>
      <c r="JC135" s="414">
        <v>-213800</v>
      </c>
      <c r="JD135" s="415">
        <v>-0.0432</v>
      </c>
      <c r="JE135" s="192"/>
      <c r="JF135" s="192"/>
      <c r="JG135" s="389"/>
      <c r="JH135" s="390" t="str">
        <f t="shared" si="244"/>
        <v>2025//12//8</v>
      </c>
      <c r="JI135" s="390">
        <v>1942948</v>
      </c>
      <c r="JJ135" s="390">
        <v>1993168</v>
      </c>
      <c r="JK135" s="414">
        <v>-50220</v>
      </c>
      <c r="JL135" s="415">
        <v>-0.0252</v>
      </c>
      <c r="JM135" s="192"/>
      <c r="JN135" s="192"/>
      <c r="JO135" s="192"/>
      <c r="JP135" s="390" t="str">
        <f t="shared" si="245"/>
        <v>2025//12//8</v>
      </c>
      <c r="JQ135" s="390">
        <v>1191490</v>
      </c>
      <c r="JR135" s="390">
        <v>1192690</v>
      </c>
      <c r="JS135" s="414">
        <v>-1200</v>
      </c>
      <c r="JT135" s="415">
        <v>-0.001</v>
      </c>
      <c r="JU135" s="192"/>
      <c r="JV135" s="192"/>
      <c r="JW135" s="409"/>
      <c r="JX135" s="390" t="str">
        <f t="shared" si="246"/>
        <v>2025//12//8</v>
      </c>
      <c r="JY135" s="390">
        <v>1509299</v>
      </c>
      <c r="JZ135" s="390">
        <v>1509649</v>
      </c>
      <c r="KA135" s="414">
        <v>-350</v>
      </c>
      <c r="KB135" s="415">
        <v>-0.0002</v>
      </c>
      <c r="KC135" s="192"/>
      <c r="KD135" s="192"/>
      <c r="KE135" s="409"/>
      <c r="KF135" s="390" t="str">
        <f t="shared" si="247"/>
        <v>2025//12//8</v>
      </c>
      <c r="KG135" s="390">
        <v>904756</v>
      </c>
      <c r="KH135" s="390">
        <v>904756</v>
      </c>
      <c r="KI135" s="410">
        <v>0</v>
      </c>
      <c r="KJ135" s="409">
        <v>0</v>
      </c>
      <c r="KK135" s="391"/>
      <c r="KL135" s="391"/>
      <c r="KM135" s="389"/>
      <c r="KN135" s="390" t="str">
        <f t="shared" si="248"/>
        <v>2025//12//8</v>
      </c>
      <c r="KO135" s="390">
        <v>6354976</v>
      </c>
      <c r="KP135" s="390">
        <v>6346676</v>
      </c>
      <c r="KQ135" s="416">
        <v>8300</v>
      </c>
      <c r="KR135" s="417">
        <v>0.0013</v>
      </c>
      <c r="KS135" s="192"/>
      <c r="KT135" s="192"/>
      <c r="KU135" s="389"/>
      <c r="KV135" s="390" t="str">
        <f t="shared" si="249"/>
        <v>2025//12//8</v>
      </c>
      <c r="KW135" s="390">
        <v>1015373</v>
      </c>
      <c r="KX135" s="390">
        <v>1007073</v>
      </c>
      <c r="KY135" s="348">
        <v>8300</v>
      </c>
      <c r="KZ135" s="349">
        <v>0.0082</v>
      </c>
      <c r="LA135" s="349"/>
      <c r="LB135" s="192"/>
      <c r="LC135" s="389"/>
      <c r="LD135" s="390" t="str">
        <f t="shared" si="250"/>
        <v>2025//12//8</v>
      </c>
      <c r="LE135" s="390">
        <v>483208</v>
      </c>
      <c r="LF135" s="390">
        <v>485258</v>
      </c>
      <c r="LG135" s="414">
        <v>-2050</v>
      </c>
      <c r="LH135" s="415">
        <v>-0.0042</v>
      </c>
      <c r="LI135" s="192"/>
      <c r="LJ135" s="192"/>
      <c r="LK135" s="389"/>
      <c r="LL135" s="390" t="str">
        <f t="shared" si="251"/>
        <v>2025//12//8</v>
      </c>
      <c r="LM135" s="392">
        <v>3752395</v>
      </c>
      <c r="LN135" s="390">
        <v>3727195</v>
      </c>
      <c r="LO135" s="416">
        <v>25200</v>
      </c>
      <c r="LP135" s="417">
        <v>0.0068</v>
      </c>
      <c r="LQ135" s="192"/>
      <c r="LR135" s="192"/>
      <c r="LS135" s="389"/>
      <c r="LT135" s="390" t="str">
        <f t="shared" si="252"/>
        <v>2025//12//8</v>
      </c>
      <c r="LU135" s="390">
        <v>2596263</v>
      </c>
      <c r="LV135" s="390">
        <v>2583663</v>
      </c>
      <c r="LW135" s="416">
        <v>12600</v>
      </c>
      <c r="LX135" s="417">
        <v>0.0049</v>
      </c>
      <c r="LY135" s="192"/>
      <c r="LZ135" s="192"/>
      <c r="MA135" s="389"/>
      <c r="MB135" s="390" t="str">
        <f t="shared" si="253"/>
        <v>2025//12//8</v>
      </c>
      <c r="MC135" s="390">
        <v>839518</v>
      </c>
      <c r="MD135" s="390">
        <v>857218</v>
      </c>
      <c r="ME135" s="414">
        <v>-17700</v>
      </c>
      <c r="MF135" s="415">
        <v>-0.0206</v>
      </c>
      <c r="MG135" s="192"/>
      <c r="MH135" s="192"/>
      <c r="MI135" s="342"/>
      <c r="MJ135" s="341">
        <v>1.0065</v>
      </c>
      <c r="MK135" s="341" t="str">
        <f t="shared" si="254"/>
        <v>2025//12//8</v>
      </c>
      <c r="ML135" s="341">
        <v>235066</v>
      </c>
      <c r="MM135" s="12">
        <f t="shared" si="388"/>
        <v>234946</v>
      </c>
      <c r="MN135" s="341">
        <v>120</v>
      </c>
      <c r="MO135" s="350">
        <v>0.0005</v>
      </c>
      <c r="MP135" s="192"/>
      <c r="MQ135" s="394"/>
      <c r="MR135" s="394"/>
      <c r="MS135" s="391"/>
      <c r="MT135" s="26" t="str">
        <f t="shared" si="255"/>
        <v>2025//12//8</v>
      </c>
      <c r="MX135" s="192"/>
      <c r="MY135" s="192"/>
      <c r="MZ135" s="192"/>
      <c r="NA135" s="192"/>
      <c r="NB135" s="192"/>
      <c r="NC135" s="8" t="str">
        <f t="shared" si="256"/>
        <v>2025//12//8</v>
      </c>
      <c r="NG135" s="192"/>
      <c r="NH135" s="192"/>
      <c r="NI135" s="192"/>
      <c r="NJ135" s="192"/>
      <c r="NK135" s="192"/>
      <c r="NL135" s="8"/>
      <c r="NM135" s="8" t="str">
        <f t="shared" si="257"/>
        <v>2025//12//8</v>
      </c>
      <c r="NQ135" s="192"/>
      <c r="NR135" s="192"/>
      <c r="NS135" s="8"/>
      <c r="NU135" s="8" t="str">
        <f t="shared" si="258"/>
        <v>2025//12//8</v>
      </c>
      <c r="NV135" s="389"/>
      <c r="NW135" s="389"/>
      <c r="NX135" s="389"/>
      <c r="NY135" s="391"/>
      <c r="NZ135" s="391"/>
      <c r="OA135" s="389"/>
      <c r="OB135" s="389"/>
      <c r="OC135" s="390" t="str">
        <f t="shared" si="259"/>
        <v>2025//12//8</v>
      </c>
      <c r="OD135" s="390">
        <v>16225</v>
      </c>
      <c r="OE135" s="390">
        <v>16665</v>
      </c>
      <c r="OF135" s="414">
        <v>-440</v>
      </c>
      <c r="OG135" s="415">
        <v>-0.0264</v>
      </c>
      <c r="OH135" s="192"/>
      <c r="OI135" s="192"/>
      <c r="OJ135" s="389"/>
      <c r="OK135" s="390" t="str">
        <f t="shared" si="260"/>
        <v>2025//12//8</v>
      </c>
      <c r="OO135" s="192"/>
      <c r="OP135" s="192"/>
      <c r="OQ135" s="192"/>
      <c r="OT135" s="26" t="str">
        <f t="shared" si="407"/>
        <v>2025//12//8</v>
      </c>
      <c r="OU135" s="206">
        <v>134952.4066</v>
      </c>
      <c r="OV135" s="8">
        <f t="shared" si="401"/>
        <v>134832.4066</v>
      </c>
      <c r="OW135" s="191">
        <f t="shared" si="402"/>
        <v>120</v>
      </c>
      <c r="OX135" s="192">
        <f t="shared" si="403"/>
        <v>0.000889993756144971</v>
      </c>
    </row>
    <row r="136" s="8" customFormat="1" ht="17" customHeight="1" spans="1:414">
      <c r="A136" s="15"/>
      <c r="B136" s="15"/>
      <c r="C136" s="385" t="s">
        <v>565</v>
      </c>
      <c r="D136" s="395">
        <v>9004279</v>
      </c>
      <c r="E136" s="395">
        <v>8990689</v>
      </c>
      <c r="F136" s="459">
        <v>13590</v>
      </c>
      <c r="G136" s="460">
        <v>0.0015</v>
      </c>
      <c r="H136" s="18"/>
      <c r="I136" s="453"/>
      <c r="J136" s="453"/>
      <c r="K136" s="386" t="str">
        <f t="shared" si="212"/>
        <v>2025//12//5</v>
      </c>
      <c r="L136" s="395">
        <v>6637294</v>
      </c>
      <c r="M136" s="395">
        <v>6632164</v>
      </c>
      <c r="N136" s="459">
        <v>5130</v>
      </c>
      <c r="O136" s="460">
        <v>0.0008</v>
      </c>
      <c r="P136" s="18"/>
      <c r="Q136" s="453"/>
      <c r="R136" s="454"/>
      <c r="S136" s="386" t="str">
        <f t="shared" si="213"/>
        <v>2025//12//5</v>
      </c>
      <c r="T136" s="395">
        <v>5753317</v>
      </c>
      <c r="U136" s="395">
        <v>5736487</v>
      </c>
      <c r="V136" s="459">
        <v>16830</v>
      </c>
      <c r="W136" s="460">
        <v>0.0029</v>
      </c>
      <c r="X136" s="18"/>
      <c r="Y136" s="453"/>
      <c r="Z136" s="454"/>
      <c r="AA136" s="386" t="str">
        <f t="shared" si="214"/>
        <v>2025//12//5</v>
      </c>
      <c r="AB136" s="395">
        <v>1854897</v>
      </c>
      <c r="AC136" s="395">
        <v>1836897</v>
      </c>
      <c r="AD136" s="459">
        <v>18000</v>
      </c>
      <c r="AE136" s="460">
        <v>0.0098</v>
      </c>
      <c r="AF136" s="18"/>
      <c r="AG136" s="453"/>
      <c r="AH136" s="454"/>
      <c r="AI136" s="386" t="str">
        <f t="shared" si="215"/>
        <v>2025//12//5</v>
      </c>
      <c r="AJ136" s="395">
        <v>2517922</v>
      </c>
      <c r="AK136" s="386">
        <v>2490722</v>
      </c>
      <c r="AL136" s="459">
        <v>27200</v>
      </c>
      <c r="AM136" s="460">
        <v>0.0109</v>
      </c>
      <c r="AN136" s="18"/>
      <c r="AO136" s="18"/>
      <c r="AP136" s="454"/>
      <c r="AQ136" s="386" t="str">
        <f t="shared" si="216"/>
        <v>2025//12//5</v>
      </c>
      <c r="AR136" s="418">
        <v>3187745</v>
      </c>
      <c r="AS136" s="395">
        <v>3184045</v>
      </c>
      <c r="AT136" s="459">
        <v>3700</v>
      </c>
      <c r="AU136" s="460">
        <v>0.0012</v>
      </c>
      <c r="AV136" s="18"/>
      <c r="AW136" s="18"/>
      <c r="AX136" s="17"/>
      <c r="AY136" s="17"/>
      <c r="AZ136" s="17" t="str">
        <f t="shared" si="217"/>
        <v>2025//12//5</v>
      </c>
      <c r="BA136" s="17"/>
      <c r="BB136" s="17"/>
      <c r="BC136" s="17"/>
      <c r="BD136" s="18"/>
      <c r="BE136" s="18"/>
      <c r="BF136" s="18"/>
      <c r="BG136" s="74"/>
      <c r="BH136" s="387" t="str">
        <f t="shared" si="218"/>
        <v>2025//12//5</v>
      </c>
      <c r="BI136" s="387">
        <v>166227</v>
      </c>
      <c r="BJ136" s="387">
        <v>157527</v>
      </c>
      <c r="BK136" s="421">
        <v>8700</v>
      </c>
      <c r="BL136" s="422">
        <v>0.0552</v>
      </c>
      <c r="BM136" s="197"/>
      <c r="BN136" s="192"/>
      <c r="BO136" s="389"/>
      <c r="BP136" s="390" t="str">
        <f t="shared" si="219"/>
        <v>2025//12//5</v>
      </c>
      <c r="BQ136" s="392">
        <v>658062</v>
      </c>
      <c r="BR136" s="390">
        <v>660562</v>
      </c>
      <c r="BS136" s="414">
        <v>-2500</v>
      </c>
      <c r="BT136" s="415">
        <v>-0.0038</v>
      </c>
      <c r="BU136" s="192"/>
      <c r="BV136" s="192"/>
      <c r="BW136" s="389"/>
      <c r="BX136" s="390" t="str">
        <f t="shared" si="220"/>
        <v>2025//12//5</v>
      </c>
      <c r="BY136" s="390">
        <v>2089161</v>
      </c>
      <c r="BZ136" s="390">
        <v>2133861</v>
      </c>
      <c r="CA136" s="414">
        <v>-44700</v>
      </c>
      <c r="CB136" s="415">
        <v>-0.0209</v>
      </c>
      <c r="CC136" s="192"/>
      <c r="CD136" s="409"/>
      <c r="CE136" s="389"/>
      <c r="CF136" s="390" t="str">
        <f t="shared" si="221"/>
        <v>2025//12//5</v>
      </c>
      <c r="CG136" s="390">
        <v>940104</v>
      </c>
      <c r="CH136" s="12">
        <f t="shared" si="289"/>
        <v>939054</v>
      </c>
      <c r="CI136" s="12">
        <f t="shared" si="290"/>
        <v>1050</v>
      </c>
      <c r="CJ136" s="199">
        <f t="shared" si="291"/>
        <v>0.00111814656026171</v>
      </c>
      <c r="CK136" s="192"/>
      <c r="CL136" s="391"/>
      <c r="CM136" s="389"/>
      <c r="CN136" s="390" t="str">
        <f t="shared" si="222"/>
        <v>2025//12//5</v>
      </c>
      <c r="CO136" s="390">
        <v>131446</v>
      </c>
      <c r="CP136" s="390">
        <v>131646</v>
      </c>
      <c r="CQ136" s="12">
        <f t="shared" si="293"/>
        <v>-200</v>
      </c>
      <c r="CR136" s="199">
        <f t="shared" si="294"/>
        <v>-0.00151922580253103</v>
      </c>
      <c r="CS136" s="391"/>
      <c r="CT136" s="391"/>
      <c r="CU136" s="389"/>
      <c r="CV136" s="390" t="str">
        <f t="shared" si="223"/>
        <v>2025//12//5</v>
      </c>
      <c r="CW136" s="390">
        <v>648490</v>
      </c>
      <c r="CX136" s="390">
        <v>671340</v>
      </c>
      <c r="CY136" s="414">
        <v>-22850</v>
      </c>
      <c r="CZ136" s="415">
        <v>-0.034</v>
      </c>
      <c r="DA136" s="192"/>
      <c r="DB136" s="192"/>
      <c r="DC136" s="277"/>
      <c r="DD136" s="390" t="str">
        <f t="shared" si="224"/>
        <v>2025//12//5</v>
      </c>
      <c r="DE136" s="390">
        <v>874918</v>
      </c>
      <c r="DF136" s="12">
        <f t="shared" si="298"/>
        <v>861518</v>
      </c>
      <c r="DG136" s="416">
        <v>6700</v>
      </c>
      <c r="DH136" s="417">
        <v>0.0156</v>
      </c>
      <c r="DI136" s="192"/>
      <c r="DJ136" s="192"/>
      <c r="DK136" s="389"/>
      <c r="DL136" s="390" t="str">
        <f t="shared" si="225"/>
        <v>2025//12//5</v>
      </c>
      <c r="DM136" s="390">
        <v>1519700</v>
      </c>
      <c r="DN136" s="390">
        <v>1502100</v>
      </c>
      <c r="DO136" s="416">
        <v>17600</v>
      </c>
      <c r="DP136" s="417">
        <v>0.0117</v>
      </c>
      <c r="DQ136" s="192"/>
      <c r="DR136" s="192"/>
      <c r="DS136" s="389"/>
      <c r="DT136" s="390" t="str">
        <f t="shared" si="226"/>
        <v>2025//12//5</v>
      </c>
      <c r="DU136" s="390">
        <v>1692689</v>
      </c>
      <c r="DV136" s="390">
        <v>1684289</v>
      </c>
      <c r="DW136" s="416">
        <v>8400</v>
      </c>
      <c r="DX136" s="417">
        <v>0.005</v>
      </c>
      <c r="DY136" s="192"/>
      <c r="DZ136" s="192"/>
      <c r="EA136" s="389"/>
      <c r="EB136" s="390" t="str">
        <f t="shared" si="227"/>
        <v>2025//12//5</v>
      </c>
      <c r="EC136" s="390">
        <v>5241867</v>
      </c>
      <c r="ED136" s="390">
        <v>5164017</v>
      </c>
      <c r="EE136" s="416">
        <v>77850</v>
      </c>
      <c r="EF136" s="417">
        <v>0.0151</v>
      </c>
      <c r="EG136" s="192"/>
      <c r="EH136" s="192"/>
      <c r="EI136" s="389"/>
      <c r="EJ136" s="390" t="str">
        <f t="shared" si="228"/>
        <v>2025//12//5</v>
      </c>
      <c r="EK136" s="390">
        <v>1593523</v>
      </c>
      <c r="EL136" s="390">
        <v>1593123</v>
      </c>
      <c r="EM136" s="416">
        <v>400</v>
      </c>
      <c r="EN136" s="417">
        <v>0.0003</v>
      </c>
      <c r="EO136" s="192"/>
      <c r="EP136" s="192"/>
      <c r="EQ136" s="340"/>
      <c r="ER136" s="341" t="str">
        <f t="shared" si="229"/>
        <v>2025//12//5</v>
      </c>
      <c r="ES136" s="341">
        <v>521597</v>
      </c>
      <c r="ET136" s="341">
        <v>521747</v>
      </c>
      <c r="EU136" s="341">
        <v>-150</v>
      </c>
      <c r="EV136" s="350">
        <v>-0.0003</v>
      </c>
      <c r="EW136" s="192"/>
      <c r="EX136" s="192"/>
      <c r="EY136" s="389"/>
      <c r="EZ136" s="390" t="str">
        <f t="shared" si="230"/>
        <v>2025//12//5</v>
      </c>
      <c r="FA136" s="390">
        <v>1156708</v>
      </c>
      <c r="FB136" s="390">
        <v>1183508</v>
      </c>
      <c r="FC136" s="414">
        <v>-26800</v>
      </c>
      <c r="FD136" s="415">
        <v>-0.0226</v>
      </c>
      <c r="FE136" s="192"/>
      <c r="FF136" s="192"/>
      <c r="FG136" s="192"/>
      <c r="FH136" s="390" t="str">
        <f t="shared" si="231"/>
        <v>2025//12//5</v>
      </c>
      <c r="FI136" s="392">
        <v>151295</v>
      </c>
      <c r="FJ136" s="390">
        <v>145095</v>
      </c>
      <c r="FK136" s="348">
        <v>6200</v>
      </c>
      <c r="FL136" s="349">
        <v>0.0427</v>
      </c>
      <c r="FM136" s="391"/>
      <c r="FN136" s="391"/>
      <c r="FO136" s="389"/>
      <c r="FP136" s="390" t="str">
        <f t="shared" si="232"/>
        <v>2025//12//5</v>
      </c>
      <c r="FQ136" s="390">
        <v>2562119</v>
      </c>
      <c r="FR136" s="390">
        <v>2555519</v>
      </c>
      <c r="FS136" s="416">
        <v>6600</v>
      </c>
      <c r="FT136" s="417">
        <v>0.0026</v>
      </c>
      <c r="FU136" s="192"/>
      <c r="FV136" s="192"/>
      <c r="FW136" s="389"/>
      <c r="FX136" s="390" t="str">
        <f t="shared" si="233"/>
        <v>2025//12//5</v>
      </c>
      <c r="FY136" s="390">
        <v>7367982</v>
      </c>
      <c r="FZ136" s="390">
        <v>7372682</v>
      </c>
      <c r="GA136" s="414">
        <v>-4700</v>
      </c>
      <c r="GB136" s="415">
        <v>-0.0006</v>
      </c>
      <c r="GC136" s="192"/>
      <c r="GD136" s="192"/>
      <c r="GE136" s="389"/>
      <c r="GF136" s="390" t="str">
        <f t="shared" si="234"/>
        <v>2025//12//5</v>
      </c>
      <c r="GG136" s="390">
        <v>4384669</v>
      </c>
      <c r="GH136" s="390">
        <v>4444369</v>
      </c>
      <c r="GI136" s="414">
        <v>-59700</v>
      </c>
      <c r="GJ136" s="415">
        <v>-0.0134</v>
      </c>
      <c r="GK136" s="192"/>
      <c r="GL136" s="192"/>
      <c r="GM136" s="389"/>
      <c r="GN136" s="390" t="str">
        <f t="shared" si="235"/>
        <v>2025//12//5</v>
      </c>
      <c r="GO136" s="390">
        <v>1494418</v>
      </c>
      <c r="GP136" s="390">
        <v>1492858</v>
      </c>
      <c r="GQ136" s="416">
        <v>1560</v>
      </c>
      <c r="GR136" s="417">
        <v>0.001</v>
      </c>
      <c r="GS136" s="192"/>
      <c r="GT136" s="192"/>
      <c r="GU136" s="389"/>
      <c r="GV136" s="390" t="str">
        <f t="shared" si="236"/>
        <v>2025//12//5</v>
      </c>
      <c r="GW136" s="390">
        <v>1319949</v>
      </c>
      <c r="GX136" s="390">
        <v>1327949</v>
      </c>
      <c r="GY136" s="414">
        <v>-8000</v>
      </c>
      <c r="GZ136" s="415">
        <v>-0.006</v>
      </c>
      <c r="HA136" s="192"/>
      <c r="HB136" s="192"/>
      <c r="HC136" s="389"/>
      <c r="HD136" s="390" t="str">
        <f t="shared" si="237"/>
        <v>2025//12//5</v>
      </c>
      <c r="HE136" s="390">
        <v>1427365</v>
      </c>
      <c r="HF136" s="390">
        <v>1428965</v>
      </c>
      <c r="HG136" s="414">
        <v>-1600</v>
      </c>
      <c r="HH136" s="415">
        <v>-0.0011</v>
      </c>
      <c r="HI136" s="391"/>
      <c r="HJ136" s="192"/>
      <c r="HK136" s="389"/>
      <c r="HL136" s="390" t="str">
        <f t="shared" si="238"/>
        <v>2025//12//5</v>
      </c>
      <c r="HM136" s="390">
        <v>194604</v>
      </c>
      <c r="HN136" s="390">
        <v>197054</v>
      </c>
      <c r="HO136" s="414">
        <v>-2450</v>
      </c>
      <c r="HP136" s="415">
        <v>-0.0124</v>
      </c>
      <c r="HQ136" s="192"/>
      <c r="HR136" s="192"/>
      <c r="HS136" s="389"/>
      <c r="HT136" s="390" t="str">
        <f t="shared" si="239"/>
        <v>2025//12//5</v>
      </c>
      <c r="HU136" s="390">
        <v>141069</v>
      </c>
      <c r="HV136" s="390">
        <v>142569</v>
      </c>
      <c r="HW136" s="414">
        <v>-1500</v>
      </c>
      <c r="HX136" s="415">
        <v>-0.0105</v>
      </c>
      <c r="HY136" s="192"/>
      <c r="HZ136" s="192"/>
      <c r="IA136" s="389"/>
      <c r="IB136" s="390" t="str">
        <f t="shared" si="240"/>
        <v>2025//12//5</v>
      </c>
      <c r="IC136" s="390"/>
      <c r="ID136" s="390"/>
      <c r="IE136" s="390"/>
      <c r="IF136" s="391"/>
      <c r="IG136" s="391"/>
      <c r="IH136" s="192"/>
      <c r="II136" s="389"/>
      <c r="IJ136" s="390" t="str">
        <f t="shared" si="241"/>
        <v>2025//12//5</v>
      </c>
      <c r="IK136" s="390">
        <v>417756</v>
      </c>
      <c r="IL136" s="390">
        <v>420956</v>
      </c>
      <c r="IM136" s="414">
        <v>-3200</v>
      </c>
      <c r="IN136" s="415">
        <v>-0.0076</v>
      </c>
      <c r="IO136" s="192"/>
      <c r="IP136" s="192"/>
      <c r="IQ136" s="389"/>
      <c r="IR136" s="390" t="str">
        <f t="shared" si="242"/>
        <v>2025//12//5</v>
      </c>
      <c r="IS136" s="390">
        <v>119789</v>
      </c>
      <c r="IT136" s="390">
        <v>120089</v>
      </c>
      <c r="IU136" s="414">
        <v>-300</v>
      </c>
      <c r="IV136" s="415">
        <v>-0.0025</v>
      </c>
      <c r="IW136" s="192"/>
      <c r="IX136" s="192"/>
      <c r="IY136" s="389"/>
      <c r="IZ136" s="390" t="str">
        <f t="shared" si="243"/>
        <v>2025//12//5</v>
      </c>
      <c r="JA136" s="390">
        <v>4949529</v>
      </c>
      <c r="JB136" s="390">
        <v>5004129</v>
      </c>
      <c r="JC136" s="414">
        <v>-54600</v>
      </c>
      <c r="JD136" s="415">
        <v>-0.0109</v>
      </c>
      <c r="JE136" s="192"/>
      <c r="JF136" s="192"/>
      <c r="JG136" s="389"/>
      <c r="JH136" s="390" t="str">
        <f t="shared" si="244"/>
        <v>2025//12//5</v>
      </c>
      <c r="JI136" s="390">
        <v>1993168</v>
      </c>
      <c r="JJ136" s="390">
        <v>2046028</v>
      </c>
      <c r="JK136" s="414">
        <v>-52860</v>
      </c>
      <c r="JL136" s="415">
        <v>-0.0258</v>
      </c>
      <c r="JM136" s="192"/>
      <c r="JN136" s="192"/>
      <c r="JO136" s="192"/>
      <c r="JP136" s="390" t="str">
        <f t="shared" si="245"/>
        <v>2025//12//5</v>
      </c>
      <c r="JQ136" s="390">
        <v>1192690</v>
      </c>
      <c r="JR136" s="390">
        <v>1166390</v>
      </c>
      <c r="JS136" s="416">
        <v>26300</v>
      </c>
      <c r="JT136" s="417">
        <v>0.0225</v>
      </c>
      <c r="JU136" s="192"/>
      <c r="JV136" s="192"/>
      <c r="JW136" s="409"/>
      <c r="JX136" s="390" t="str">
        <f t="shared" si="246"/>
        <v>2025//12//5</v>
      </c>
      <c r="JY136" s="390">
        <v>1509649</v>
      </c>
      <c r="JZ136" s="390">
        <v>1508499</v>
      </c>
      <c r="KA136" s="416">
        <v>1150</v>
      </c>
      <c r="KB136" s="417">
        <v>0.0008</v>
      </c>
      <c r="KC136" s="192"/>
      <c r="KD136" s="192"/>
      <c r="KE136" s="409"/>
      <c r="KF136" s="390" t="str">
        <f t="shared" si="247"/>
        <v>2025//12//5</v>
      </c>
      <c r="KG136" s="390">
        <v>904756</v>
      </c>
      <c r="KH136" s="390">
        <v>904756</v>
      </c>
      <c r="KI136" s="410">
        <v>0</v>
      </c>
      <c r="KJ136" s="409">
        <v>0</v>
      </c>
      <c r="KK136" s="391"/>
      <c r="KL136" s="391"/>
      <c r="KM136" s="389"/>
      <c r="KN136" s="390" t="str">
        <f t="shared" si="248"/>
        <v>2025//12//5</v>
      </c>
      <c r="KO136" s="390">
        <v>6346676</v>
      </c>
      <c r="KP136" s="390">
        <v>6346076</v>
      </c>
      <c r="KQ136" s="416">
        <v>600</v>
      </c>
      <c r="KR136" s="417">
        <v>0.0001</v>
      </c>
      <c r="KS136" s="192"/>
      <c r="KT136" s="192"/>
      <c r="KU136" s="389"/>
      <c r="KV136" s="390" t="str">
        <f t="shared" si="249"/>
        <v>2025//12//5</v>
      </c>
      <c r="KW136" s="390">
        <v>1007073</v>
      </c>
      <c r="KX136" s="390">
        <v>1007073</v>
      </c>
      <c r="KY136" s="390">
        <v>0</v>
      </c>
      <c r="KZ136" s="391">
        <v>0</v>
      </c>
      <c r="LA136" s="391"/>
      <c r="LB136" s="192"/>
      <c r="LC136" s="389"/>
      <c r="LD136" s="390" t="str">
        <f t="shared" si="250"/>
        <v>2025//12//5</v>
      </c>
      <c r="LE136" s="390">
        <v>485258</v>
      </c>
      <c r="LF136" s="390">
        <v>486058</v>
      </c>
      <c r="LG136" s="414">
        <v>-800</v>
      </c>
      <c r="LH136" s="415">
        <v>-0.0016</v>
      </c>
      <c r="LI136" s="192"/>
      <c r="LJ136" s="192"/>
      <c r="LK136" s="389"/>
      <c r="LL136" s="390" t="str">
        <f t="shared" si="251"/>
        <v>2025//12//5</v>
      </c>
      <c r="LM136" s="392">
        <v>3727195</v>
      </c>
      <c r="LN136" s="390">
        <v>3724675</v>
      </c>
      <c r="LO136" s="416">
        <v>2520</v>
      </c>
      <c r="LP136" s="417">
        <v>0.0007</v>
      </c>
      <c r="LQ136" s="192"/>
      <c r="LR136" s="192"/>
      <c r="LS136" s="389"/>
      <c r="LT136" s="390" t="str">
        <f t="shared" si="252"/>
        <v>2025//12//5</v>
      </c>
      <c r="LU136" s="390">
        <v>2583663</v>
      </c>
      <c r="LV136" s="390">
        <v>2583263</v>
      </c>
      <c r="LW136" s="416">
        <v>400</v>
      </c>
      <c r="LX136" s="417">
        <v>0.0002</v>
      </c>
      <c r="LY136" s="192"/>
      <c r="LZ136" s="192"/>
      <c r="MA136" s="389"/>
      <c r="MB136" s="390" t="str">
        <f t="shared" si="253"/>
        <v>2025//12//5</v>
      </c>
      <c r="MC136" s="390">
        <v>857218</v>
      </c>
      <c r="MD136" s="390">
        <v>866018</v>
      </c>
      <c r="ME136" s="414">
        <v>-8800</v>
      </c>
      <c r="MF136" s="415">
        <v>-0.0102</v>
      </c>
      <c r="MG136" s="192"/>
      <c r="MH136" s="192"/>
      <c r="MI136" s="342"/>
      <c r="MJ136" s="341">
        <v>0.9932</v>
      </c>
      <c r="MK136" s="341" t="str">
        <f t="shared" si="254"/>
        <v>2025//12//5</v>
      </c>
      <c r="ML136" s="341">
        <v>234946</v>
      </c>
      <c r="MM136" s="12">
        <f t="shared" si="388"/>
        <v>245626</v>
      </c>
      <c r="MN136" s="341">
        <v>-10680</v>
      </c>
      <c r="MO136" s="350">
        <v>-0.0435</v>
      </c>
      <c r="MP136" s="192"/>
      <c r="MQ136" s="394"/>
      <c r="MR136" s="394"/>
      <c r="MS136" s="391"/>
      <c r="MT136" s="26" t="str">
        <f t="shared" si="255"/>
        <v>2025//12//5</v>
      </c>
      <c r="MX136" s="192"/>
      <c r="MY136" s="192"/>
      <c r="MZ136" s="192"/>
      <c r="NA136" s="192"/>
      <c r="NB136" s="192"/>
      <c r="NC136" s="8" t="str">
        <f t="shared" si="256"/>
        <v>2025//12//5</v>
      </c>
      <c r="NG136" s="192"/>
      <c r="NH136" s="192"/>
      <c r="NI136" s="192"/>
      <c r="NJ136" s="192"/>
      <c r="NK136" s="192"/>
      <c r="NL136" s="8"/>
      <c r="NM136" s="8" t="str">
        <f t="shared" si="257"/>
        <v>2025//12//5</v>
      </c>
      <c r="NQ136" s="192"/>
      <c r="NR136" s="192"/>
      <c r="NS136" s="8"/>
      <c r="NU136" s="8" t="str">
        <f t="shared" si="258"/>
        <v>2025//12//5</v>
      </c>
      <c r="NV136" s="389"/>
      <c r="NW136" s="389"/>
      <c r="NX136" s="389"/>
      <c r="NY136" s="391"/>
      <c r="NZ136" s="391"/>
      <c r="OA136" s="389"/>
      <c r="OB136" s="389"/>
      <c r="OC136" s="390" t="str">
        <f t="shared" si="259"/>
        <v>2025//12//5</v>
      </c>
      <c r="OD136" s="390">
        <v>16665</v>
      </c>
      <c r="OE136" s="390">
        <v>17138</v>
      </c>
      <c r="OF136" s="414">
        <v>-473</v>
      </c>
      <c r="OG136" s="415">
        <v>-0.0276</v>
      </c>
      <c r="OH136" s="192"/>
      <c r="OI136" s="192"/>
      <c r="OJ136" s="389"/>
      <c r="OK136" s="390" t="str">
        <f t="shared" si="260"/>
        <v>2025//12//5</v>
      </c>
      <c r="OO136" s="192"/>
      <c r="OP136" s="192"/>
      <c r="OQ136" s="192"/>
      <c r="OT136" s="26" t="str">
        <f t="shared" si="407"/>
        <v>2025//12//5</v>
      </c>
      <c r="OU136" s="206">
        <v>134832.4066</v>
      </c>
      <c r="OV136" s="8">
        <f t="shared" si="401"/>
        <v>134712.4066</v>
      </c>
      <c r="OW136" s="191">
        <f t="shared" si="402"/>
        <v>120</v>
      </c>
      <c r="OX136" s="192">
        <f t="shared" si="403"/>
        <v>0.000890786550613075</v>
      </c>
    </row>
    <row r="137" s="8" customFormat="1" ht="17" customHeight="1" spans="1:414">
      <c r="A137" s="15"/>
      <c r="B137" s="15"/>
      <c r="C137" s="385" t="s">
        <v>566</v>
      </c>
      <c r="D137" s="395">
        <v>8990689</v>
      </c>
      <c r="E137" s="395">
        <v>8981779</v>
      </c>
      <c r="F137" s="459">
        <v>8910</v>
      </c>
      <c r="G137" s="460">
        <v>0.001</v>
      </c>
      <c r="H137" s="18"/>
      <c r="I137" s="453"/>
      <c r="J137" s="453"/>
      <c r="K137" s="386" t="str">
        <f t="shared" si="212"/>
        <v>2025//12//4</v>
      </c>
      <c r="L137" s="395">
        <v>6632164</v>
      </c>
      <c r="M137" s="395">
        <v>6629014</v>
      </c>
      <c r="N137" s="459">
        <v>3150</v>
      </c>
      <c r="O137" s="460">
        <v>0.0005</v>
      </c>
      <c r="P137" s="18"/>
      <c r="Q137" s="453"/>
      <c r="R137" s="454"/>
      <c r="S137" s="386" t="str">
        <f t="shared" si="213"/>
        <v>2025//12//4</v>
      </c>
      <c r="T137" s="395">
        <v>5736487</v>
      </c>
      <c r="U137" s="395">
        <v>5722447</v>
      </c>
      <c r="V137" s="459">
        <v>14040</v>
      </c>
      <c r="W137" s="460">
        <v>0.0025</v>
      </c>
      <c r="X137" s="18"/>
      <c r="Y137" s="453"/>
      <c r="Z137" s="454"/>
      <c r="AA137" s="386" t="str">
        <f t="shared" si="214"/>
        <v>2025//12//4</v>
      </c>
      <c r="AB137" s="395">
        <v>1836897</v>
      </c>
      <c r="AC137" s="395">
        <v>1833817</v>
      </c>
      <c r="AD137" s="459">
        <v>3080</v>
      </c>
      <c r="AE137" s="460">
        <v>0.0017</v>
      </c>
      <c r="AF137" s="18"/>
      <c r="AG137" s="453"/>
      <c r="AH137" s="454"/>
      <c r="AI137" s="386" t="str">
        <f t="shared" si="215"/>
        <v>2025//12//4</v>
      </c>
      <c r="AJ137" s="395">
        <v>2490722</v>
      </c>
      <c r="AK137" s="386">
        <v>2480522</v>
      </c>
      <c r="AL137" s="459">
        <v>10200</v>
      </c>
      <c r="AM137" s="460">
        <v>0.0041</v>
      </c>
      <c r="AN137" s="18"/>
      <c r="AO137" s="18"/>
      <c r="AP137" s="454"/>
      <c r="AQ137" s="386" t="str">
        <f t="shared" si="216"/>
        <v>2025//12//4</v>
      </c>
      <c r="AR137" s="418">
        <v>3184045</v>
      </c>
      <c r="AS137" s="395">
        <v>3182545</v>
      </c>
      <c r="AT137" s="459">
        <v>1500</v>
      </c>
      <c r="AU137" s="460">
        <v>0.0005</v>
      </c>
      <c r="AV137" s="18"/>
      <c r="AW137" s="18"/>
      <c r="AX137" s="17"/>
      <c r="AY137" s="17"/>
      <c r="AZ137" s="17" t="str">
        <f t="shared" si="217"/>
        <v>2025//12//4</v>
      </c>
      <c r="BA137" s="17"/>
      <c r="BB137" s="17"/>
      <c r="BC137" s="17"/>
      <c r="BD137" s="18"/>
      <c r="BE137" s="18"/>
      <c r="BF137" s="18"/>
      <c r="BG137" s="74"/>
      <c r="BH137" s="387" t="str">
        <f t="shared" si="218"/>
        <v>2025//12//4</v>
      </c>
      <c r="BI137" s="387">
        <v>157527</v>
      </c>
      <c r="BJ137" s="387">
        <v>154327</v>
      </c>
      <c r="BK137" s="421">
        <v>3200</v>
      </c>
      <c r="BL137" s="422">
        <v>0.0207</v>
      </c>
      <c r="BM137" s="197"/>
      <c r="BN137" s="192"/>
      <c r="BO137" s="389"/>
      <c r="BP137" s="390" t="str">
        <f t="shared" si="219"/>
        <v>2025//12//4</v>
      </c>
      <c r="BQ137" s="392">
        <v>660562</v>
      </c>
      <c r="BR137" s="390">
        <v>666162</v>
      </c>
      <c r="BS137" s="414">
        <v>-5600</v>
      </c>
      <c r="BT137" s="415">
        <v>-0.0084</v>
      </c>
      <c r="BU137" s="192"/>
      <c r="BV137" s="192"/>
      <c r="BW137" s="389"/>
      <c r="BX137" s="390" t="str">
        <f t="shared" si="220"/>
        <v>2025//12//4</v>
      </c>
      <c r="BY137" s="390">
        <v>2133861</v>
      </c>
      <c r="BZ137" s="390">
        <v>2161311</v>
      </c>
      <c r="CA137" s="414">
        <v>-27450</v>
      </c>
      <c r="CB137" s="415">
        <v>-0.0127</v>
      </c>
      <c r="CC137" s="192"/>
      <c r="CD137" s="409"/>
      <c r="CE137" s="389"/>
      <c r="CF137" s="390" t="str">
        <f t="shared" si="221"/>
        <v>2025//12//4</v>
      </c>
      <c r="CG137" s="390">
        <v>939054</v>
      </c>
      <c r="CH137" s="12">
        <f t="shared" si="289"/>
        <v>932754</v>
      </c>
      <c r="CI137" s="12">
        <f t="shared" si="290"/>
        <v>6300</v>
      </c>
      <c r="CJ137" s="199">
        <f t="shared" si="291"/>
        <v>0.00675419242372587</v>
      </c>
      <c r="CK137" s="192"/>
      <c r="CL137" s="391"/>
      <c r="CM137" s="389"/>
      <c r="CN137" s="390" t="str">
        <f t="shared" si="222"/>
        <v>2025//12//4</v>
      </c>
      <c r="CO137" s="390">
        <v>131646</v>
      </c>
      <c r="CP137" s="390">
        <v>131046</v>
      </c>
      <c r="CQ137" s="12">
        <f t="shared" si="293"/>
        <v>600</v>
      </c>
      <c r="CR137" s="199">
        <f t="shared" si="294"/>
        <v>0.00457854493841857</v>
      </c>
      <c r="CS137" s="391"/>
      <c r="CT137" s="391"/>
      <c r="CU137" s="389"/>
      <c r="CV137" s="390" t="str">
        <f t="shared" si="223"/>
        <v>2025//12//4</v>
      </c>
      <c r="CW137" s="390">
        <v>671340</v>
      </c>
      <c r="CX137" s="390">
        <v>687140</v>
      </c>
      <c r="CY137" s="414">
        <v>-15800</v>
      </c>
      <c r="CZ137" s="415">
        <v>-0.023</v>
      </c>
      <c r="DA137" s="192"/>
      <c r="DB137" s="192"/>
      <c r="DC137" s="277"/>
      <c r="DD137" s="390" t="str">
        <f t="shared" si="224"/>
        <v>2025//12//4</v>
      </c>
      <c r="DE137" s="390">
        <v>861518</v>
      </c>
      <c r="DF137" s="12">
        <f t="shared" si="298"/>
        <v>853718</v>
      </c>
      <c r="DG137" s="416">
        <v>3900</v>
      </c>
      <c r="DH137" s="417">
        <v>0.0091</v>
      </c>
      <c r="DI137" s="192"/>
      <c r="DJ137" s="192"/>
      <c r="DK137" s="389"/>
      <c r="DL137" s="390" t="str">
        <f t="shared" si="225"/>
        <v>2025//12//4</v>
      </c>
      <c r="DM137" s="390">
        <v>1502100</v>
      </c>
      <c r="DN137" s="390">
        <v>1509700</v>
      </c>
      <c r="DO137" s="414">
        <v>-7600</v>
      </c>
      <c r="DP137" s="415">
        <v>-0.005</v>
      </c>
      <c r="DQ137" s="192"/>
      <c r="DR137" s="192"/>
      <c r="DS137" s="389"/>
      <c r="DT137" s="390" t="str">
        <f t="shared" si="226"/>
        <v>2025//12//4</v>
      </c>
      <c r="DU137" s="390">
        <v>1684289</v>
      </c>
      <c r="DV137" s="390">
        <v>1666889</v>
      </c>
      <c r="DW137" s="416">
        <v>17400</v>
      </c>
      <c r="DX137" s="417">
        <v>0.0104</v>
      </c>
      <c r="DY137" s="192"/>
      <c r="DZ137" s="192"/>
      <c r="EA137" s="389"/>
      <c r="EB137" s="390" t="str">
        <f t="shared" si="227"/>
        <v>2025//12//4</v>
      </c>
      <c r="EC137" s="390">
        <v>5164017</v>
      </c>
      <c r="ED137" s="390">
        <v>5159967</v>
      </c>
      <c r="EE137" s="416">
        <v>4050</v>
      </c>
      <c r="EF137" s="417">
        <v>0.0008</v>
      </c>
      <c r="EG137" s="192"/>
      <c r="EH137" s="192"/>
      <c r="EI137" s="389"/>
      <c r="EJ137" s="390" t="str">
        <f t="shared" si="228"/>
        <v>2025//12//4</v>
      </c>
      <c r="EK137" s="390">
        <v>1593123</v>
      </c>
      <c r="EL137" s="390">
        <v>1590723</v>
      </c>
      <c r="EM137" s="416">
        <v>2400</v>
      </c>
      <c r="EN137" s="417">
        <v>0.0015</v>
      </c>
      <c r="EO137" s="192"/>
      <c r="EP137" s="192"/>
      <c r="EQ137" s="340"/>
      <c r="ER137" s="341" t="str">
        <f t="shared" si="229"/>
        <v>2025//12//4</v>
      </c>
      <c r="ES137" s="341">
        <v>521747</v>
      </c>
      <c r="ET137" s="341">
        <v>521147</v>
      </c>
      <c r="EU137" s="341">
        <v>600</v>
      </c>
      <c r="EV137" s="350">
        <v>0.0012</v>
      </c>
      <c r="EW137" s="192"/>
      <c r="EX137" s="192"/>
      <c r="EY137" s="389"/>
      <c r="EZ137" s="390" t="str">
        <f t="shared" si="230"/>
        <v>2025//12//4</v>
      </c>
      <c r="FA137" s="390">
        <v>1183508</v>
      </c>
      <c r="FB137" s="390">
        <v>1188608</v>
      </c>
      <c r="FC137" s="414">
        <v>-5100</v>
      </c>
      <c r="FD137" s="415">
        <v>-0.0043</v>
      </c>
      <c r="FE137" s="192"/>
      <c r="FF137" s="192"/>
      <c r="FG137" s="192"/>
      <c r="FH137" s="390" t="str">
        <f t="shared" si="231"/>
        <v>2025//12//4</v>
      </c>
      <c r="FI137" s="392">
        <v>145095</v>
      </c>
      <c r="FJ137" s="390">
        <v>142395</v>
      </c>
      <c r="FK137" s="348">
        <v>2700</v>
      </c>
      <c r="FL137" s="349">
        <v>0.019</v>
      </c>
      <c r="FM137" s="391"/>
      <c r="FN137" s="391"/>
      <c r="FO137" s="389"/>
      <c r="FP137" s="390" t="str">
        <f t="shared" si="232"/>
        <v>2025//12//4</v>
      </c>
      <c r="FQ137" s="390">
        <v>2555519</v>
      </c>
      <c r="FR137" s="390">
        <v>2558669</v>
      </c>
      <c r="FS137" s="414">
        <v>-3150</v>
      </c>
      <c r="FT137" s="415">
        <v>-0.0012</v>
      </c>
      <c r="FU137" s="192"/>
      <c r="FV137" s="192"/>
      <c r="FW137" s="389"/>
      <c r="FX137" s="390" t="str">
        <f t="shared" si="233"/>
        <v>2025//12//4</v>
      </c>
      <c r="FY137" s="390">
        <v>7372682</v>
      </c>
      <c r="FZ137" s="390">
        <v>7364282</v>
      </c>
      <c r="GA137" s="416">
        <v>8400</v>
      </c>
      <c r="GB137" s="417">
        <v>0.0011</v>
      </c>
      <c r="GC137" s="192"/>
      <c r="GD137" s="192"/>
      <c r="GE137" s="389"/>
      <c r="GF137" s="390" t="str">
        <f t="shared" si="234"/>
        <v>2025//12//4</v>
      </c>
      <c r="GG137" s="390">
        <v>4444369</v>
      </c>
      <c r="GH137" s="390">
        <v>4439569</v>
      </c>
      <c r="GI137" s="416">
        <v>4800</v>
      </c>
      <c r="GJ137" s="417">
        <v>0.0011</v>
      </c>
      <c r="GK137" s="192"/>
      <c r="GL137" s="192"/>
      <c r="GM137" s="389"/>
      <c r="GN137" s="390" t="str">
        <f t="shared" si="235"/>
        <v>2025//12//4</v>
      </c>
      <c r="GO137" s="390">
        <v>1492858</v>
      </c>
      <c r="GP137" s="390">
        <v>1504798</v>
      </c>
      <c r="GQ137" s="414">
        <v>-11940</v>
      </c>
      <c r="GR137" s="415">
        <v>-0.0079</v>
      </c>
      <c r="GS137" s="192"/>
      <c r="GT137" s="192"/>
      <c r="GU137" s="389"/>
      <c r="GV137" s="390" t="str">
        <f t="shared" si="236"/>
        <v>2025//12//4</v>
      </c>
      <c r="GW137" s="390">
        <v>1327949</v>
      </c>
      <c r="GX137" s="390">
        <v>1335949</v>
      </c>
      <c r="GY137" s="414">
        <v>-8000</v>
      </c>
      <c r="GZ137" s="415">
        <v>-0.006</v>
      </c>
      <c r="HA137" s="192"/>
      <c r="HB137" s="192"/>
      <c r="HC137" s="389"/>
      <c r="HD137" s="390" t="str">
        <f t="shared" si="237"/>
        <v>2025//12//4</v>
      </c>
      <c r="HE137" s="390">
        <v>1428965</v>
      </c>
      <c r="HF137" s="390">
        <v>1434165</v>
      </c>
      <c r="HG137" s="414">
        <v>-5200</v>
      </c>
      <c r="HH137" s="415">
        <v>-0.0036</v>
      </c>
      <c r="HI137" s="391"/>
      <c r="HJ137" s="192"/>
      <c r="HK137" s="389"/>
      <c r="HL137" s="390" t="str">
        <f t="shared" si="238"/>
        <v>2025//12//4</v>
      </c>
      <c r="HM137" s="390">
        <v>197054</v>
      </c>
      <c r="HN137" s="390">
        <v>198254</v>
      </c>
      <c r="HO137" s="414">
        <v>-1200</v>
      </c>
      <c r="HP137" s="415">
        <v>-0.0061</v>
      </c>
      <c r="HQ137" s="192"/>
      <c r="HR137" s="192"/>
      <c r="HS137" s="389"/>
      <c r="HT137" s="390" t="str">
        <f t="shared" si="239"/>
        <v>2025//12//4</v>
      </c>
      <c r="HU137" s="390">
        <v>142569</v>
      </c>
      <c r="HV137" s="390">
        <v>142869</v>
      </c>
      <c r="HW137" s="414">
        <v>-300</v>
      </c>
      <c r="HX137" s="415">
        <v>-0.0021</v>
      </c>
      <c r="HY137" s="192"/>
      <c r="HZ137" s="192"/>
      <c r="IA137" s="389"/>
      <c r="IB137" s="390" t="str">
        <f t="shared" si="240"/>
        <v>2025//12//4</v>
      </c>
      <c r="IC137" s="390"/>
      <c r="ID137" s="390"/>
      <c r="IE137" s="390"/>
      <c r="IF137" s="391"/>
      <c r="IG137" s="391"/>
      <c r="IH137" s="192"/>
      <c r="II137" s="389"/>
      <c r="IJ137" s="390" t="str">
        <f t="shared" si="241"/>
        <v>2025//12//4</v>
      </c>
      <c r="IK137" s="390">
        <v>420956</v>
      </c>
      <c r="IL137" s="390">
        <v>421836</v>
      </c>
      <c r="IM137" s="414">
        <v>-880</v>
      </c>
      <c r="IN137" s="415">
        <v>-0.0021</v>
      </c>
      <c r="IO137" s="192"/>
      <c r="IP137" s="192"/>
      <c r="IQ137" s="389"/>
      <c r="IR137" s="390" t="str">
        <f t="shared" si="242"/>
        <v>2025//12//4</v>
      </c>
      <c r="IS137" s="390">
        <v>120089</v>
      </c>
      <c r="IT137" s="390">
        <v>119889</v>
      </c>
      <c r="IU137" s="416">
        <v>200</v>
      </c>
      <c r="IV137" s="417">
        <v>0.0017</v>
      </c>
      <c r="IW137" s="192"/>
      <c r="IX137" s="192"/>
      <c r="IY137" s="389"/>
      <c r="IZ137" s="390" t="str">
        <f t="shared" si="243"/>
        <v>2025//12//4</v>
      </c>
      <c r="JA137" s="390">
        <v>5004129</v>
      </c>
      <c r="JB137" s="390">
        <v>5016429</v>
      </c>
      <c r="JC137" s="414">
        <v>-12300</v>
      </c>
      <c r="JD137" s="415">
        <v>-0.0025</v>
      </c>
      <c r="JE137" s="192"/>
      <c r="JF137" s="192"/>
      <c r="JG137" s="389"/>
      <c r="JH137" s="390" t="str">
        <f t="shared" si="244"/>
        <v>2025//12//4</v>
      </c>
      <c r="JI137" s="390">
        <v>2046028</v>
      </c>
      <c r="JJ137" s="390">
        <v>2084668</v>
      </c>
      <c r="JK137" s="414">
        <v>-38640</v>
      </c>
      <c r="JL137" s="415">
        <v>-0.0185</v>
      </c>
      <c r="JM137" s="192"/>
      <c r="JN137" s="192"/>
      <c r="JO137" s="192"/>
      <c r="JP137" s="390" t="str">
        <f t="shared" si="245"/>
        <v>2025//12//4</v>
      </c>
      <c r="JQ137" s="390">
        <v>1166390</v>
      </c>
      <c r="JR137" s="390">
        <v>1161390</v>
      </c>
      <c r="JS137" s="416">
        <v>5000</v>
      </c>
      <c r="JT137" s="417">
        <v>0.0043</v>
      </c>
      <c r="JU137" s="192"/>
      <c r="JV137" s="192"/>
      <c r="JW137" s="409"/>
      <c r="JX137" s="390" t="str">
        <f t="shared" si="246"/>
        <v>2025//12//4</v>
      </c>
      <c r="JY137" s="390">
        <v>1508499</v>
      </c>
      <c r="JZ137" s="390">
        <v>1508399</v>
      </c>
      <c r="KA137" s="416">
        <v>100</v>
      </c>
      <c r="KB137" s="417">
        <v>0.0001</v>
      </c>
      <c r="KC137" s="192"/>
      <c r="KD137" s="192"/>
      <c r="KE137" s="409"/>
      <c r="KF137" s="390" t="str">
        <f t="shared" si="247"/>
        <v>2025//12//4</v>
      </c>
      <c r="KG137" s="390">
        <v>904756</v>
      </c>
      <c r="KH137" s="390">
        <v>904756</v>
      </c>
      <c r="KI137" s="410">
        <v>0</v>
      </c>
      <c r="KJ137" s="409">
        <v>0</v>
      </c>
      <c r="KK137" s="391"/>
      <c r="KL137" s="391"/>
      <c r="KM137" s="389"/>
      <c r="KN137" s="390" t="str">
        <f t="shared" si="248"/>
        <v>2025//12//4</v>
      </c>
      <c r="KO137" s="390">
        <v>6346076</v>
      </c>
      <c r="KP137" s="390">
        <v>6342476</v>
      </c>
      <c r="KQ137" s="416">
        <v>3600</v>
      </c>
      <c r="KR137" s="417">
        <v>0.0006</v>
      </c>
      <c r="KS137" s="192"/>
      <c r="KT137" s="192"/>
      <c r="KU137" s="389"/>
      <c r="KV137" s="390" t="str">
        <f t="shared" si="249"/>
        <v>2025//12//4</v>
      </c>
      <c r="KW137" s="390">
        <v>1007073</v>
      </c>
      <c r="KX137" s="390">
        <v>1007073</v>
      </c>
      <c r="KY137" s="390">
        <v>0</v>
      </c>
      <c r="KZ137" s="391">
        <v>0</v>
      </c>
      <c r="LA137" s="391"/>
      <c r="LB137" s="192"/>
      <c r="LC137" s="389"/>
      <c r="LD137" s="390" t="str">
        <f t="shared" si="250"/>
        <v>2025//12//4</v>
      </c>
      <c r="LE137" s="390">
        <v>486058</v>
      </c>
      <c r="LF137" s="390">
        <v>487308</v>
      </c>
      <c r="LG137" s="414">
        <v>-1250</v>
      </c>
      <c r="LH137" s="415">
        <v>-0.0026</v>
      </c>
      <c r="LI137" s="192"/>
      <c r="LJ137" s="192"/>
      <c r="LK137" s="389"/>
      <c r="LL137" s="390" t="str">
        <f t="shared" si="251"/>
        <v>2025//12//4</v>
      </c>
      <c r="LM137" s="392">
        <v>3724675</v>
      </c>
      <c r="LN137" s="390">
        <v>3720895</v>
      </c>
      <c r="LO137" s="416">
        <v>3780</v>
      </c>
      <c r="LP137" s="417">
        <v>0.001</v>
      </c>
      <c r="LQ137" s="192"/>
      <c r="LR137" s="192"/>
      <c r="LS137" s="389"/>
      <c r="LT137" s="390" t="str">
        <f t="shared" si="252"/>
        <v>2025//12//4</v>
      </c>
      <c r="LU137" s="390">
        <v>2583263</v>
      </c>
      <c r="LV137" s="390">
        <v>2597263</v>
      </c>
      <c r="LW137" s="414">
        <v>-14000</v>
      </c>
      <c r="LX137" s="415">
        <v>-0.0054</v>
      </c>
      <c r="LY137" s="192"/>
      <c r="LZ137" s="192"/>
      <c r="MA137" s="389"/>
      <c r="MB137" s="390" t="str">
        <f t="shared" si="253"/>
        <v>2025//12//4</v>
      </c>
      <c r="MC137" s="390">
        <v>866018</v>
      </c>
      <c r="MD137" s="390">
        <v>866868</v>
      </c>
      <c r="ME137" s="414">
        <v>-850</v>
      </c>
      <c r="MF137" s="415">
        <v>-0.001</v>
      </c>
      <c r="MG137" s="192"/>
      <c r="MH137" s="192"/>
      <c r="MI137" s="342"/>
      <c r="MJ137" s="341">
        <v>0.984</v>
      </c>
      <c r="MK137" s="341" t="str">
        <f t="shared" si="254"/>
        <v>2025//12//4</v>
      </c>
      <c r="ML137" s="341">
        <v>245626</v>
      </c>
      <c r="MM137" s="12">
        <f t="shared" si="388"/>
        <v>248986</v>
      </c>
      <c r="MN137" s="341">
        <v>-3360</v>
      </c>
      <c r="MO137" s="350">
        <v>-0.0135</v>
      </c>
      <c r="MP137" s="192"/>
      <c r="MQ137" s="394"/>
      <c r="MR137" s="394"/>
      <c r="MS137" s="391"/>
      <c r="MT137" s="26" t="str">
        <f t="shared" si="255"/>
        <v>2025//12//4</v>
      </c>
      <c r="MX137" s="192"/>
      <c r="MY137" s="192"/>
      <c r="MZ137" s="192"/>
      <c r="NA137" s="192"/>
      <c r="NB137" s="192"/>
      <c r="NC137" s="8" t="str">
        <f t="shared" si="256"/>
        <v>2025//12//4</v>
      </c>
      <c r="NG137" s="192"/>
      <c r="NH137" s="192"/>
      <c r="NI137" s="192"/>
      <c r="NJ137" s="192"/>
      <c r="NK137" s="192"/>
      <c r="NL137" s="8"/>
      <c r="NM137" s="8" t="str">
        <f t="shared" si="257"/>
        <v>2025//12//4</v>
      </c>
      <c r="NQ137" s="192"/>
      <c r="NR137" s="192"/>
      <c r="NS137" s="8"/>
      <c r="NU137" s="8" t="str">
        <f t="shared" si="258"/>
        <v>2025//12//4</v>
      </c>
      <c r="NV137" s="389"/>
      <c r="NW137" s="389"/>
      <c r="NX137" s="389"/>
      <c r="NY137" s="391"/>
      <c r="NZ137" s="391"/>
      <c r="OA137" s="389"/>
      <c r="OB137" s="389"/>
      <c r="OC137" s="390" t="str">
        <f t="shared" si="259"/>
        <v>2025//12//4</v>
      </c>
      <c r="OD137" s="390">
        <v>17138</v>
      </c>
      <c r="OE137" s="390">
        <v>17492</v>
      </c>
      <c r="OF137" s="414">
        <v>-354</v>
      </c>
      <c r="OG137" s="415">
        <v>-0.0202</v>
      </c>
      <c r="OH137" s="192"/>
      <c r="OI137" s="192"/>
      <c r="OJ137" s="389"/>
      <c r="OK137" s="390" t="str">
        <f t="shared" si="260"/>
        <v>2025//12//4</v>
      </c>
      <c r="OO137" s="192"/>
      <c r="OP137" s="192"/>
      <c r="OQ137" s="192"/>
      <c r="OT137" s="26" t="str">
        <f t="shared" si="407"/>
        <v>2025//12//4</v>
      </c>
      <c r="OU137" s="206">
        <v>134712.4066</v>
      </c>
      <c r="OV137" s="8">
        <f t="shared" si="401"/>
        <v>134592.4066</v>
      </c>
      <c r="OW137" s="191">
        <f t="shared" si="402"/>
        <v>120</v>
      </c>
      <c r="OX137" s="192">
        <f t="shared" si="403"/>
        <v>0.000891580758761765</v>
      </c>
    </row>
    <row r="138" s="8" customFormat="1" ht="17" customHeight="1" spans="1:414">
      <c r="A138" s="15"/>
      <c r="B138" s="15"/>
      <c r="C138" s="385" t="s">
        <v>567</v>
      </c>
      <c r="D138" s="395">
        <v>8981779</v>
      </c>
      <c r="E138" s="395">
        <v>8976109</v>
      </c>
      <c r="F138" s="459">
        <v>5670</v>
      </c>
      <c r="G138" s="460">
        <v>0.0006</v>
      </c>
      <c r="H138" s="18"/>
      <c r="I138" s="453"/>
      <c r="J138" s="453"/>
      <c r="K138" s="386" t="str">
        <f t="shared" si="212"/>
        <v>2025//12//3</v>
      </c>
      <c r="L138" s="395">
        <v>6629014</v>
      </c>
      <c r="M138" s="395">
        <v>6629734</v>
      </c>
      <c r="N138" s="403">
        <v>-720</v>
      </c>
      <c r="O138" s="404">
        <v>-0.0001</v>
      </c>
      <c r="P138" s="18"/>
      <c r="Q138" s="453"/>
      <c r="R138" s="454"/>
      <c r="S138" s="386" t="str">
        <f t="shared" si="213"/>
        <v>2025//12//3</v>
      </c>
      <c r="T138" s="395">
        <v>5722447</v>
      </c>
      <c r="U138" s="395">
        <v>5739547</v>
      </c>
      <c r="V138" s="403">
        <v>-17100</v>
      </c>
      <c r="W138" s="404">
        <v>-0.003</v>
      </c>
      <c r="X138" s="18"/>
      <c r="Y138" s="453"/>
      <c r="Z138" s="454"/>
      <c r="AA138" s="386" t="str">
        <f t="shared" si="214"/>
        <v>2025//12//3</v>
      </c>
      <c r="AB138" s="395">
        <v>1833817</v>
      </c>
      <c r="AC138" s="395">
        <v>1836097</v>
      </c>
      <c r="AD138" s="403">
        <v>-2280</v>
      </c>
      <c r="AE138" s="404">
        <v>-0.0012</v>
      </c>
      <c r="AF138" s="18"/>
      <c r="AG138" s="453"/>
      <c r="AH138" s="454"/>
      <c r="AI138" s="386" t="str">
        <f t="shared" si="215"/>
        <v>2025//12//3</v>
      </c>
      <c r="AJ138" s="395">
        <v>2480522</v>
      </c>
      <c r="AK138" s="386">
        <v>2465522</v>
      </c>
      <c r="AL138" s="459">
        <v>15000</v>
      </c>
      <c r="AM138" s="460">
        <v>0.0061</v>
      </c>
      <c r="AN138" s="18"/>
      <c r="AO138" s="18"/>
      <c r="AP138" s="454"/>
      <c r="AQ138" s="386" t="str">
        <f t="shared" si="216"/>
        <v>2025//12//3</v>
      </c>
      <c r="AR138" s="418">
        <v>3182545</v>
      </c>
      <c r="AS138" s="395">
        <v>3183845</v>
      </c>
      <c r="AT138" s="403">
        <v>-1300</v>
      </c>
      <c r="AU138" s="404">
        <v>-0.0004</v>
      </c>
      <c r="AV138" s="18"/>
      <c r="AW138" s="18"/>
      <c r="AX138" s="17"/>
      <c r="AY138" s="17"/>
      <c r="AZ138" s="17" t="str">
        <f t="shared" si="217"/>
        <v>2025//12//3</v>
      </c>
      <c r="BA138" s="17"/>
      <c r="BB138" s="17"/>
      <c r="BC138" s="17"/>
      <c r="BD138" s="18"/>
      <c r="BE138" s="18"/>
      <c r="BF138" s="18"/>
      <c r="BG138" s="74"/>
      <c r="BH138" s="387" t="str">
        <f t="shared" si="218"/>
        <v>2025//12//3</v>
      </c>
      <c r="BI138" s="387">
        <v>154327</v>
      </c>
      <c r="BJ138" s="387">
        <v>150927</v>
      </c>
      <c r="BK138" s="421">
        <v>3400</v>
      </c>
      <c r="BL138" s="422">
        <v>0.0225</v>
      </c>
      <c r="BM138" s="197"/>
      <c r="BN138" s="192"/>
      <c r="BO138" s="389"/>
      <c r="BP138" s="390" t="str">
        <f t="shared" si="219"/>
        <v>2025//12//3</v>
      </c>
      <c r="BQ138" s="392">
        <v>666162</v>
      </c>
      <c r="BR138" s="390">
        <v>647262</v>
      </c>
      <c r="BS138" s="416">
        <v>18900</v>
      </c>
      <c r="BT138" s="417">
        <v>0.0292</v>
      </c>
      <c r="BU138" s="192"/>
      <c r="BV138" s="192"/>
      <c r="BW138" s="389"/>
      <c r="BX138" s="390" t="str">
        <f t="shared" si="220"/>
        <v>2025//12//3</v>
      </c>
      <c r="BY138" s="390">
        <v>2161311</v>
      </c>
      <c r="BZ138" s="390">
        <v>2207961</v>
      </c>
      <c r="CA138" s="414">
        <v>-46650</v>
      </c>
      <c r="CB138" s="415">
        <v>-0.0211</v>
      </c>
      <c r="CC138" s="192"/>
      <c r="CD138" s="409"/>
      <c r="CE138" s="389"/>
      <c r="CF138" s="390" t="str">
        <f t="shared" si="221"/>
        <v>2025//12//3</v>
      </c>
      <c r="CG138" s="390">
        <v>932754</v>
      </c>
      <c r="CH138" s="12">
        <f t="shared" si="289"/>
        <v>928204</v>
      </c>
      <c r="CI138" s="12">
        <f t="shared" si="290"/>
        <v>4550</v>
      </c>
      <c r="CJ138" s="199">
        <f t="shared" si="291"/>
        <v>0.00490193965981616</v>
      </c>
      <c r="CK138" s="192"/>
      <c r="CL138" s="391"/>
      <c r="CM138" s="389"/>
      <c r="CN138" s="390" t="str">
        <f t="shared" si="222"/>
        <v>2025//12//3</v>
      </c>
      <c r="CO138" s="390">
        <v>131046</v>
      </c>
      <c r="CP138" s="390">
        <v>130546</v>
      </c>
      <c r="CQ138" s="12">
        <f t="shared" si="293"/>
        <v>500</v>
      </c>
      <c r="CR138" s="199">
        <f t="shared" si="294"/>
        <v>0.0038300675623918</v>
      </c>
      <c r="CS138" s="391"/>
      <c r="CT138" s="391"/>
      <c r="CU138" s="389"/>
      <c r="CV138" s="390" t="str">
        <f t="shared" si="223"/>
        <v>2025//12//3</v>
      </c>
      <c r="CW138" s="390">
        <v>687140</v>
      </c>
      <c r="CX138" s="390">
        <v>694640</v>
      </c>
      <c r="CY138" s="414">
        <v>-7500</v>
      </c>
      <c r="CZ138" s="415">
        <v>-0.0108</v>
      </c>
      <c r="DA138" s="192"/>
      <c r="DB138" s="192"/>
      <c r="DC138" s="277"/>
      <c r="DD138" s="390" t="str">
        <f t="shared" si="224"/>
        <v>2025//12//3</v>
      </c>
      <c r="DE138" s="390">
        <v>853718</v>
      </c>
      <c r="DF138" s="12">
        <f t="shared" si="298"/>
        <v>852918</v>
      </c>
      <c r="DG138" s="416">
        <v>400</v>
      </c>
      <c r="DH138" s="417">
        <v>0.0009</v>
      </c>
      <c r="DI138" s="192"/>
      <c r="DJ138" s="192"/>
      <c r="DK138" s="389"/>
      <c r="DL138" s="390" t="str">
        <f t="shared" si="225"/>
        <v>2025//12//3</v>
      </c>
      <c r="DM138" s="390">
        <v>1509700</v>
      </c>
      <c r="DN138" s="390">
        <v>1507100</v>
      </c>
      <c r="DO138" s="416">
        <v>2600</v>
      </c>
      <c r="DP138" s="417">
        <v>0.0017</v>
      </c>
      <c r="DQ138" s="192"/>
      <c r="DR138" s="192"/>
      <c r="DS138" s="389"/>
      <c r="DT138" s="390" t="str">
        <f t="shared" si="226"/>
        <v>2025//12//3</v>
      </c>
      <c r="DU138" s="390">
        <v>1666889</v>
      </c>
      <c r="DV138" s="390">
        <v>1665989</v>
      </c>
      <c r="DW138" s="416">
        <v>900</v>
      </c>
      <c r="DX138" s="417">
        <v>0.0005</v>
      </c>
      <c r="DY138" s="192"/>
      <c r="DZ138" s="192"/>
      <c r="EA138" s="389"/>
      <c r="EB138" s="390" t="str">
        <f t="shared" si="227"/>
        <v>2025//12//3</v>
      </c>
      <c r="EC138" s="390">
        <v>5159967</v>
      </c>
      <c r="ED138" s="390">
        <v>5155017</v>
      </c>
      <c r="EE138" s="416">
        <v>4950</v>
      </c>
      <c r="EF138" s="417">
        <v>0.001</v>
      </c>
      <c r="EG138" s="192"/>
      <c r="EH138" s="192"/>
      <c r="EI138" s="389"/>
      <c r="EJ138" s="390" t="str">
        <f t="shared" si="228"/>
        <v>2025//12//3</v>
      </c>
      <c r="EK138" s="390">
        <v>1590723</v>
      </c>
      <c r="EL138" s="390">
        <v>1579123</v>
      </c>
      <c r="EM138" s="416">
        <v>11600</v>
      </c>
      <c r="EN138" s="417">
        <v>0.0073</v>
      </c>
      <c r="EO138" s="192"/>
      <c r="EP138" s="192"/>
      <c r="EQ138" s="340"/>
      <c r="ER138" s="341" t="str">
        <f t="shared" si="229"/>
        <v>2025//12//3</v>
      </c>
      <c r="ES138" s="341">
        <v>521147</v>
      </c>
      <c r="ET138" s="341">
        <v>520247</v>
      </c>
      <c r="EU138" s="341">
        <v>900</v>
      </c>
      <c r="EV138" s="350">
        <v>0.0017</v>
      </c>
      <c r="EW138" s="192"/>
      <c r="EX138" s="192"/>
      <c r="EY138" s="389"/>
      <c r="EZ138" s="390" t="str">
        <f t="shared" si="230"/>
        <v>2025//12//3</v>
      </c>
      <c r="FA138" s="390">
        <v>1188608</v>
      </c>
      <c r="FB138" s="390">
        <v>1176108</v>
      </c>
      <c r="FC138" s="416">
        <v>12500</v>
      </c>
      <c r="FD138" s="417">
        <v>0.0106</v>
      </c>
      <c r="FE138" s="192"/>
      <c r="FF138" s="192"/>
      <c r="FG138" s="192"/>
      <c r="FH138" s="390" t="str">
        <f t="shared" si="231"/>
        <v>2025//12//3</v>
      </c>
      <c r="FI138" s="392">
        <v>142395</v>
      </c>
      <c r="FJ138" s="390">
        <v>134495</v>
      </c>
      <c r="FK138" s="348">
        <v>7900</v>
      </c>
      <c r="FL138" s="349">
        <v>0.0587</v>
      </c>
      <c r="FM138" s="391"/>
      <c r="FN138" s="391"/>
      <c r="FO138" s="389"/>
      <c r="FP138" s="390" t="str">
        <f t="shared" si="232"/>
        <v>2025//12//3</v>
      </c>
      <c r="FQ138" s="390">
        <v>2558669</v>
      </c>
      <c r="FR138" s="390">
        <v>2542619</v>
      </c>
      <c r="FS138" s="416">
        <v>16050</v>
      </c>
      <c r="FT138" s="417">
        <v>0.0063</v>
      </c>
      <c r="FU138" s="192"/>
      <c r="FV138" s="192"/>
      <c r="FW138" s="389"/>
      <c r="FX138" s="390" t="str">
        <f t="shared" si="233"/>
        <v>2025//12//3</v>
      </c>
      <c r="FY138" s="390">
        <v>7364282</v>
      </c>
      <c r="FZ138" s="390">
        <v>7318782</v>
      </c>
      <c r="GA138" s="416">
        <v>45500</v>
      </c>
      <c r="GB138" s="417">
        <v>0.0062</v>
      </c>
      <c r="GC138" s="192"/>
      <c r="GD138" s="192"/>
      <c r="GE138" s="389"/>
      <c r="GF138" s="390" t="str">
        <f t="shared" si="234"/>
        <v>2025//12//3</v>
      </c>
      <c r="GG138" s="390">
        <v>4439569</v>
      </c>
      <c r="GH138" s="390">
        <v>4430969</v>
      </c>
      <c r="GI138" s="416">
        <v>8600</v>
      </c>
      <c r="GJ138" s="417">
        <v>0.0019</v>
      </c>
      <c r="GK138" s="192"/>
      <c r="GL138" s="192"/>
      <c r="GM138" s="389"/>
      <c r="GN138" s="390" t="str">
        <f t="shared" si="235"/>
        <v>2025//12//3</v>
      </c>
      <c r="GO138" s="390">
        <v>1504798</v>
      </c>
      <c r="GP138" s="390">
        <v>1516318</v>
      </c>
      <c r="GQ138" s="414">
        <v>-11520</v>
      </c>
      <c r="GR138" s="415">
        <v>-0.0076</v>
      </c>
      <c r="GS138" s="192"/>
      <c r="GT138" s="192"/>
      <c r="GU138" s="389"/>
      <c r="GV138" s="390" t="str">
        <f t="shared" si="236"/>
        <v>2025//12//3</v>
      </c>
      <c r="GW138" s="390">
        <v>1335949</v>
      </c>
      <c r="GX138" s="390">
        <v>1339149</v>
      </c>
      <c r="GY138" s="414">
        <v>-3200</v>
      </c>
      <c r="GZ138" s="415">
        <v>-0.0024</v>
      </c>
      <c r="HA138" s="192"/>
      <c r="HB138" s="192"/>
      <c r="HC138" s="389"/>
      <c r="HD138" s="390" t="str">
        <f t="shared" si="237"/>
        <v>2025//12//3</v>
      </c>
      <c r="HE138" s="390">
        <v>1434165</v>
      </c>
      <c r="HF138" s="390">
        <v>1431665</v>
      </c>
      <c r="HG138" s="416">
        <v>2500</v>
      </c>
      <c r="HH138" s="417">
        <v>0.0017</v>
      </c>
      <c r="HI138" s="391"/>
      <c r="HJ138" s="192"/>
      <c r="HK138" s="389"/>
      <c r="HL138" s="390" t="str">
        <f t="shared" si="238"/>
        <v>2025//12//3</v>
      </c>
      <c r="HM138" s="390">
        <v>198254</v>
      </c>
      <c r="HN138" s="390">
        <v>200204</v>
      </c>
      <c r="HO138" s="414">
        <v>-1950</v>
      </c>
      <c r="HP138" s="415">
        <v>-0.0097</v>
      </c>
      <c r="HQ138" s="192"/>
      <c r="HR138" s="192"/>
      <c r="HS138" s="389"/>
      <c r="HT138" s="390" t="str">
        <f t="shared" si="239"/>
        <v>2025//12//3</v>
      </c>
      <c r="HU138" s="390">
        <v>142869</v>
      </c>
      <c r="HV138" s="390">
        <v>143069</v>
      </c>
      <c r="HW138" s="414">
        <v>-200</v>
      </c>
      <c r="HX138" s="415">
        <v>-0.0014</v>
      </c>
      <c r="HY138" s="192"/>
      <c r="HZ138" s="192"/>
      <c r="IA138" s="389"/>
      <c r="IB138" s="390" t="str">
        <f t="shared" si="240"/>
        <v>2025//12//3</v>
      </c>
      <c r="IC138" s="390"/>
      <c r="ID138" s="390"/>
      <c r="IE138" s="390"/>
      <c r="IF138" s="391"/>
      <c r="IG138" s="391"/>
      <c r="IH138" s="192"/>
      <c r="II138" s="389"/>
      <c r="IJ138" s="390" t="str">
        <f t="shared" si="241"/>
        <v>2025//12//3</v>
      </c>
      <c r="IK138" s="390">
        <v>421836</v>
      </c>
      <c r="IL138" s="390">
        <v>419676</v>
      </c>
      <c r="IM138" s="416">
        <v>2160</v>
      </c>
      <c r="IN138" s="417">
        <v>0.0051</v>
      </c>
      <c r="IO138" s="192"/>
      <c r="IP138" s="192"/>
      <c r="IQ138" s="389"/>
      <c r="IR138" s="390" t="str">
        <f t="shared" si="242"/>
        <v>2025//12//3</v>
      </c>
      <c r="IS138" s="390">
        <v>119889</v>
      </c>
      <c r="IT138" s="390">
        <v>119789</v>
      </c>
      <c r="IU138" s="416">
        <v>100</v>
      </c>
      <c r="IV138" s="417">
        <v>0.0008</v>
      </c>
      <c r="IW138" s="192"/>
      <c r="IX138" s="192"/>
      <c r="IY138" s="389"/>
      <c r="IZ138" s="390" t="str">
        <f t="shared" si="243"/>
        <v>2025//12//3</v>
      </c>
      <c r="JA138" s="390">
        <v>5016429</v>
      </c>
      <c r="JB138" s="390">
        <v>5000829</v>
      </c>
      <c r="JC138" s="416">
        <v>15600</v>
      </c>
      <c r="JD138" s="417">
        <v>0.0031</v>
      </c>
      <c r="JE138" s="192"/>
      <c r="JF138" s="192"/>
      <c r="JG138" s="389"/>
      <c r="JH138" s="390" t="str">
        <f t="shared" si="244"/>
        <v>2025//12//3</v>
      </c>
      <c r="JI138" s="390">
        <v>2084668</v>
      </c>
      <c r="JJ138" s="390">
        <v>2128588</v>
      </c>
      <c r="JK138" s="414">
        <v>-43920</v>
      </c>
      <c r="JL138" s="415">
        <v>-0.0206</v>
      </c>
      <c r="JM138" s="192"/>
      <c r="JN138" s="192"/>
      <c r="JO138" s="192"/>
      <c r="JP138" s="390" t="str">
        <f t="shared" si="245"/>
        <v>2025//12//3</v>
      </c>
      <c r="JQ138" s="390">
        <v>1161390</v>
      </c>
      <c r="JR138" s="390">
        <v>1154490</v>
      </c>
      <c r="JS138" s="416">
        <v>6900</v>
      </c>
      <c r="JT138" s="417">
        <v>0.006</v>
      </c>
      <c r="JU138" s="192"/>
      <c r="JV138" s="192"/>
      <c r="JW138" s="409"/>
      <c r="JX138" s="390" t="str">
        <f t="shared" si="246"/>
        <v>2025//12//3</v>
      </c>
      <c r="JY138" s="390">
        <v>1508399</v>
      </c>
      <c r="JZ138" s="390">
        <v>1508249</v>
      </c>
      <c r="KA138" s="416">
        <v>150</v>
      </c>
      <c r="KB138" s="417">
        <v>0.0001</v>
      </c>
      <c r="KC138" s="192"/>
      <c r="KD138" s="192"/>
      <c r="KE138" s="409"/>
      <c r="KF138" s="390" t="str">
        <f t="shared" si="247"/>
        <v>2025//12//3</v>
      </c>
      <c r="KG138" s="390">
        <v>904756</v>
      </c>
      <c r="KH138" s="390">
        <v>904756</v>
      </c>
      <c r="KI138" s="410">
        <v>0</v>
      </c>
      <c r="KJ138" s="409">
        <v>0</v>
      </c>
      <c r="KK138" s="391"/>
      <c r="KL138" s="391"/>
      <c r="KM138" s="389"/>
      <c r="KN138" s="390" t="str">
        <f t="shared" si="248"/>
        <v>2025//12//3</v>
      </c>
      <c r="KO138" s="390">
        <v>6342476</v>
      </c>
      <c r="KP138" s="390">
        <v>6341776</v>
      </c>
      <c r="KQ138" s="416">
        <v>700</v>
      </c>
      <c r="KR138" s="417">
        <v>0.0001</v>
      </c>
      <c r="KS138" s="192"/>
      <c r="KT138" s="192"/>
      <c r="KU138" s="389"/>
      <c r="KV138" s="390" t="str">
        <f t="shared" si="249"/>
        <v>2025//12//3</v>
      </c>
      <c r="KW138" s="390">
        <v>1007073</v>
      </c>
      <c r="KX138" s="390">
        <v>997573</v>
      </c>
      <c r="KY138" s="390">
        <v>9500</v>
      </c>
      <c r="KZ138" s="391">
        <v>0.0095</v>
      </c>
      <c r="LA138" s="391"/>
      <c r="LB138" s="192"/>
      <c r="LC138" s="389"/>
      <c r="LD138" s="390" t="str">
        <f t="shared" si="250"/>
        <v>2025//12//3</v>
      </c>
      <c r="LE138" s="390">
        <v>487308</v>
      </c>
      <c r="LF138" s="390">
        <v>487408</v>
      </c>
      <c r="LG138" s="414">
        <v>-100</v>
      </c>
      <c r="LH138" s="415">
        <v>-0.0002</v>
      </c>
      <c r="LI138" s="192"/>
      <c r="LJ138" s="192"/>
      <c r="LK138" s="389"/>
      <c r="LL138" s="390" t="str">
        <f t="shared" si="251"/>
        <v>2025//12//3</v>
      </c>
      <c r="LM138" s="392">
        <v>3720895</v>
      </c>
      <c r="LN138" s="390">
        <v>3779215</v>
      </c>
      <c r="LO138" s="414">
        <v>-58320</v>
      </c>
      <c r="LP138" s="415">
        <v>-0.0154</v>
      </c>
      <c r="LQ138" s="192"/>
      <c r="LR138" s="192"/>
      <c r="LS138" s="389"/>
      <c r="LT138" s="390" t="str">
        <f t="shared" si="252"/>
        <v>2025//12//3</v>
      </c>
      <c r="LU138" s="390">
        <v>2597263</v>
      </c>
      <c r="LV138" s="390">
        <v>2601463</v>
      </c>
      <c r="LW138" s="414">
        <v>-4200</v>
      </c>
      <c r="LX138" s="415">
        <v>-0.0016</v>
      </c>
      <c r="LY138" s="192"/>
      <c r="LZ138" s="192"/>
      <c r="MA138" s="389"/>
      <c r="MB138" s="390" t="str">
        <f t="shared" si="253"/>
        <v>2025//12//3</v>
      </c>
      <c r="MC138" s="390">
        <v>866868</v>
      </c>
      <c r="MD138" s="390">
        <v>878468</v>
      </c>
      <c r="ME138" s="414">
        <v>-11600</v>
      </c>
      <c r="MF138" s="415">
        <v>-0.0132</v>
      </c>
      <c r="MG138" s="192"/>
      <c r="MH138" s="192"/>
      <c r="MI138" s="342"/>
      <c r="MJ138" s="341">
        <v>0.981</v>
      </c>
      <c r="MK138" s="341" t="str">
        <f t="shared" si="254"/>
        <v>2025//12//3</v>
      </c>
      <c r="ML138" s="341">
        <v>248986</v>
      </c>
      <c r="MM138" s="12">
        <f t="shared" si="388"/>
        <v>249346</v>
      </c>
      <c r="MN138" s="341">
        <v>-360</v>
      </c>
      <c r="MO138" s="350">
        <v>-0.0014</v>
      </c>
      <c r="MP138" s="192"/>
      <c r="MQ138" s="394"/>
      <c r="MR138" s="394"/>
      <c r="MS138" s="391"/>
      <c r="MT138" s="26" t="str">
        <f t="shared" si="255"/>
        <v>2025//12//3</v>
      </c>
      <c r="MX138" s="192"/>
      <c r="MY138" s="192"/>
      <c r="MZ138" s="192"/>
      <c r="NA138" s="192"/>
      <c r="NB138" s="192"/>
      <c r="NC138" s="8" t="str">
        <f t="shared" si="256"/>
        <v>2025//12//3</v>
      </c>
      <c r="NG138" s="192"/>
      <c r="NH138" s="192"/>
      <c r="NI138" s="192"/>
      <c r="NJ138" s="192"/>
      <c r="NK138" s="192"/>
      <c r="NL138" s="8"/>
      <c r="NM138" s="8" t="str">
        <f t="shared" si="257"/>
        <v>2025//12//3</v>
      </c>
      <c r="NQ138" s="192"/>
      <c r="NR138" s="192"/>
      <c r="NS138" s="8"/>
      <c r="NU138" s="8" t="str">
        <f t="shared" si="258"/>
        <v>2025//12//3</v>
      </c>
      <c r="NV138" s="389"/>
      <c r="NW138" s="389"/>
      <c r="NX138" s="389"/>
      <c r="NY138" s="391"/>
      <c r="NZ138" s="391"/>
      <c r="OA138" s="389"/>
      <c r="OB138" s="389"/>
      <c r="OC138" s="390" t="str">
        <f t="shared" si="259"/>
        <v>2025//12//3</v>
      </c>
      <c r="OD138" s="390">
        <v>17492</v>
      </c>
      <c r="OE138" s="390">
        <v>17465</v>
      </c>
      <c r="OF138" s="416">
        <v>27</v>
      </c>
      <c r="OG138" s="417">
        <v>0.0015</v>
      </c>
      <c r="OH138" s="192"/>
      <c r="OI138" s="192"/>
      <c r="OJ138" s="389"/>
      <c r="OK138" s="390" t="str">
        <f t="shared" si="260"/>
        <v>2025//12//3</v>
      </c>
      <c r="OO138" s="192"/>
      <c r="OP138" s="192"/>
      <c r="OQ138" s="192"/>
      <c r="OT138" s="26" t="str">
        <f t="shared" si="407"/>
        <v>2025//12//3</v>
      </c>
      <c r="OU138" s="206">
        <v>134592.4066</v>
      </c>
      <c r="OV138" s="8">
        <f t="shared" si="401"/>
        <v>134472.4066</v>
      </c>
      <c r="OW138" s="191">
        <f t="shared" si="402"/>
        <v>120</v>
      </c>
      <c r="OX138" s="192">
        <f t="shared" si="403"/>
        <v>0.000892376384375648</v>
      </c>
    </row>
    <row r="139" s="8" customFormat="1" ht="17" customHeight="1" spans="1:414">
      <c r="A139" s="15"/>
      <c r="B139" s="15"/>
      <c r="C139" s="385" t="s">
        <v>568</v>
      </c>
      <c r="D139" s="395">
        <v>8976109</v>
      </c>
      <c r="E139" s="395">
        <v>8981959</v>
      </c>
      <c r="F139" s="403">
        <v>-5850</v>
      </c>
      <c r="G139" s="404">
        <v>-0.0007</v>
      </c>
      <c r="H139" s="18"/>
      <c r="I139" s="453"/>
      <c r="J139" s="453"/>
      <c r="K139" s="386" t="str">
        <f t="shared" si="212"/>
        <v>2025//12//2</v>
      </c>
      <c r="L139" s="395">
        <v>6629734</v>
      </c>
      <c r="M139" s="395">
        <v>6631264</v>
      </c>
      <c r="N139" s="403">
        <v>-1530</v>
      </c>
      <c r="O139" s="404">
        <v>-0.0002</v>
      </c>
      <c r="P139" s="18"/>
      <c r="Q139" s="453"/>
      <c r="R139" s="454"/>
      <c r="S139" s="386" t="str">
        <f t="shared" si="213"/>
        <v>2025//12//2</v>
      </c>
      <c r="T139" s="395">
        <v>5739547</v>
      </c>
      <c r="U139" s="395">
        <v>5745847</v>
      </c>
      <c r="V139" s="403">
        <v>-6300</v>
      </c>
      <c r="W139" s="404">
        <v>-0.0011</v>
      </c>
      <c r="X139" s="18"/>
      <c r="Y139" s="453"/>
      <c r="Z139" s="454"/>
      <c r="AA139" s="386" t="str">
        <f t="shared" si="214"/>
        <v>2025//12//2</v>
      </c>
      <c r="AB139" s="395">
        <v>1836097</v>
      </c>
      <c r="AC139" s="395">
        <v>1844137</v>
      </c>
      <c r="AD139" s="403">
        <v>-8040</v>
      </c>
      <c r="AE139" s="404">
        <v>-0.0044</v>
      </c>
      <c r="AF139" s="18"/>
      <c r="AG139" s="453"/>
      <c r="AH139" s="454"/>
      <c r="AI139" s="386" t="str">
        <f t="shared" si="215"/>
        <v>2025//12//2</v>
      </c>
      <c r="AJ139" s="395">
        <v>2465522</v>
      </c>
      <c r="AK139" s="386">
        <v>2472722</v>
      </c>
      <c r="AL139" s="403">
        <v>-7200</v>
      </c>
      <c r="AM139" s="404">
        <v>-0.0029</v>
      </c>
      <c r="AN139" s="18"/>
      <c r="AO139" s="18"/>
      <c r="AP139" s="454"/>
      <c r="AQ139" s="386" t="str">
        <f t="shared" si="216"/>
        <v>2025//12//2</v>
      </c>
      <c r="AR139" s="418">
        <v>3183845</v>
      </c>
      <c r="AS139" s="395">
        <v>3186745</v>
      </c>
      <c r="AT139" s="403">
        <v>-2900</v>
      </c>
      <c r="AU139" s="404">
        <v>-0.0009</v>
      </c>
      <c r="AV139" s="18"/>
      <c r="AW139" s="18"/>
      <c r="AX139" s="17"/>
      <c r="AY139" s="17"/>
      <c r="AZ139" s="17" t="str">
        <f t="shared" si="217"/>
        <v>2025//12//2</v>
      </c>
      <c r="BA139" s="17"/>
      <c r="BB139" s="17"/>
      <c r="BC139" s="17"/>
      <c r="BD139" s="18"/>
      <c r="BE139" s="18"/>
      <c r="BF139" s="18"/>
      <c r="BG139" s="74"/>
      <c r="BH139" s="387" t="str">
        <f t="shared" si="218"/>
        <v>2025//12//2</v>
      </c>
      <c r="BI139" s="387">
        <v>150927</v>
      </c>
      <c r="BJ139" s="387">
        <v>148527</v>
      </c>
      <c r="BK139" s="421">
        <v>2400</v>
      </c>
      <c r="BL139" s="422">
        <v>0.0162</v>
      </c>
      <c r="BM139" s="197"/>
      <c r="BN139" s="192"/>
      <c r="BO139" s="389"/>
      <c r="BP139" s="390" t="str">
        <f t="shared" si="219"/>
        <v>2025//12//2</v>
      </c>
      <c r="BQ139" s="392">
        <v>647262</v>
      </c>
      <c r="BR139" s="390">
        <v>644362</v>
      </c>
      <c r="BS139" s="416">
        <v>2900</v>
      </c>
      <c r="BT139" s="417">
        <v>0.0045</v>
      </c>
      <c r="BU139" s="192"/>
      <c r="BV139" s="192"/>
      <c r="BW139" s="389"/>
      <c r="BX139" s="390" t="str">
        <f t="shared" si="220"/>
        <v>2025//12//2</v>
      </c>
      <c r="BY139" s="390">
        <v>2207961</v>
      </c>
      <c r="BZ139" s="390">
        <v>2259111</v>
      </c>
      <c r="CA139" s="414">
        <v>-51150</v>
      </c>
      <c r="CB139" s="415">
        <v>-0.0226</v>
      </c>
      <c r="CC139" s="192"/>
      <c r="CD139" s="409"/>
      <c r="CE139" s="389"/>
      <c r="CF139" s="390" t="str">
        <f t="shared" si="221"/>
        <v>2025//12//2</v>
      </c>
      <c r="CG139" s="390">
        <v>928204</v>
      </c>
      <c r="CH139" s="12">
        <f t="shared" si="289"/>
        <v>926404</v>
      </c>
      <c r="CI139" s="12">
        <f t="shared" si="290"/>
        <v>1800</v>
      </c>
      <c r="CJ139" s="199">
        <f t="shared" si="291"/>
        <v>0.00194299679189641</v>
      </c>
      <c r="CK139" s="192"/>
      <c r="CL139" s="391"/>
      <c r="CM139" s="389"/>
      <c r="CN139" s="390" t="str">
        <f t="shared" si="222"/>
        <v>2025//12//2</v>
      </c>
      <c r="CO139" s="390">
        <v>130546</v>
      </c>
      <c r="CP139" s="390">
        <v>124946</v>
      </c>
      <c r="CQ139" s="12">
        <f t="shared" si="293"/>
        <v>5600</v>
      </c>
      <c r="CR139" s="199">
        <f t="shared" si="294"/>
        <v>0.0448193619643686</v>
      </c>
      <c r="CS139" s="391"/>
      <c r="CT139" s="391"/>
      <c r="CU139" s="389"/>
      <c r="CV139" s="390" t="str">
        <f t="shared" si="223"/>
        <v>2025//12//2</v>
      </c>
      <c r="CW139" s="390">
        <v>694640</v>
      </c>
      <c r="CX139" s="390">
        <v>703390</v>
      </c>
      <c r="CY139" s="414">
        <v>-8750</v>
      </c>
      <c r="CZ139" s="415">
        <v>-0.0124</v>
      </c>
      <c r="DA139" s="192"/>
      <c r="DB139" s="192"/>
      <c r="DC139" s="277"/>
      <c r="DD139" s="390" t="str">
        <f t="shared" si="224"/>
        <v>2025//12//2</v>
      </c>
      <c r="DE139" s="390">
        <v>852918</v>
      </c>
      <c r="DF139" s="12">
        <f t="shared" si="298"/>
        <v>852318</v>
      </c>
      <c r="DG139" s="416">
        <v>300</v>
      </c>
      <c r="DH139" s="417">
        <v>0.0007</v>
      </c>
      <c r="DI139" s="192"/>
      <c r="DJ139" s="192"/>
      <c r="DK139" s="389"/>
      <c r="DL139" s="390" t="str">
        <f t="shared" si="225"/>
        <v>2025//12//2</v>
      </c>
      <c r="DM139" s="390">
        <v>1507100</v>
      </c>
      <c r="DN139" s="390">
        <v>1494700</v>
      </c>
      <c r="DO139" s="416">
        <v>12400</v>
      </c>
      <c r="DP139" s="417">
        <v>0.0083</v>
      </c>
      <c r="DQ139" s="192"/>
      <c r="DR139" s="192"/>
      <c r="DS139" s="389"/>
      <c r="DT139" s="390" t="str">
        <f t="shared" si="226"/>
        <v>2025//12//2</v>
      </c>
      <c r="DU139" s="390">
        <v>1665989</v>
      </c>
      <c r="DV139" s="390">
        <v>1666889</v>
      </c>
      <c r="DW139" s="414">
        <v>-900</v>
      </c>
      <c r="DX139" s="415">
        <v>-0.0005</v>
      </c>
      <c r="DY139" s="192"/>
      <c r="DZ139" s="192"/>
      <c r="EA139" s="389"/>
      <c r="EB139" s="390" t="str">
        <f t="shared" si="227"/>
        <v>2025//12//2</v>
      </c>
      <c r="EC139" s="390">
        <v>5155017</v>
      </c>
      <c r="ED139" s="390">
        <v>5153217</v>
      </c>
      <c r="EE139" s="416">
        <v>1800</v>
      </c>
      <c r="EF139" s="417">
        <v>0.0003</v>
      </c>
      <c r="EG139" s="192"/>
      <c r="EH139" s="192"/>
      <c r="EI139" s="389"/>
      <c r="EJ139" s="390" t="str">
        <f t="shared" si="228"/>
        <v>2025//12//2</v>
      </c>
      <c r="EK139" s="390">
        <v>1579123</v>
      </c>
      <c r="EL139" s="390">
        <v>1574523</v>
      </c>
      <c r="EM139" s="416">
        <v>4600</v>
      </c>
      <c r="EN139" s="417">
        <v>0.0029</v>
      </c>
      <c r="EO139" s="192"/>
      <c r="EP139" s="192"/>
      <c r="EQ139" s="340"/>
      <c r="ER139" s="341" t="str">
        <f t="shared" si="229"/>
        <v>2025//12//2</v>
      </c>
      <c r="ES139" s="341">
        <v>520247</v>
      </c>
      <c r="ET139" s="341">
        <v>520247</v>
      </c>
      <c r="EU139" s="341">
        <v>0</v>
      </c>
      <c r="EV139" s="350">
        <v>0</v>
      </c>
      <c r="EW139" s="192"/>
      <c r="EX139" s="192"/>
      <c r="EY139" s="389"/>
      <c r="EZ139" s="390" t="str">
        <f t="shared" si="230"/>
        <v>2025//12//2</v>
      </c>
      <c r="FA139" s="390">
        <v>1176108</v>
      </c>
      <c r="FB139" s="390">
        <v>1189208</v>
      </c>
      <c r="FC139" s="414">
        <v>-13100</v>
      </c>
      <c r="FD139" s="415">
        <v>-0.011</v>
      </c>
      <c r="FE139" s="192"/>
      <c r="FF139" s="192"/>
      <c r="FG139" s="192"/>
      <c r="FH139" s="390" t="str">
        <f t="shared" si="231"/>
        <v>2025//12//2</v>
      </c>
      <c r="FI139" s="392">
        <v>134495</v>
      </c>
      <c r="FJ139" s="390">
        <v>131595</v>
      </c>
      <c r="FK139" s="348">
        <v>2900</v>
      </c>
      <c r="FL139" s="349">
        <v>0.022</v>
      </c>
      <c r="FM139" s="391"/>
      <c r="FN139" s="391"/>
      <c r="FO139" s="389"/>
      <c r="FP139" s="390" t="str">
        <f t="shared" si="232"/>
        <v>2025//12//2</v>
      </c>
      <c r="FQ139" s="390">
        <v>2542619</v>
      </c>
      <c r="FR139" s="390">
        <v>2523269</v>
      </c>
      <c r="FS139" s="416">
        <v>19350</v>
      </c>
      <c r="FT139" s="417">
        <v>0.0077</v>
      </c>
      <c r="FU139" s="192"/>
      <c r="FV139" s="192"/>
      <c r="FW139" s="389"/>
      <c r="FX139" s="390" t="str">
        <f t="shared" si="233"/>
        <v>2025//12//2</v>
      </c>
      <c r="FY139" s="390">
        <v>7318782</v>
      </c>
      <c r="FZ139" s="390">
        <v>7285682</v>
      </c>
      <c r="GA139" s="416">
        <v>33100</v>
      </c>
      <c r="GB139" s="417">
        <v>0.0045</v>
      </c>
      <c r="GC139" s="192"/>
      <c r="GD139" s="192"/>
      <c r="GE139" s="389"/>
      <c r="GF139" s="390" t="str">
        <f t="shared" si="234"/>
        <v>2025//12//2</v>
      </c>
      <c r="GG139" s="390">
        <v>4430969</v>
      </c>
      <c r="GH139" s="390">
        <v>4393769</v>
      </c>
      <c r="GI139" s="416">
        <v>37200</v>
      </c>
      <c r="GJ139" s="417">
        <v>0.0085</v>
      </c>
      <c r="GK139" s="192"/>
      <c r="GL139" s="192"/>
      <c r="GM139" s="389"/>
      <c r="GN139" s="390" t="str">
        <f t="shared" si="235"/>
        <v>2025//12//2</v>
      </c>
      <c r="GO139" s="390">
        <v>1516318</v>
      </c>
      <c r="GP139" s="390">
        <v>1511998</v>
      </c>
      <c r="GQ139" s="416">
        <v>4320</v>
      </c>
      <c r="GR139" s="417">
        <v>0.0029</v>
      </c>
      <c r="GS139" s="192"/>
      <c r="GT139" s="192"/>
      <c r="GU139" s="389"/>
      <c r="GV139" s="390" t="str">
        <f t="shared" si="236"/>
        <v>2025//12//2</v>
      </c>
      <c r="GW139" s="390">
        <v>1339149</v>
      </c>
      <c r="GX139" s="390">
        <v>1329749</v>
      </c>
      <c r="GY139" s="416">
        <v>9400</v>
      </c>
      <c r="GZ139" s="417">
        <v>0.0071</v>
      </c>
      <c r="HA139" s="192"/>
      <c r="HB139" s="192"/>
      <c r="HC139" s="389"/>
      <c r="HD139" s="390" t="str">
        <f t="shared" si="237"/>
        <v>2025//12//2</v>
      </c>
      <c r="HE139" s="390">
        <v>1431665</v>
      </c>
      <c r="HF139" s="390">
        <v>1433265</v>
      </c>
      <c r="HG139" s="414">
        <v>-1600</v>
      </c>
      <c r="HH139" s="415">
        <v>-0.0011</v>
      </c>
      <c r="HI139" s="391"/>
      <c r="HJ139" s="192"/>
      <c r="HK139" s="389"/>
      <c r="HL139" s="390" t="str">
        <f t="shared" si="238"/>
        <v>2025//12//2</v>
      </c>
      <c r="HM139" s="390">
        <v>200204</v>
      </c>
      <c r="HN139" s="390">
        <v>201004</v>
      </c>
      <c r="HO139" s="414">
        <v>-800</v>
      </c>
      <c r="HP139" s="415">
        <v>-0.004</v>
      </c>
      <c r="HQ139" s="192"/>
      <c r="HR139" s="192"/>
      <c r="HS139" s="389"/>
      <c r="HT139" s="390" t="str">
        <f t="shared" si="239"/>
        <v>2025//12//2</v>
      </c>
      <c r="HU139" s="390">
        <v>143069</v>
      </c>
      <c r="HV139" s="390">
        <v>145469</v>
      </c>
      <c r="HW139" s="414">
        <v>-2400</v>
      </c>
      <c r="HX139" s="415">
        <v>-0.0165</v>
      </c>
      <c r="HY139" s="192"/>
      <c r="HZ139" s="192"/>
      <c r="IA139" s="389"/>
      <c r="IB139" s="390" t="str">
        <f t="shared" si="240"/>
        <v>2025//12//2</v>
      </c>
      <c r="IC139" s="390"/>
      <c r="ID139" s="390"/>
      <c r="IE139" s="390"/>
      <c r="IF139" s="391"/>
      <c r="IG139" s="391"/>
      <c r="IH139" s="192"/>
      <c r="II139" s="389"/>
      <c r="IJ139" s="390" t="str">
        <f t="shared" si="241"/>
        <v>2025//12//2</v>
      </c>
      <c r="IK139" s="390">
        <v>419676</v>
      </c>
      <c r="IL139" s="390">
        <v>420076</v>
      </c>
      <c r="IM139" s="414">
        <v>-400</v>
      </c>
      <c r="IN139" s="415">
        <v>-0.001</v>
      </c>
      <c r="IO139" s="192"/>
      <c r="IP139" s="192"/>
      <c r="IQ139" s="389"/>
      <c r="IR139" s="390" t="str">
        <f t="shared" si="242"/>
        <v>2025//12//2</v>
      </c>
      <c r="IS139" s="390">
        <v>119789</v>
      </c>
      <c r="IT139" s="390">
        <v>119789</v>
      </c>
      <c r="IU139" s="410">
        <v>0</v>
      </c>
      <c r="IV139" s="409">
        <v>0</v>
      </c>
      <c r="IW139" s="192"/>
      <c r="IX139" s="192"/>
      <c r="IY139" s="389"/>
      <c r="IZ139" s="390" t="str">
        <f t="shared" si="243"/>
        <v>2025//12//2</v>
      </c>
      <c r="JA139" s="390">
        <v>5000829</v>
      </c>
      <c r="JB139" s="390">
        <v>4990329</v>
      </c>
      <c r="JC139" s="416">
        <v>10500</v>
      </c>
      <c r="JD139" s="417">
        <v>0.0021</v>
      </c>
      <c r="JE139" s="192"/>
      <c r="JF139" s="192"/>
      <c r="JG139" s="389"/>
      <c r="JH139" s="390" t="str">
        <f t="shared" si="244"/>
        <v>2025//12//2</v>
      </c>
      <c r="JI139" s="390">
        <v>2128588</v>
      </c>
      <c r="JJ139" s="390">
        <v>2137648</v>
      </c>
      <c r="JK139" s="414">
        <v>-9060</v>
      </c>
      <c r="JL139" s="415">
        <v>-0.0042</v>
      </c>
      <c r="JM139" s="192"/>
      <c r="JN139" s="192"/>
      <c r="JO139" s="192"/>
      <c r="JP139" s="390" t="str">
        <f t="shared" si="245"/>
        <v>2025//12//2</v>
      </c>
      <c r="JQ139" s="390">
        <v>1154490</v>
      </c>
      <c r="JR139" s="390">
        <v>1143590</v>
      </c>
      <c r="JS139" s="416">
        <v>10900</v>
      </c>
      <c r="JT139" s="417">
        <v>0.0095</v>
      </c>
      <c r="JU139" s="192"/>
      <c r="JV139" s="192"/>
      <c r="JW139" s="409"/>
      <c r="JX139" s="390" t="str">
        <f t="shared" si="246"/>
        <v>2025//12//2</v>
      </c>
      <c r="JY139" s="390">
        <v>1508249</v>
      </c>
      <c r="JZ139" s="390">
        <v>1508049</v>
      </c>
      <c r="KA139" s="416">
        <v>200</v>
      </c>
      <c r="KB139" s="417">
        <v>0.0001</v>
      </c>
      <c r="KC139" s="192"/>
      <c r="KD139" s="192"/>
      <c r="KE139" s="409"/>
      <c r="KF139" s="390" t="str">
        <f t="shared" si="247"/>
        <v>2025//12//2</v>
      </c>
      <c r="KG139" s="390">
        <v>904756</v>
      </c>
      <c r="KH139" s="390">
        <v>904756</v>
      </c>
      <c r="KI139" s="410">
        <v>0</v>
      </c>
      <c r="KJ139" s="409">
        <v>0</v>
      </c>
      <c r="KK139" s="391"/>
      <c r="KL139" s="391"/>
      <c r="KM139" s="389"/>
      <c r="KN139" s="390" t="str">
        <f t="shared" si="248"/>
        <v>2025//12//2</v>
      </c>
      <c r="KO139" s="390">
        <v>6341776</v>
      </c>
      <c r="KP139" s="390">
        <v>6341176</v>
      </c>
      <c r="KQ139" s="416">
        <v>600</v>
      </c>
      <c r="KR139" s="417">
        <v>0.0001</v>
      </c>
      <c r="KS139" s="192"/>
      <c r="KT139" s="192"/>
      <c r="KU139" s="389"/>
      <c r="KV139" s="390" t="str">
        <f t="shared" si="249"/>
        <v>2025//12//2</v>
      </c>
      <c r="KW139" s="390">
        <v>997573</v>
      </c>
      <c r="KX139" s="390">
        <v>988573</v>
      </c>
      <c r="KY139" s="390">
        <v>9000</v>
      </c>
      <c r="KZ139" s="391">
        <v>0.0091</v>
      </c>
      <c r="LA139" s="391"/>
      <c r="LB139" s="192"/>
      <c r="LC139" s="389"/>
      <c r="LD139" s="390" t="str">
        <f t="shared" si="250"/>
        <v>2025//12//2</v>
      </c>
      <c r="LE139" s="390">
        <v>487408</v>
      </c>
      <c r="LF139" s="390">
        <v>488358</v>
      </c>
      <c r="LG139" s="414">
        <v>-950</v>
      </c>
      <c r="LH139" s="415">
        <v>-0.0019</v>
      </c>
      <c r="LI139" s="192"/>
      <c r="LJ139" s="192"/>
      <c r="LK139" s="389"/>
      <c r="LL139" s="390" t="str">
        <f t="shared" si="251"/>
        <v>2025//12//2</v>
      </c>
      <c r="LM139" s="392">
        <v>3779215</v>
      </c>
      <c r="LN139" s="390">
        <v>3773635</v>
      </c>
      <c r="LO139" s="416">
        <v>5580</v>
      </c>
      <c r="LP139" s="417">
        <v>0.0015</v>
      </c>
      <c r="LQ139" s="192"/>
      <c r="LR139" s="192"/>
      <c r="LS139" s="389"/>
      <c r="LT139" s="390" t="str">
        <f t="shared" si="252"/>
        <v>2025//12//2</v>
      </c>
      <c r="LU139" s="390">
        <v>2601463</v>
      </c>
      <c r="LV139" s="390">
        <v>2588463</v>
      </c>
      <c r="LW139" s="416">
        <v>13000</v>
      </c>
      <c r="LX139" s="417">
        <v>0.005</v>
      </c>
      <c r="LY139" s="192"/>
      <c r="LZ139" s="192"/>
      <c r="MA139" s="389"/>
      <c r="MB139" s="390" t="str">
        <f t="shared" si="253"/>
        <v>2025//12//2</v>
      </c>
      <c r="MC139" s="390">
        <v>878468</v>
      </c>
      <c r="MD139" s="390">
        <v>895118</v>
      </c>
      <c r="ME139" s="414">
        <v>-16650</v>
      </c>
      <c r="MF139" s="415">
        <v>-0.0186</v>
      </c>
      <c r="MG139" s="192"/>
      <c r="MH139" s="192"/>
      <c r="MI139" s="342"/>
      <c r="MJ139" s="341">
        <v>0.9977</v>
      </c>
      <c r="MK139" s="341" t="str">
        <f t="shared" si="254"/>
        <v>2025//12//2</v>
      </c>
      <c r="ML139" s="341">
        <v>249346</v>
      </c>
      <c r="MM139" s="12">
        <f t="shared" si="388"/>
        <v>250426</v>
      </c>
      <c r="MN139" s="341">
        <v>-1080</v>
      </c>
      <c r="MO139" s="350">
        <v>-0.0043</v>
      </c>
      <c r="MP139" s="192"/>
      <c r="MQ139" s="394"/>
      <c r="MR139" s="394"/>
      <c r="MS139" s="391"/>
      <c r="MT139" s="26" t="str">
        <f t="shared" si="255"/>
        <v>2025//12//2</v>
      </c>
      <c r="MX139" s="192"/>
      <c r="MY139" s="192"/>
      <c r="MZ139" s="192"/>
      <c r="NA139" s="192"/>
      <c r="NB139" s="192"/>
      <c r="NC139" s="8" t="str">
        <f t="shared" si="256"/>
        <v>2025//12//2</v>
      </c>
      <c r="NG139" s="192"/>
      <c r="NH139" s="192"/>
      <c r="NI139" s="192"/>
      <c r="NJ139" s="192"/>
      <c r="NK139" s="192"/>
      <c r="NL139" s="8"/>
      <c r="NM139" s="8" t="str">
        <f t="shared" si="257"/>
        <v>2025//12//2</v>
      </c>
      <c r="NQ139" s="192"/>
      <c r="NR139" s="192"/>
      <c r="NS139" s="8"/>
      <c r="NU139" s="8" t="str">
        <f t="shared" si="258"/>
        <v>2025//12//2</v>
      </c>
      <c r="NV139" s="389"/>
      <c r="NW139" s="389"/>
      <c r="NX139" s="389"/>
      <c r="NY139" s="391"/>
      <c r="NZ139" s="391"/>
      <c r="OA139" s="389"/>
      <c r="OB139" s="389"/>
      <c r="OC139" s="390" t="str">
        <f t="shared" si="259"/>
        <v>2025//12//2</v>
      </c>
      <c r="OD139" s="390">
        <v>17465</v>
      </c>
      <c r="OE139" s="390">
        <v>17607</v>
      </c>
      <c r="OF139" s="414">
        <v>-142</v>
      </c>
      <c r="OG139" s="415">
        <v>-0.0081</v>
      </c>
      <c r="OH139" s="192"/>
      <c r="OI139" s="192"/>
      <c r="OJ139" s="389"/>
      <c r="OK139" s="390" t="str">
        <f t="shared" si="260"/>
        <v>2025//12//2</v>
      </c>
      <c r="OM139" s="8">
        <f>OL140</f>
        <v>11426.65</v>
      </c>
      <c r="OO139" s="192"/>
      <c r="OP139" s="192"/>
      <c r="OQ139" s="192"/>
      <c r="OT139" s="26" t="str">
        <f t="shared" si="407"/>
        <v>2025//12//2</v>
      </c>
      <c r="OU139" s="206">
        <v>134472.4066</v>
      </c>
      <c r="OV139" s="8">
        <f t="shared" si="401"/>
        <v>134352.4066</v>
      </c>
      <c r="OW139" s="191">
        <f t="shared" si="402"/>
        <v>120</v>
      </c>
      <c r="OX139" s="192">
        <f t="shared" si="403"/>
        <v>0.00089317343125285</v>
      </c>
    </row>
    <row r="140" s="8" customFormat="1" ht="17" customHeight="1" spans="1:414">
      <c r="A140" s="15"/>
      <c r="B140" s="15"/>
      <c r="C140" s="385" t="s">
        <v>569</v>
      </c>
      <c r="D140" s="395">
        <v>8981959</v>
      </c>
      <c r="E140" s="395">
        <v>9012289</v>
      </c>
      <c r="F140" s="403">
        <v>-30330</v>
      </c>
      <c r="G140" s="404">
        <v>-0.0034</v>
      </c>
      <c r="H140" s="18"/>
      <c r="I140" s="453"/>
      <c r="J140" s="453"/>
      <c r="K140" s="386" t="str">
        <f t="shared" si="212"/>
        <v>2025//12//1</v>
      </c>
      <c r="L140" s="395">
        <v>6631264</v>
      </c>
      <c r="M140" s="395">
        <v>6635224</v>
      </c>
      <c r="N140" s="403">
        <v>-3960</v>
      </c>
      <c r="O140" s="404">
        <v>-0.0006</v>
      </c>
      <c r="P140" s="18"/>
      <c r="Q140" s="453"/>
      <c r="R140" s="454"/>
      <c r="S140" s="386" t="str">
        <f t="shared" si="213"/>
        <v>2025//12//1</v>
      </c>
      <c r="T140" s="395">
        <v>5745847</v>
      </c>
      <c r="U140" s="395">
        <v>5795077</v>
      </c>
      <c r="V140" s="403">
        <v>-49230</v>
      </c>
      <c r="W140" s="404">
        <v>-0.0085</v>
      </c>
      <c r="X140" s="18"/>
      <c r="Y140" s="453"/>
      <c r="Z140" s="454"/>
      <c r="AA140" s="386" t="str">
        <f t="shared" si="214"/>
        <v>2025//12//1</v>
      </c>
      <c r="AB140" s="395">
        <v>1844137</v>
      </c>
      <c r="AC140" s="395">
        <v>1840537</v>
      </c>
      <c r="AD140" s="459">
        <v>3600</v>
      </c>
      <c r="AE140" s="460">
        <v>0.002</v>
      </c>
      <c r="AF140" s="18"/>
      <c r="AG140" s="453"/>
      <c r="AH140" s="454"/>
      <c r="AI140" s="386" t="str">
        <f t="shared" si="215"/>
        <v>2025//12//1</v>
      </c>
      <c r="AJ140" s="395">
        <v>2472722</v>
      </c>
      <c r="AK140" s="386">
        <v>2487722</v>
      </c>
      <c r="AL140" s="403">
        <v>-15000</v>
      </c>
      <c r="AM140" s="404">
        <v>-0.006</v>
      </c>
      <c r="AN140" s="18"/>
      <c r="AO140" s="18"/>
      <c r="AP140" s="454"/>
      <c r="AQ140" s="386" t="str">
        <f t="shared" si="216"/>
        <v>2025//12//1</v>
      </c>
      <c r="AR140" s="418">
        <v>3186745</v>
      </c>
      <c r="AS140" s="395">
        <v>3211545</v>
      </c>
      <c r="AT140" s="403">
        <v>-24800</v>
      </c>
      <c r="AU140" s="404">
        <v>-0.0077</v>
      </c>
      <c r="AV140" s="18"/>
      <c r="AW140" s="18"/>
      <c r="AX140" s="17"/>
      <c r="AY140" s="17"/>
      <c r="AZ140" s="17" t="str">
        <f t="shared" si="217"/>
        <v>2025//12//1</v>
      </c>
      <c r="BA140" s="17"/>
      <c r="BB140" s="17"/>
      <c r="BC140" s="17"/>
      <c r="BD140" s="18"/>
      <c r="BE140" s="18"/>
      <c r="BF140" s="18"/>
      <c r="BG140" s="74"/>
      <c r="BH140" s="387" t="str">
        <f t="shared" si="218"/>
        <v>2025//12//1</v>
      </c>
      <c r="BI140" s="387">
        <v>148527</v>
      </c>
      <c r="BJ140" s="387">
        <v>143627</v>
      </c>
      <c r="BK140" s="421">
        <v>4900</v>
      </c>
      <c r="BL140" s="422">
        <v>0.0341</v>
      </c>
      <c r="BM140" s="197"/>
      <c r="BN140" s="192"/>
      <c r="BO140" s="389"/>
      <c r="BP140" s="390" t="str">
        <f t="shared" si="219"/>
        <v>2025//12//1</v>
      </c>
      <c r="BQ140" s="392">
        <v>644362</v>
      </c>
      <c r="BR140" s="390">
        <v>643662</v>
      </c>
      <c r="BS140" s="416">
        <v>700</v>
      </c>
      <c r="BT140" s="417">
        <v>0.0011</v>
      </c>
      <c r="BU140" s="192"/>
      <c r="BV140" s="192"/>
      <c r="BW140" s="389"/>
      <c r="BX140" s="390" t="str">
        <f t="shared" si="220"/>
        <v>2025//12//1</v>
      </c>
      <c r="BY140" s="390">
        <v>2259111</v>
      </c>
      <c r="BZ140" s="390">
        <v>2270611</v>
      </c>
      <c r="CA140" s="414">
        <v>-11500</v>
      </c>
      <c r="CB140" s="415">
        <v>-0.0051</v>
      </c>
      <c r="CC140" s="192"/>
      <c r="CD140" s="409"/>
      <c r="CE140" s="389"/>
      <c r="CF140" s="390" t="str">
        <f t="shared" si="221"/>
        <v>2025//12//1</v>
      </c>
      <c r="CG140" s="390">
        <v>926404</v>
      </c>
      <c r="CH140" s="12">
        <f t="shared" si="289"/>
        <v>919604</v>
      </c>
      <c r="CI140" s="12">
        <f t="shared" si="290"/>
        <v>6800</v>
      </c>
      <c r="CJ140" s="199">
        <f t="shared" si="291"/>
        <v>0.00739448719231321</v>
      </c>
      <c r="CK140" s="192"/>
      <c r="CL140" s="391"/>
      <c r="CM140" s="389"/>
      <c r="CN140" s="390" t="str">
        <f t="shared" si="222"/>
        <v>2025//12//1</v>
      </c>
      <c r="CO140" s="390">
        <v>124946</v>
      </c>
      <c r="CP140" s="390">
        <v>125546</v>
      </c>
      <c r="CQ140" s="12">
        <f t="shared" si="293"/>
        <v>-600</v>
      </c>
      <c r="CR140" s="199">
        <f t="shared" si="294"/>
        <v>-0.00477912478294808</v>
      </c>
      <c r="CS140" s="391"/>
      <c r="CT140" s="391"/>
      <c r="CU140" s="389"/>
      <c r="CV140" s="390" t="str">
        <f t="shared" si="223"/>
        <v>2025//12//1</v>
      </c>
      <c r="CW140" s="390">
        <v>703390</v>
      </c>
      <c r="CX140" s="390">
        <v>712340</v>
      </c>
      <c r="CY140" s="414">
        <v>-8950</v>
      </c>
      <c r="CZ140" s="415">
        <v>-0.0126</v>
      </c>
      <c r="DA140" s="192"/>
      <c r="DB140" s="192"/>
      <c r="DC140" s="277"/>
      <c r="DD140" s="390" t="str">
        <f t="shared" si="224"/>
        <v>2025//12//1</v>
      </c>
      <c r="DE140" s="390">
        <v>852318</v>
      </c>
      <c r="DF140" s="12">
        <f t="shared" si="298"/>
        <v>848118</v>
      </c>
      <c r="DG140" s="416">
        <v>2100</v>
      </c>
      <c r="DH140" s="417">
        <v>0.005</v>
      </c>
      <c r="DI140" s="192"/>
      <c r="DJ140" s="192"/>
      <c r="DK140" s="389"/>
      <c r="DL140" s="390" t="str">
        <f t="shared" si="225"/>
        <v>2025//12//1</v>
      </c>
      <c r="DM140" s="390">
        <v>1494700</v>
      </c>
      <c r="DN140" s="390">
        <v>1513100</v>
      </c>
      <c r="DO140" s="414">
        <v>-18400</v>
      </c>
      <c r="DP140" s="415">
        <v>-0.0122</v>
      </c>
      <c r="DQ140" s="192"/>
      <c r="DR140" s="192"/>
      <c r="DS140" s="389"/>
      <c r="DT140" s="390" t="str">
        <f t="shared" si="226"/>
        <v>2025//12//1</v>
      </c>
      <c r="DU140" s="390">
        <v>1666889</v>
      </c>
      <c r="DV140" s="390">
        <v>1667189</v>
      </c>
      <c r="DW140" s="414">
        <v>-300</v>
      </c>
      <c r="DX140" s="415">
        <v>-0.0002</v>
      </c>
      <c r="DY140" s="192"/>
      <c r="DZ140" s="192"/>
      <c r="EA140" s="389"/>
      <c r="EB140" s="390" t="str">
        <f t="shared" si="227"/>
        <v>2025//12//1</v>
      </c>
      <c r="EC140" s="390">
        <v>5153217</v>
      </c>
      <c r="ED140" s="390">
        <v>5148267</v>
      </c>
      <c r="EE140" s="416">
        <v>4950</v>
      </c>
      <c r="EF140" s="417">
        <v>0.001</v>
      </c>
      <c r="EG140" s="192"/>
      <c r="EH140" s="192"/>
      <c r="EI140" s="389"/>
      <c r="EJ140" s="390" t="str">
        <f t="shared" si="228"/>
        <v>2025//12//1</v>
      </c>
      <c r="EK140" s="390">
        <v>1574523</v>
      </c>
      <c r="EL140" s="390">
        <v>1585123</v>
      </c>
      <c r="EM140" s="414">
        <v>-10600</v>
      </c>
      <c r="EN140" s="415">
        <v>-0.0067</v>
      </c>
      <c r="EO140" s="192"/>
      <c r="EP140" s="192"/>
      <c r="EQ140" s="340"/>
      <c r="ER140" s="341" t="str">
        <f t="shared" si="229"/>
        <v>2025//12//1</v>
      </c>
      <c r="ES140" s="341">
        <v>520247</v>
      </c>
      <c r="ET140" s="341">
        <v>522647</v>
      </c>
      <c r="EU140" s="341">
        <v>-2400</v>
      </c>
      <c r="EV140" s="350">
        <v>-0.0046</v>
      </c>
      <c r="EW140" s="192"/>
      <c r="EX140" s="192"/>
      <c r="EY140" s="389"/>
      <c r="EZ140" s="390" t="str">
        <f t="shared" si="230"/>
        <v>2025//12//1</v>
      </c>
      <c r="FA140" s="390">
        <v>1189208</v>
      </c>
      <c r="FB140" s="390">
        <v>1200408</v>
      </c>
      <c r="FC140" s="414">
        <v>-11200</v>
      </c>
      <c r="FD140" s="415">
        <v>-0.0093</v>
      </c>
      <c r="FE140" s="192"/>
      <c r="FF140" s="192"/>
      <c r="FG140" s="192"/>
      <c r="FH140" s="390" t="str">
        <f t="shared" si="231"/>
        <v>2025//12//1</v>
      </c>
      <c r="FI140" s="392">
        <v>131595</v>
      </c>
      <c r="FJ140" s="390">
        <v>131095</v>
      </c>
      <c r="FK140" s="348">
        <v>500</v>
      </c>
      <c r="FL140" s="349">
        <v>0.0038</v>
      </c>
      <c r="FM140" s="391"/>
      <c r="FN140" s="391"/>
      <c r="FO140" s="389"/>
      <c r="FP140" s="390" t="str">
        <f t="shared" si="232"/>
        <v>2025//12//1</v>
      </c>
      <c r="FQ140" s="390">
        <v>2523269</v>
      </c>
      <c r="FR140" s="390">
        <v>2536619</v>
      </c>
      <c r="FS140" s="414">
        <v>-13350</v>
      </c>
      <c r="FT140" s="415">
        <v>-0.0053</v>
      </c>
      <c r="FU140" s="192"/>
      <c r="FV140" s="192"/>
      <c r="FW140" s="389"/>
      <c r="FX140" s="390" t="str">
        <f t="shared" si="233"/>
        <v>2025//12//1</v>
      </c>
      <c r="FY140" s="390">
        <v>7285682</v>
      </c>
      <c r="FZ140" s="390">
        <v>7289782</v>
      </c>
      <c r="GA140" s="414">
        <v>-4100</v>
      </c>
      <c r="GB140" s="415">
        <v>-0.0006</v>
      </c>
      <c r="GC140" s="192"/>
      <c r="GD140" s="192"/>
      <c r="GE140" s="389"/>
      <c r="GF140" s="390" t="str">
        <f t="shared" si="234"/>
        <v>2025//12//1</v>
      </c>
      <c r="GG140" s="390">
        <v>4393769</v>
      </c>
      <c r="GH140" s="390">
        <v>4387969</v>
      </c>
      <c r="GI140" s="416">
        <v>5800</v>
      </c>
      <c r="GJ140" s="417">
        <v>0.0013</v>
      </c>
      <c r="GK140" s="192"/>
      <c r="GL140" s="192"/>
      <c r="GM140" s="389"/>
      <c r="GN140" s="390" t="str">
        <f t="shared" si="235"/>
        <v>2025//12//1</v>
      </c>
      <c r="GO140" s="390">
        <v>1511998</v>
      </c>
      <c r="GP140" s="390">
        <v>1499278</v>
      </c>
      <c r="GQ140" s="416">
        <v>12720</v>
      </c>
      <c r="GR140" s="417">
        <v>0.0085</v>
      </c>
      <c r="GS140" s="192"/>
      <c r="GT140" s="192"/>
      <c r="GU140" s="389"/>
      <c r="GV140" s="390" t="str">
        <f t="shared" si="236"/>
        <v>2025//12//1</v>
      </c>
      <c r="GW140" s="390">
        <v>1329749</v>
      </c>
      <c r="GX140" s="390">
        <v>1323349</v>
      </c>
      <c r="GY140" s="416">
        <v>6400</v>
      </c>
      <c r="GZ140" s="417">
        <v>0.0048</v>
      </c>
      <c r="HA140" s="192"/>
      <c r="HB140" s="192"/>
      <c r="HC140" s="389"/>
      <c r="HD140" s="390" t="str">
        <f t="shared" si="237"/>
        <v>2025//12//1</v>
      </c>
      <c r="HE140" s="390">
        <v>1433265</v>
      </c>
      <c r="HF140" s="390">
        <v>1439965</v>
      </c>
      <c r="HG140" s="414">
        <v>-6700</v>
      </c>
      <c r="HH140" s="415">
        <v>-0.0047</v>
      </c>
      <c r="HI140" s="391"/>
      <c r="HJ140" s="192"/>
      <c r="HK140" s="389"/>
      <c r="HL140" s="390" t="str">
        <f t="shared" si="238"/>
        <v>2025//12//1</v>
      </c>
      <c r="HM140" s="390">
        <v>201004</v>
      </c>
      <c r="HN140" s="390">
        <v>199554</v>
      </c>
      <c r="HO140" s="416">
        <v>1450</v>
      </c>
      <c r="HP140" s="417">
        <v>0.0073</v>
      </c>
      <c r="HQ140" s="192"/>
      <c r="HR140" s="192"/>
      <c r="HS140" s="389"/>
      <c r="HT140" s="390" t="str">
        <f t="shared" si="239"/>
        <v>2025//12//1</v>
      </c>
      <c r="HU140" s="390">
        <v>145469</v>
      </c>
      <c r="HV140" s="390">
        <v>150569</v>
      </c>
      <c r="HW140" s="414">
        <v>-5100</v>
      </c>
      <c r="HX140" s="415">
        <v>-0.0339</v>
      </c>
      <c r="HY140" s="192"/>
      <c r="HZ140" s="192"/>
      <c r="IA140" s="389"/>
      <c r="IB140" s="390" t="str">
        <f t="shared" si="240"/>
        <v>2025//12//1</v>
      </c>
      <c r="IC140" s="200">
        <v>355734.79</v>
      </c>
      <c r="ID140" s="200">
        <v>359309.79</v>
      </c>
      <c r="IE140" s="346">
        <f>IC140-ID140</f>
        <v>-3575</v>
      </c>
      <c r="IF140" s="347">
        <f>IE140/ID140</f>
        <v>-0.00994963148652309</v>
      </c>
      <c r="IG140" s="391"/>
      <c r="IH140" s="192"/>
      <c r="II140" s="389"/>
      <c r="IJ140" s="390" t="str">
        <f t="shared" si="241"/>
        <v>2025//12//1</v>
      </c>
      <c r="IK140" s="390">
        <v>420076</v>
      </c>
      <c r="IL140" s="390">
        <v>421036</v>
      </c>
      <c r="IM140" s="414">
        <v>-960</v>
      </c>
      <c r="IN140" s="415">
        <v>-0.0023</v>
      </c>
      <c r="IO140" s="192"/>
      <c r="IP140" s="192"/>
      <c r="IQ140" s="389"/>
      <c r="IR140" s="390" t="str">
        <f t="shared" si="242"/>
        <v>2025//12//1</v>
      </c>
      <c r="IS140" s="390">
        <v>119789</v>
      </c>
      <c r="IT140" s="390">
        <v>120389</v>
      </c>
      <c r="IU140" s="414">
        <v>-600</v>
      </c>
      <c r="IV140" s="415">
        <v>-0.005</v>
      </c>
      <c r="IW140" s="192"/>
      <c r="IX140" s="192"/>
      <c r="IY140" s="389"/>
      <c r="IZ140" s="390" t="str">
        <f t="shared" si="243"/>
        <v>2025//12//1</v>
      </c>
      <c r="JA140" s="390">
        <v>4990329</v>
      </c>
      <c r="JB140" s="390">
        <v>5040429</v>
      </c>
      <c r="JC140" s="414">
        <v>-50100</v>
      </c>
      <c r="JD140" s="415">
        <v>-0.0099</v>
      </c>
      <c r="JE140" s="192"/>
      <c r="JF140" s="192"/>
      <c r="JG140" s="389"/>
      <c r="JH140" s="390" t="str">
        <f t="shared" si="244"/>
        <v>2025//12//1</v>
      </c>
      <c r="JI140" s="390">
        <v>2137648</v>
      </c>
      <c r="JJ140" s="390">
        <v>2189488</v>
      </c>
      <c r="JK140" s="414">
        <v>-51840</v>
      </c>
      <c r="JL140" s="415">
        <v>-0.0237</v>
      </c>
      <c r="JM140" s="192"/>
      <c r="JN140" s="192"/>
      <c r="JO140" s="192"/>
      <c r="JP140" s="390" t="str">
        <f t="shared" si="245"/>
        <v>2025//12//1</v>
      </c>
      <c r="JQ140" s="390">
        <v>1143590</v>
      </c>
      <c r="JR140" s="390">
        <v>1139690</v>
      </c>
      <c r="JS140" s="416">
        <v>3900</v>
      </c>
      <c r="JT140" s="417">
        <v>0.0034</v>
      </c>
      <c r="JU140" s="192"/>
      <c r="JV140" s="192"/>
      <c r="JW140" s="409"/>
      <c r="JX140" s="390" t="str">
        <f t="shared" si="246"/>
        <v>2025//12//1</v>
      </c>
      <c r="JY140" s="390">
        <v>1508049</v>
      </c>
      <c r="JZ140" s="390">
        <v>1507849</v>
      </c>
      <c r="KA140" s="416">
        <v>200</v>
      </c>
      <c r="KB140" s="417">
        <v>0.0001</v>
      </c>
      <c r="KC140" s="192"/>
      <c r="KD140" s="192"/>
      <c r="KE140" s="409"/>
      <c r="KF140" s="390" t="str">
        <f t="shared" si="247"/>
        <v>2025//12//1</v>
      </c>
      <c r="KG140" s="390">
        <v>904756</v>
      </c>
      <c r="KH140" s="390">
        <v>904756</v>
      </c>
      <c r="KI140" s="410">
        <v>0</v>
      </c>
      <c r="KJ140" s="409">
        <v>0</v>
      </c>
      <c r="KK140" s="391"/>
      <c r="KL140" s="391"/>
      <c r="KM140" s="389"/>
      <c r="KN140" s="390" t="str">
        <f t="shared" si="248"/>
        <v>2025//12//1</v>
      </c>
      <c r="KO140" s="390">
        <v>6341176</v>
      </c>
      <c r="KP140" s="390">
        <v>6340576</v>
      </c>
      <c r="KQ140" s="416">
        <v>600</v>
      </c>
      <c r="KR140" s="417">
        <v>0.0001</v>
      </c>
      <c r="KS140" s="192"/>
      <c r="KT140" s="192"/>
      <c r="KU140" s="389"/>
      <c r="KV140" s="390" t="str">
        <f t="shared" si="249"/>
        <v>2025//12//1</v>
      </c>
      <c r="KW140" s="390">
        <v>988573</v>
      </c>
      <c r="KX140" s="390">
        <v>987973</v>
      </c>
      <c r="KY140" s="390">
        <v>600</v>
      </c>
      <c r="KZ140" s="391">
        <v>0.0006</v>
      </c>
      <c r="LA140" s="391"/>
      <c r="LB140" s="192"/>
      <c r="LC140" s="389"/>
      <c r="LD140" s="390" t="str">
        <f t="shared" si="250"/>
        <v>2025//12//1</v>
      </c>
      <c r="LE140" s="390">
        <v>488358</v>
      </c>
      <c r="LF140" s="390">
        <v>492308</v>
      </c>
      <c r="LG140" s="414">
        <v>-3950</v>
      </c>
      <c r="LH140" s="415">
        <v>-0.008</v>
      </c>
      <c r="LI140" s="192"/>
      <c r="LJ140" s="192"/>
      <c r="LK140" s="389"/>
      <c r="LL140" s="390" t="str">
        <f t="shared" si="251"/>
        <v>2025//12//1</v>
      </c>
      <c r="LM140" s="392">
        <v>3773635</v>
      </c>
      <c r="LN140" s="390">
        <v>3774355</v>
      </c>
      <c r="LO140" s="414">
        <v>-720</v>
      </c>
      <c r="LP140" s="415">
        <v>-0.0002</v>
      </c>
      <c r="LQ140" s="192"/>
      <c r="LR140" s="192"/>
      <c r="LS140" s="389"/>
      <c r="LT140" s="390" t="str">
        <f t="shared" si="252"/>
        <v>2025//12//1</v>
      </c>
      <c r="LU140" s="390">
        <v>2588463</v>
      </c>
      <c r="LV140" s="390">
        <v>2584063</v>
      </c>
      <c r="LW140" s="416">
        <v>4400</v>
      </c>
      <c r="LX140" s="417">
        <v>0.0017</v>
      </c>
      <c r="LY140" s="192"/>
      <c r="LZ140" s="192"/>
      <c r="MA140" s="389"/>
      <c r="MB140" s="390" t="str">
        <f t="shared" si="253"/>
        <v>2025//12//1</v>
      </c>
      <c r="MC140" s="390">
        <v>895118</v>
      </c>
      <c r="MD140" s="390">
        <v>894968</v>
      </c>
      <c r="ME140" s="416">
        <v>150</v>
      </c>
      <c r="MF140" s="417">
        <v>0.0002</v>
      </c>
      <c r="MG140" s="192"/>
      <c r="MH140" s="192"/>
      <c r="MI140" s="342"/>
      <c r="MJ140" s="341">
        <v>1.0117</v>
      </c>
      <c r="MK140" s="341" t="str">
        <f t="shared" si="254"/>
        <v>2025//12//1</v>
      </c>
      <c r="ML140" s="341">
        <v>250426</v>
      </c>
      <c r="MM140" s="12">
        <f t="shared" si="388"/>
        <v>253666</v>
      </c>
      <c r="MN140" s="341">
        <v>-3240</v>
      </c>
      <c r="MO140" s="350">
        <v>-0.0128</v>
      </c>
      <c r="MP140" s="192"/>
      <c r="MQ140" s="394"/>
      <c r="MR140" s="394"/>
      <c r="MS140" s="391"/>
      <c r="MT140" s="26" t="str">
        <f t="shared" si="255"/>
        <v>2025//12//1</v>
      </c>
      <c r="MX140" s="192"/>
      <c r="MY140" s="192"/>
      <c r="MZ140" s="192"/>
      <c r="NA140" s="192"/>
      <c r="NB140" s="192"/>
      <c r="NC140" s="8" t="str">
        <f t="shared" si="256"/>
        <v>2025//12//1</v>
      </c>
      <c r="NG140" s="192"/>
      <c r="NH140" s="192"/>
      <c r="NI140" s="192"/>
      <c r="NJ140" s="192"/>
      <c r="NK140" s="192"/>
      <c r="NL140" s="8"/>
      <c r="NM140" s="8" t="str">
        <f t="shared" si="257"/>
        <v>2025//12//1</v>
      </c>
      <c r="NQ140" s="192"/>
      <c r="NR140" s="192"/>
      <c r="NS140" s="8"/>
      <c r="NU140" s="8" t="str">
        <f t="shared" si="258"/>
        <v>2025//12//1</v>
      </c>
      <c r="NV140" s="389"/>
      <c r="NW140" s="389"/>
      <c r="NX140" s="389"/>
      <c r="NY140" s="391"/>
      <c r="NZ140" s="391"/>
      <c r="OA140" s="389"/>
      <c r="OB140" s="389"/>
      <c r="OC140" s="390" t="str">
        <f t="shared" si="259"/>
        <v>2025//12//1</v>
      </c>
      <c r="OD140" s="390">
        <v>17607</v>
      </c>
      <c r="OE140" s="390">
        <v>17598</v>
      </c>
      <c r="OF140" s="416">
        <v>9</v>
      </c>
      <c r="OG140" s="417">
        <v>0.0005</v>
      </c>
      <c r="OH140" s="192"/>
      <c r="OI140" s="192"/>
      <c r="OJ140" s="389"/>
      <c r="OK140" s="390" t="str">
        <f t="shared" si="260"/>
        <v>2025//12//1</v>
      </c>
      <c r="OL140" s="200">
        <v>11426.65</v>
      </c>
      <c r="OM140" s="8">
        <f>OL141</f>
        <v>11425.65</v>
      </c>
      <c r="ON140" s="348">
        <f>OL140-OM140</f>
        <v>1</v>
      </c>
      <c r="OO140" s="349">
        <f>ON140/OM140</f>
        <v>8.75223729065743e-5</v>
      </c>
      <c r="OP140" s="192"/>
      <c r="OQ140" s="192"/>
      <c r="OT140" s="26" t="str">
        <f t="shared" si="407"/>
        <v>2025//12//1</v>
      </c>
      <c r="OU140" s="206">
        <v>134352.4066</v>
      </c>
      <c r="OV140" s="8">
        <f t="shared" si="401"/>
        <v>134232.4066</v>
      </c>
      <c r="OW140" s="191">
        <f t="shared" si="402"/>
        <v>120</v>
      </c>
      <c r="OX140" s="192">
        <f t="shared" si="403"/>
        <v>0.000893971903205079</v>
      </c>
    </row>
    <row r="141" s="11" customFormat="1" ht="17" customHeight="1" spans="1:414">
      <c r="A141" s="15"/>
      <c r="B141" s="15"/>
      <c r="C141" s="385" t="s">
        <v>570</v>
      </c>
      <c r="D141" s="395">
        <v>9012289</v>
      </c>
      <c r="E141" s="395">
        <v>9018229</v>
      </c>
      <c r="F141" s="403">
        <v>-5940</v>
      </c>
      <c r="G141" s="404">
        <v>-0.0007</v>
      </c>
      <c r="H141" s="18"/>
      <c r="I141" s="453"/>
      <c r="J141" s="453"/>
      <c r="K141" s="386" t="str">
        <f t="shared" ref="K141:K204" si="408">C141</f>
        <v>2025//11//28</v>
      </c>
      <c r="L141" s="395">
        <v>6635224</v>
      </c>
      <c r="M141" s="395">
        <v>6633604</v>
      </c>
      <c r="N141" s="459">
        <v>1620</v>
      </c>
      <c r="O141" s="460">
        <v>0.0002</v>
      </c>
      <c r="P141" s="18"/>
      <c r="Q141" s="453"/>
      <c r="R141" s="454"/>
      <c r="S141" s="386" t="str">
        <f t="shared" ref="S141:S204" si="409">C141</f>
        <v>2025//11//28</v>
      </c>
      <c r="T141" s="395">
        <v>5795077</v>
      </c>
      <c r="U141" s="395">
        <v>5781667</v>
      </c>
      <c r="V141" s="459">
        <v>13410</v>
      </c>
      <c r="W141" s="460">
        <v>0.0023</v>
      </c>
      <c r="X141" s="18"/>
      <c r="Y141" s="453"/>
      <c r="Z141" s="454"/>
      <c r="AA141" s="386" t="str">
        <f t="shared" ref="AA141:AA204" si="410">S141</f>
        <v>2025//11//28</v>
      </c>
      <c r="AB141" s="395">
        <v>1840537</v>
      </c>
      <c r="AC141" s="395">
        <v>1836417</v>
      </c>
      <c r="AD141" s="459">
        <v>4120</v>
      </c>
      <c r="AE141" s="460">
        <v>0.0022</v>
      </c>
      <c r="AF141" s="18"/>
      <c r="AG141" s="453"/>
      <c r="AH141" s="454"/>
      <c r="AI141" s="386" t="str">
        <f t="shared" ref="AI141:AI204" si="411">C141</f>
        <v>2025//11//28</v>
      </c>
      <c r="AJ141" s="395">
        <v>2487722</v>
      </c>
      <c r="AK141" s="386">
        <v>2490522</v>
      </c>
      <c r="AL141" s="403">
        <v>-2800</v>
      </c>
      <c r="AM141" s="404">
        <v>-0.0011</v>
      </c>
      <c r="AN141" s="18"/>
      <c r="AO141" s="18"/>
      <c r="AP141" s="454"/>
      <c r="AQ141" s="386" t="str">
        <f t="shared" ref="AQ141:AQ204" si="412">C141</f>
        <v>2025//11//28</v>
      </c>
      <c r="AR141" s="418">
        <v>3211545</v>
      </c>
      <c r="AS141" s="395">
        <v>3207845</v>
      </c>
      <c r="AT141" s="459">
        <v>3700</v>
      </c>
      <c r="AU141" s="460">
        <v>0.0012</v>
      </c>
      <c r="AV141" s="18"/>
      <c r="AW141" s="18"/>
      <c r="AX141" s="17"/>
      <c r="AY141" s="17"/>
      <c r="AZ141" s="17" t="str">
        <f t="shared" ref="AZ141:AZ204" si="413">C141</f>
        <v>2025//11//28</v>
      </c>
      <c r="BA141" s="17"/>
      <c r="BB141" s="17"/>
      <c r="BC141" s="17"/>
      <c r="BD141" s="18"/>
      <c r="BE141" s="18"/>
      <c r="BF141" s="18"/>
      <c r="BG141" s="299"/>
      <c r="BH141" s="366" t="str">
        <f t="shared" ref="BH141:BH204" si="414">C141</f>
        <v>2025//11//28</v>
      </c>
      <c r="BI141" s="366">
        <v>143627</v>
      </c>
      <c r="BJ141" s="366">
        <v>139127</v>
      </c>
      <c r="BK141" s="508">
        <v>4500</v>
      </c>
      <c r="BL141" s="509">
        <v>0.0323</v>
      </c>
      <c r="BM141" s="303"/>
      <c r="BN141" s="304"/>
      <c r="BO141" s="370"/>
      <c r="BP141" s="371" t="str">
        <f t="shared" ref="BP141:BP204" si="415">C141</f>
        <v>2025//11//28</v>
      </c>
      <c r="BQ141" s="382">
        <v>643662</v>
      </c>
      <c r="BR141" s="371">
        <v>647662</v>
      </c>
      <c r="BS141" s="510">
        <v>-4000</v>
      </c>
      <c r="BT141" s="511">
        <v>-0.0062</v>
      </c>
      <c r="BU141" s="304"/>
      <c r="BV141" s="304"/>
      <c r="BW141" s="370"/>
      <c r="BX141" s="371" t="str">
        <f t="shared" ref="BX141:BX204" si="416">C141</f>
        <v>2025//11//28</v>
      </c>
      <c r="BY141" s="371">
        <v>2270611</v>
      </c>
      <c r="BZ141" s="371">
        <v>2265211</v>
      </c>
      <c r="CA141" s="373">
        <v>5400</v>
      </c>
      <c r="CB141" s="374">
        <v>0.0024</v>
      </c>
      <c r="CC141" s="304"/>
      <c r="CD141" s="378"/>
      <c r="CE141" s="370"/>
      <c r="CF141" s="371" t="str">
        <f t="shared" ref="CF141:CF204" si="417">C141</f>
        <v>2025//11//28</v>
      </c>
      <c r="CG141" s="371">
        <v>919604</v>
      </c>
      <c r="CH141" s="306">
        <f t="shared" si="289"/>
        <v>919154</v>
      </c>
      <c r="CI141" s="306">
        <f t="shared" si="290"/>
        <v>450</v>
      </c>
      <c r="CJ141" s="307">
        <f t="shared" si="291"/>
        <v>0.000489580636106681</v>
      </c>
      <c r="CK141" s="304"/>
      <c r="CL141" s="378"/>
      <c r="CM141" s="370"/>
      <c r="CN141" s="371" t="str">
        <f t="shared" ref="CN141:CN204" si="418">C141</f>
        <v>2025//11//28</v>
      </c>
      <c r="CO141" s="371">
        <v>125546</v>
      </c>
      <c r="CP141" s="371">
        <v>125546</v>
      </c>
      <c r="CQ141" s="306">
        <f t="shared" si="293"/>
        <v>0</v>
      </c>
      <c r="CR141" s="307">
        <f t="shared" si="294"/>
        <v>0</v>
      </c>
      <c r="CS141" s="378"/>
      <c r="CT141" s="378"/>
      <c r="CU141" s="370"/>
      <c r="CV141" s="371" t="str">
        <f t="shared" ref="CV141:CV204" si="419">C141</f>
        <v>2025//11//28</v>
      </c>
      <c r="CW141" s="371">
        <v>712340</v>
      </c>
      <c r="CX141" s="371">
        <v>711390</v>
      </c>
      <c r="CY141" s="373">
        <v>950</v>
      </c>
      <c r="CZ141" s="374">
        <v>0.0013</v>
      </c>
      <c r="DA141" s="304"/>
      <c r="DB141" s="304"/>
      <c r="DC141" s="277"/>
      <c r="DD141" s="371" t="str">
        <f t="shared" ref="DD141:DD204" si="420">C141</f>
        <v>2025//11//28</v>
      </c>
      <c r="DE141" s="371">
        <v>848118</v>
      </c>
      <c r="DF141" s="12">
        <f t="shared" si="298"/>
        <v>860318</v>
      </c>
      <c r="DG141" s="510">
        <v>-6100</v>
      </c>
      <c r="DH141" s="511">
        <v>-0.0142</v>
      </c>
      <c r="DI141" s="304"/>
      <c r="DJ141" s="304"/>
      <c r="DK141" s="370"/>
      <c r="DL141" s="371" t="str">
        <f t="shared" ref="DL141:DL204" si="421">C141</f>
        <v>2025//11//28</v>
      </c>
      <c r="DM141" s="371">
        <v>1513100</v>
      </c>
      <c r="DN141" s="371">
        <v>1522500</v>
      </c>
      <c r="DO141" s="510">
        <v>-9400</v>
      </c>
      <c r="DP141" s="511">
        <v>-0.0062</v>
      </c>
      <c r="DQ141" s="304"/>
      <c r="DR141" s="304"/>
      <c r="DS141" s="370"/>
      <c r="DT141" s="371" t="str">
        <f t="shared" ref="DT141:DT204" si="422">C141</f>
        <v>2025//11//28</v>
      </c>
      <c r="DU141" s="371">
        <v>1667189</v>
      </c>
      <c r="DV141" s="371">
        <v>1671389</v>
      </c>
      <c r="DW141" s="510">
        <v>-4200</v>
      </c>
      <c r="DX141" s="511">
        <v>-0.0025</v>
      </c>
      <c r="DY141" s="304"/>
      <c r="DZ141" s="304"/>
      <c r="EA141" s="370"/>
      <c r="EB141" s="371" t="str">
        <f t="shared" ref="EB141:EB204" si="423">C141</f>
        <v>2025//11//28</v>
      </c>
      <c r="EC141" s="371">
        <v>5148267</v>
      </c>
      <c r="ED141" s="371">
        <v>5172567</v>
      </c>
      <c r="EE141" s="510">
        <v>-24300</v>
      </c>
      <c r="EF141" s="511">
        <v>-0.0047</v>
      </c>
      <c r="EG141" s="304"/>
      <c r="EH141" s="304"/>
      <c r="EI141" s="370"/>
      <c r="EJ141" s="371" t="str">
        <f t="shared" ref="EJ141:EJ204" si="424">C141</f>
        <v>2025//11//28</v>
      </c>
      <c r="EK141" s="371">
        <v>1585123</v>
      </c>
      <c r="EL141" s="371">
        <v>1589123</v>
      </c>
      <c r="EM141" s="510">
        <v>-4000</v>
      </c>
      <c r="EN141" s="511">
        <v>-0.0025</v>
      </c>
      <c r="EO141" s="304"/>
      <c r="EP141" s="304"/>
      <c r="EQ141" s="379"/>
      <c r="ER141" s="380" t="str">
        <f t="shared" ref="ER141:ER204" si="425">C141</f>
        <v>2025//11//28</v>
      </c>
      <c r="ES141" s="380">
        <v>522647</v>
      </c>
      <c r="ET141" s="380">
        <v>523247</v>
      </c>
      <c r="EU141" s="380">
        <v>-600</v>
      </c>
      <c r="EV141" s="381">
        <v>-0.0011</v>
      </c>
      <c r="EW141" s="304"/>
      <c r="EX141" s="304"/>
      <c r="EY141" s="370"/>
      <c r="EZ141" s="371" t="str">
        <f t="shared" ref="EZ141:EZ204" si="426">C141</f>
        <v>2025//11//28</v>
      </c>
      <c r="FA141" s="371">
        <v>1200408</v>
      </c>
      <c r="FB141" s="371">
        <v>1202508</v>
      </c>
      <c r="FC141" s="510">
        <v>-2100</v>
      </c>
      <c r="FD141" s="511">
        <v>-0.0017</v>
      </c>
      <c r="FE141" s="304"/>
      <c r="FF141" s="304"/>
      <c r="FG141" s="304"/>
      <c r="FH141" s="371" t="str">
        <f t="shared" ref="FH141:FH204" si="427">C141</f>
        <v>2025//11//28</v>
      </c>
      <c r="FI141" s="382">
        <v>131095</v>
      </c>
      <c r="FJ141" s="371">
        <v>130595</v>
      </c>
      <c r="FK141" s="373">
        <v>500</v>
      </c>
      <c r="FL141" s="374">
        <v>0.0038</v>
      </c>
      <c r="FM141" s="374"/>
      <c r="FN141" s="378"/>
      <c r="FO141" s="370"/>
      <c r="FP141" s="371" t="str">
        <f t="shared" ref="FP141:FP204" si="428">C141</f>
        <v>2025//11//28</v>
      </c>
      <c r="FQ141" s="371">
        <v>2536619</v>
      </c>
      <c r="FR141" s="371">
        <v>2553869</v>
      </c>
      <c r="FS141" s="510">
        <v>-17250</v>
      </c>
      <c r="FT141" s="511">
        <v>-0.0068</v>
      </c>
      <c r="FU141" s="304"/>
      <c r="FV141" s="304"/>
      <c r="FW141" s="370"/>
      <c r="FX141" s="371" t="str">
        <f t="shared" ref="FX141:FX204" si="429">C141</f>
        <v>2025//11//28</v>
      </c>
      <c r="FY141" s="371">
        <v>7289782</v>
      </c>
      <c r="FZ141" s="371">
        <v>7293682</v>
      </c>
      <c r="GA141" s="510">
        <v>-3900</v>
      </c>
      <c r="GB141" s="511">
        <v>-0.0005</v>
      </c>
      <c r="GC141" s="304"/>
      <c r="GD141" s="304"/>
      <c r="GE141" s="370"/>
      <c r="GF141" s="371" t="str">
        <f t="shared" ref="GF141:GF204" si="430">C141</f>
        <v>2025//11//28</v>
      </c>
      <c r="GG141" s="371">
        <v>4387969</v>
      </c>
      <c r="GH141" s="371">
        <v>4385069</v>
      </c>
      <c r="GI141" s="373">
        <v>2900</v>
      </c>
      <c r="GJ141" s="374">
        <v>0.0007</v>
      </c>
      <c r="GK141" s="304"/>
      <c r="GL141" s="304"/>
      <c r="GM141" s="370"/>
      <c r="GN141" s="371" t="str">
        <f t="shared" ref="GN141:GN204" si="431">C141</f>
        <v>2025//11//28</v>
      </c>
      <c r="GO141" s="371">
        <v>1499278</v>
      </c>
      <c r="GP141" s="371">
        <v>1516198</v>
      </c>
      <c r="GQ141" s="510">
        <v>-16920</v>
      </c>
      <c r="GR141" s="511">
        <v>-0.0112</v>
      </c>
      <c r="GS141" s="304"/>
      <c r="GT141" s="304"/>
      <c r="GU141" s="370"/>
      <c r="GV141" s="371" t="str">
        <f t="shared" ref="GV141:GV204" si="432">C141</f>
        <v>2025//11//28</v>
      </c>
      <c r="GW141" s="371">
        <v>1323349</v>
      </c>
      <c r="GX141" s="371">
        <v>1326349</v>
      </c>
      <c r="GY141" s="510">
        <v>-3000</v>
      </c>
      <c r="GZ141" s="511">
        <v>-0.0023</v>
      </c>
      <c r="HA141" s="304"/>
      <c r="HB141" s="304"/>
      <c r="HC141" s="370"/>
      <c r="HD141" s="371" t="str">
        <f t="shared" ref="HD141:HD204" si="433">C141</f>
        <v>2025//11//28</v>
      </c>
      <c r="HE141" s="371">
        <v>1439965</v>
      </c>
      <c r="HF141" s="371">
        <v>1458965</v>
      </c>
      <c r="HG141" s="510">
        <v>-19000</v>
      </c>
      <c r="HH141" s="511">
        <v>-0.013</v>
      </c>
      <c r="HI141" s="378"/>
      <c r="HJ141" s="304"/>
      <c r="HK141" s="370"/>
      <c r="HL141" s="371" t="str">
        <f t="shared" ref="HL141:HL204" si="434">C141</f>
        <v>2025//11//28</v>
      </c>
      <c r="HM141" s="371">
        <v>199554</v>
      </c>
      <c r="HN141" s="371">
        <v>200504</v>
      </c>
      <c r="HO141" s="510">
        <v>-950</v>
      </c>
      <c r="HP141" s="511">
        <v>-0.0047</v>
      </c>
      <c r="HQ141" s="304"/>
      <c r="HR141" s="304"/>
      <c r="HS141" s="370"/>
      <c r="HT141" s="371" t="str">
        <f t="shared" ref="HT141:HT204" si="435">C141</f>
        <v>2025//11//28</v>
      </c>
      <c r="HU141" s="371">
        <v>150569</v>
      </c>
      <c r="HV141" s="371">
        <v>151769</v>
      </c>
      <c r="HW141" s="510">
        <v>-1200</v>
      </c>
      <c r="HX141" s="511">
        <v>-0.0079</v>
      </c>
      <c r="HY141" s="304"/>
      <c r="HZ141" s="304"/>
      <c r="IA141" s="370"/>
      <c r="IB141" s="371" t="str">
        <f t="shared" ref="IB141:IB204" si="436">C141</f>
        <v>2025//11//28</v>
      </c>
      <c r="IC141" s="310">
        <v>359309.79</v>
      </c>
      <c r="ID141" s="371"/>
      <c r="IE141" s="371">
        <f>IC141-ID141</f>
        <v>359309.79</v>
      </c>
      <c r="IF141" s="378"/>
      <c r="IG141" s="377"/>
      <c r="IH141" s="304"/>
      <c r="II141" s="370"/>
      <c r="IJ141" s="371" t="str">
        <f t="shared" ref="IJ141:IJ204" si="437">C141</f>
        <v>2025//11//28</v>
      </c>
      <c r="IK141" s="371">
        <v>421036</v>
      </c>
      <c r="IL141" s="371">
        <v>424476</v>
      </c>
      <c r="IM141" s="510">
        <v>-3440</v>
      </c>
      <c r="IN141" s="511">
        <v>-0.0081</v>
      </c>
      <c r="IO141" s="304"/>
      <c r="IP141" s="304"/>
      <c r="IQ141" s="370"/>
      <c r="IR141" s="371" t="str">
        <f t="shared" ref="IR141:IR204" si="438">C141</f>
        <v>2025//11//28</v>
      </c>
      <c r="IS141" s="371">
        <v>120389</v>
      </c>
      <c r="IT141" s="371">
        <v>120889</v>
      </c>
      <c r="IU141" s="510">
        <v>-500</v>
      </c>
      <c r="IV141" s="511">
        <v>-0.0041</v>
      </c>
      <c r="IW141" s="304"/>
      <c r="IX141" s="304"/>
      <c r="IY141" s="370"/>
      <c r="IZ141" s="371" t="str">
        <f t="shared" ref="IZ141:IZ204" si="439">C141</f>
        <v>2025//11//28</v>
      </c>
      <c r="JA141" s="371">
        <v>5040429</v>
      </c>
      <c r="JB141" s="371">
        <v>5096029</v>
      </c>
      <c r="JC141" s="510">
        <v>-55600</v>
      </c>
      <c r="JD141" s="511">
        <v>-0.0109</v>
      </c>
      <c r="JE141" s="304"/>
      <c r="JF141" s="304"/>
      <c r="JG141" s="370"/>
      <c r="JH141" s="371" t="str">
        <f t="shared" ref="JH141:JH204" si="440">C141</f>
        <v>2025//11//28</v>
      </c>
      <c r="JI141" s="371">
        <v>2189488</v>
      </c>
      <c r="JJ141" s="371">
        <v>2240668</v>
      </c>
      <c r="JK141" s="510">
        <v>-51180</v>
      </c>
      <c r="JL141" s="511">
        <v>-0.0228</v>
      </c>
      <c r="JM141" s="304"/>
      <c r="JN141" s="304"/>
      <c r="JO141" s="304"/>
      <c r="JP141" s="371" t="str">
        <f t="shared" ref="JP141:JP204" si="441">C141</f>
        <v>2025//11//28</v>
      </c>
      <c r="JQ141" s="371">
        <v>1139690</v>
      </c>
      <c r="JR141" s="371">
        <v>1157190</v>
      </c>
      <c r="JS141" s="510">
        <v>-17500</v>
      </c>
      <c r="JT141" s="511">
        <v>-0.0151</v>
      </c>
      <c r="JU141" s="304"/>
      <c r="JV141" s="304"/>
      <c r="JW141" s="378"/>
      <c r="JX141" s="371" t="str">
        <f t="shared" ref="JX141:JX204" si="442">C141</f>
        <v>2025//11//28</v>
      </c>
      <c r="JY141" s="371">
        <v>1507849</v>
      </c>
      <c r="JZ141" s="371">
        <v>1507699</v>
      </c>
      <c r="KA141" s="373">
        <v>150</v>
      </c>
      <c r="KB141" s="374">
        <v>0.0001</v>
      </c>
      <c r="KC141" s="304"/>
      <c r="KD141" s="304"/>
      <c r="KE141" s="378"/>
      <c r="KF141" s="371" t="str">
        <f t="shared" ref="KF141:KF204" si="443">C141</f>
        <v>2025//11//28</v>
      </c>
      <c r="KG141" s="371">
        <v>904756</v>
      </c>
      <c r="KH141" s="371">
        <v>904756</v>
      </c>
      <c r="KI141" s="371">
        <v>0</v>
      </c>
      <c r="KJ141" s="378">
        <v>0</v>
      </c>
      <c r="KK141" s="378"/>
      <c r="KL141" s="378">
        <f>(KG141-KG161)/KG161</f>
        <v>-0.0368337456725672</v>
      </c>
      <c r="KM141" s="370"/>
      <c r="KN141" s="371" t="str">
        <f t="shared" ref="KN141:KN204" si="444">C141</f>
        <v>2025//11//28</v>
      </c>
      <c r="KO141" s="371">
        <v>6340576</v>
      </c>
      <c r="KP141" s="371">
        <v>6339976</v>
      </c>
      <c r="KQ141" s="373">
        <v>600</v>
      </c>
      <c r="KR141" s="374">
        <v>0.0001</v>
      </c>
      <c r="KS141" s="304"/>
      <c r="KT141" s="304"/>
      <c r="KU141" s="370"/>
      <c r="KV141" s="371" t="str">
        <f t="shared" ref="KV141:KV204" si="445">C141</f>
        <v>2025//11//28</v>
      </c>
      <c r="KW141" s="371">
        <v>987973</v>
      </c>
      <c r="KX141" s="371">
        <v>987973</v>
      </c>
      <c r="KY141" s="371">
        <v>0</v>
      </c>
      <c r="KZ141" s="378">
        <v>0</v>
      </c>
      <c r="LA141" s="378"/>
      <c r="LB141" s="304"/>
      <c r="LC141" s="370"/>
      <c r="LD141" s="371" t="str">
        <f t="shared" ref="LD141:LD204" si="446">C141</f>
        <v>2025//11//28</v>
      </c>
      <c r="LE141" s="371">
        <v>492308</v>
      </c>
      <c r="LF141" s="371">
        <v>494908</v>
      </c>
      <c r="LG141" s="510">
        <v>-2600</v>
      </c>
      <c r="LH141" s="511">
        <v>-0.0053</v>
      </c>
      <c r="LI141" s="304"/>
      <c r="LJ141" s="304"/>
      <c r="LK141" s="370"/>
      <c r="LL141" s="371" t="str">
        <f t="shared" ref="LL141:LL204" si="447">C141</f>
        <v>2025//11//28</v>
      </c>
      <c r="LM141" s="382">
        <v>3774355</v>
      </c>
      <c r="LN141" s="371">
        <v>3751315</v>
      </c>
      <c r="LO141" s="373">
        <v>23040</v>
      </c>
      <c r="LP141" s="374">
        <v>0.0061</v>
      </c>
      <c r="LQ141" s="304"/>
      <c r="LR141" s="304"/>
      <c r="LS141" s="370"/>
      <c r="LT141" s="371" t="str">
        <f t="shared" ref="LT141:LT204" si="448">C141</f>
        <v>2025//11//28</v>
      </c>
      <c r="LU141" s="371">
        <v>2584063</v>
      </c>
      <c r="LV141" s="371">
        <v>2588663</v>
      </c>
      <c r="LW141" s="510">
        <v>-4600</v>
      </c>
      <c r="LX141" s="511">
        <v>-0.0018</v>
      </c>
      <c r="LY141" s="304"/>
      <c r="LZ141" s="304"/>
      <c r="MA141" s="370"/>
      <c r="MB141" s="371" t="str">
        <f t="shared" ref="MB141:MB204" si="449">C141</f>
        <v>2025//11//28</v>
      </c>
      <c r="MC141" s="371">
        <v>894968</v>
      </c>
      <c r="MD141" s="371">
        <v>890568</v>
      </c>
      <c r="ME141" s="373">
        <v>4400</v>
      </c>
      <c r="MF141" s="374">
        <v>0.0049</v>
      </c>
      <c r="MG141" s="304"/>
      <c r="MH141" s="304"/>
      <c r="MI141" s="383"/>
      <c r="MJ141" s="380">
        <v>0.999</v>
      </c>
      <c r="MK141" s="380" t="str">
        <f t="shared" ref="MK141:MK204" si="450">C141</f>
        <v>2025//11//28</v>
      </c>
      <c r="ML141" s="380">
        <v>253666</v>
      </c>
      <c r="MM141" s="306">
        <f t="shared" si="388"/>
        <v>254146</v>
      </c>
      <c r="MN141" s="380">
        <v>-480</v>
      </c>
      <c r="MO141" s="381">
        <v>-0.0019</v>
      </c>
      <c r="MP141" s="304"/>
      <c r="MQ141" s="384"/>
      <c r="MR141" s="384"/>
      <c r="MS141" s="378"/>
      <c r="MT141" s="512" t="str">
        <f t="shared" ref="MT141:MT204" si="451">C141</f>
        <v>2025//11//28</v>
      </c>
      <c r="MX141" s="304"/>
      <c r="MY141" s="304"/>
      <c r="MZ141" s="304"/>
      <c r="NA141" s="304"/>
      <c r="NB141" s="304"/>
      <c r="NC141" s="11" t="str">
        <f t="shared" ref="NC141:NC204" si="452">C141</f>
        <v>2025//11//28</v>
      </c>
      <c r="NG141" s="304"/>
      <c r="NH141" s="304"/>
      <c r="NI141" s="304"/>
      <c r="NJ141" s="304"/>
      <c r="NK141" s="304"/>
      <c r="NL141" s="8"/>
      <c r="NM141" s="8" t="str">
        <f t="shared" ref="NM141:NM204" si="453">C141</f>
        <v>2025//11//28</v>
      </c>
      <c r="NN141" s="8"/>
      <c r="NO141" s="8"/>
      <c r="NP141" s="8"/>
      <c r="NQ141" s="192"/>
      <c r="NR141" s="192"/>
      <c r="NS141" s="8"/>
      <c r="NT141" s="8"/>
      <c r="NU141" s="8" t="str">
        <f t="shared" ref="NU141:NU204" si="454">C141</f>
        <v>2025//11//28</v>
      </c>
      <c r="NV141" s="389"/>
      <c r="NW141" s="389"/>
      <c r="NX141" s="389"/>
      <c r="NY141" s="391"/>
      <c r="NZ141" s="378"/>
      <c r="OA141" s="370"/>
      <c r="OB141" s="370"/>
      <c r="OC141" s="371" t="str">
        <f t="shared" ref="OC141:OC204" si="455">C141</f>
        <v>2025//11//28</v>
      </c>
      <c r="OD141" s="371">
        <v>17598</v>
      </c>
      <c r="OE141" s="371">
        <v>17740</v>
      </c>
      <c r="OF141" s="510">
        <v>-142</v>
      </c>
      <c r="OG141" s="511">
        <v>-0.008</v>
      </c>
      <c r="OH141" s="304"/>
      <c r="OI141" s="304"/>
      <c r="OJ141" s="370"/>
      <c r="OK141" s="371" t="str">
        <f t="shared" ref="OK141:OK204" si="456">C141</f>
        <v>2025//11//28</v>
      </c>
      <c r="OL141" s="310">
        <v>11425.65</v>
      </c>
      <c r="OM141" s="11">
        <f>OL142</f>
        <v>11425.65</v>
      </c>
      <c r="ON141" s="11">
        <f>OL141-OM141</f>
        <v>0</v>
      </c>
      <c r="OO141" s="304">
        <f>ON141/OM141</f>
        <v>0</v>
      </c>
      <c r="OP141" s="304"/>
      <c r="OQ141" s="304"/>
      <c r="OT141" s="512" t="str">
        <f t="shared" si="407"/>
        <v>2025//11//28</v>
      </c>
      <c r="OU141" s="206">
        <v>134232.4066</v>
      </c>
      <c r="OV141" s="8">
        <f t="shared" si="401"/>
        <v>134112.4066</v>
      </c>
      <c r="OW141" s="191">
        <f t="shared" si="402"/>
        <v>120</v>
      </c>
      <c r="OX141" s="192">
        <f t="shared" si="403"/>
        <v>0.000894771804057687</v>
      </c>
    </row>
    <row r="142" s="8" customFormat="1" ht="17" customHeight="1" spans="1:414">
      <c r="A142" s="15"/>
      <c r="B142" s="15"/>
      <c r="C142" s="385" t="s">
        <v>571</v>
      </c>
      <c r="D142" s="395">
        <v>9018229</v>
      </c>
      <c r="E142" s="395">
        <v>9026959</v>
      </c>
      <c r="F142" s="403">
        <v>-8730</v>
      </c>
      <c r="G142" s="404">
        <v>-0.001</v>
      </c>
      <c r="H142" s="18"/>
      <c r="I142" s="453"/>
      <c r="J142" s="453"/>
      <c r="K142" s="386" t="str">
        <f t="shared" si="408"/>
        <v>2025//11//27</v>
      </c>
      <c r="L142" s="395">
        <v>6633604</v>
      </c>
      <c r="M142" s="395">
        <v>6636484</v>
      </c>
      <c r="N142" s="403">
        <v>-2880</v>
      </c>
      <c r="O142" s="404">
        <v>-0.0004</v>
      </c>
      <c r="P142" s="18"/>
      <c r="Q142" s="453"/>
      <c r="R142" s="454"/>
      <c r="S142" s="386" t="str">
        <f t="shared" si="409"/>
        <v>2025//11//27</v>
      </c>
      <c r="T142" s="395">
        <v>5781667</v>
      </c>
      <c r="U142" s="395">
        <v>5760517</v>
      </c>
      <c r="V142" s="459">
        <v>21150</v>
      </c>
      <c r="W142" s="460">
        <v>0.0037</v>
      </c>
      <c r="X142" s="18"/>
      <c r="Y142" s="453"/>
      <c r="Z142" s="454"/>
      <c r="AA142" s="386" t="str">
        <f t="shared" si="410"/>
        <v>2025//11//27</v>
      </c>
      <c r="AB142" s="395">
        <v>1836417</v>
      </c>
      <c r="AC142" s="395">
        <v>1844257</v>
      </c>
      <c r="AD142" s="403">
        <v>-7840</v>
      </c>
      <c r="AE142" s="404">
        <v>-0.0043</v>
      </c>
      <c r="AF142" s="18"/>
      <c r="AG142" s="453"/>
      <c r="AH142" s="454"/>
      <c r="AI142" s="386" t="str">
        <f t="shared" si="411"/>
        <v>2025//11//27</v>
      </c>
      <c r="AJ142" s="395">
        <v>2490522</v>
      </c>
      <c r="AK142" s="386">
        <v>2504122</v>
      </c>
      <c r="AL142" s="403">
        <v>-13600</v>
      </c>
      <c r="AM142" s="404">
        <v>-0.0054</v>
      </c>
      <c r="AN142" s="18"/>
      <c r="AO142" s="18"/>
      <c r="AP142" s="454"/>
      <c r="AQ142" s="386" t="str">
        <f t="shared" si="412"/>
        <v>2025//11//27</v>
      </c>
      <c r="AR142" s="418">
        <v>3207845</v>
      </c>
      <c r="AS142" s="395">
        <v>3231645</v>
      </c>
      <c r="AT142" s="403">
        <v>-23800</v>
      </c>
      <c r="AU142" s="404">
        <v>-0.0074</v>
      </c>
      <c r="AV142" s="18"/>
      <c r="AW142" s="18"/>
      <c r="AX142" s="17"/>
      <c r="AY142" s="17"/>
      <c r="AZ142" s="17" t="str">
        <f t="shared" si="413"/>
        <v>2025//11//27</v>
      </c>
      <c r="BA142" s="17"/>
      <c r="BB142" s="17"/>
      <c r="BC142" s="17"/>
      <c r="BD142" s="18"/>
      <c r="BE142" s="18"/>
      <c r="BF142" s="18"/>
      <c r="BG142" s="74"/>
      <c r="BH142" s="387" t="str">
        <f t="shared" si="414"/>
        <v>2025//11//27</v>
      </c>
      <c r="BI142" s="387">
        <v>139127</v>
      </c>
      <c r="BJ142" s="387">
        <v>133627</v>
      </c>
      <c r="BK142" s="421">
        <v>5500</v>
      </c>
      <c r="BL142" s="422">
        <v>0.0412</v>
      </c>
      <c r="BM142" s="197"/>
      <c r="BN142" s="192"/>
      <c r="BO142" s="389"/>
      <c r="BP142" s="390" t="str">
        <f t="shared" si="415"/>
        <v>2025//11//27</v>
      </c>
      <c r="BQ142" s="392">
        <v>647662</v>
      </c>
      <c r="BR142" s="390">
        <v>647562</v>
      </c>
      <c r="BS142" s="416">
        <v>100</v>
      </c>
      <c r="BT142" s="417">
        <v>0.0002</v>
      </c>
      <c r="BU142" s="192"/>
      <c r="BV142" s="192"/>
      <c r="BW142" s="389"/>
      <c r="BX142" s="390" t="str">
        <f t="shared" si="416"/>
        <v>2025//11//27</v>
      </c>
      <c r="BY142" s="390">
        <v>2265211</v>
      </c>
      <c r="BZ142" s="390">
        <v>2252511</v>
      </c>
      <c r="CA142" s="416">
        <v>12700</v>
      </c>
      <c r="CB142" s="417">
        <v>0.0056</v>
      </c>
      <c r="CC142" s="192"/>
      <c r="CD142" s="409"/>
      <c r="CE142" s="389"/>
      <c r="CF142" s="390" t="str">
        <f t="shared" si="417"/>
        <v>2025//11//27</v>
      </c>
      <c r="CG142" s="390">
        <v>919154</v>
      </c>
      <c r="CH142" s="12">
        <f t="shared" si="289"/>
        <v>914004</v>
      </c>
      <c r="CI142" s="12">
        <f t="shared" si="290"/>
        <v>5150</v>
      </c>
      <c r="CJ142" s="199">
        <f t="shared" si="291"/>
        <v>0.00563454864530133</v>
      </c>
      <c r="CK142" s="192"/>
      <c r="CL142" s="391"/>
      <c r="CM142" s="389"/>
      <c r="CN142" s="390" t="str">
        <f t="shared" si="418"/>
        <v>2025//11//27</v>
      </c>
      <c r="CO142" s="390">
        <v>125546</v>
      </c>
      <c r="CP142" s="390">
        <v>124946</v>
      </c>
      <c r="CQ142" s="12">
        <f t="shared" si="293"/>
        <v>600</v>
      </c>
      <c r="CR142" s="199">
        <f t="shared" si="294"/>
        <v>0.00480207449618235</v>
      </c>
      <c r="CS142" s="391"/>
      <c r="CT142" s="391"/>
      <c r="CU142" s="389"/>
      <c r="CV142" s="390" t="str">
        <f t="shared" si="419"/>
        <v>2025//11//27</v>
      </c>
      <c r="CW142" s="390">
        <v>711390</v>
      </c>
      <c r="CX142" s="390">
        <v>715590</v>
      </c>
      <c r="CY142" s="414">
        <v>-4200</v>
      </c>
      <c r="CZ142" s="415">
        <v>-0.0059</v>
      </c>
      <c r="DA142" s="192"/>
      <c r="DB142" s="192"/>
      <c r="DC142" s="277"/>
      <c r="DD142" s="390" t="str">
        <f t="shared" si="420"/>
        <v>2025//11//27</v>
      </c>
      <c r="DE142" s="390">
        <v>860318</v>
      </c>
      <c r="DF142" s="12">
        <f t="shared" si="298"/>
        <v>891718</v>
      </c>
      <c r="DG142" s="414">
        <v>-15700</v>
      </c>
      <c r="DH142" s="415">
        <v>-0.0352</v>
      </c>
      <c r="DI142" s="192"/>
      <c r="DJ142" s="192"/>
      <c r="DK142" s="389"/>
      <c r="DL142" s="390" t="str">
        <f t="shared" si="421"/>
        <v>2025//11//27</v>
      </c>
      <c r="DM142" s="390">
        <v>1522500</v>
      </c>
      <c r="DN142" s="390">
        <v>1538700</v>
      </c>
      <c r="DO142" s="414">
        <v>-16200</v>
      </c>
      <c r="DP142" s="415">
        <v>-0.0105</v>
      </c>
      <c r="DQ142" s="192"/>
      <c r="DR142" s="192"/>
      <c r="DS142" s="389"/>
      <c r="DT142" s="390" t="str">
        <f t="shared" si="422"/>
        <v>2025//11//27</v>
      </c>
      <c r="DU142" s="390">
        <v>1671389</v>
      </c>
      <c r="DV142" s="390">
        <v>1680389</v>
      </c>
      <c r="DW142" s="414">
        <v>-9000</v>
      </c>
      <c r="DX142" s="415">
        <v>-0.0054</v>
      </c>
      <c r="DY142" s="192"/>
      <c r="DZ142" s="192"/>
      <c r="EA142" s="389"/>
      <c r="EB142" s="390" t="str">
        <f t="shared" si="423"/>
        <v>2025//11//27</v>
      </c>
      <c r="EC142" s="390">
        <v>5172567</v>
      </c>
      <c r="ED142" s="390">
        <v>5209017</v>
      </c>
      <c r="EE142" s="414">
        <v>-36450</v>
      </c>
      <c r="EF142" s="415">
        <v>-0.007</v>
      </c>
      <c r="EG142" s="192"/>
      <c r="EH142" s="192"/>
      <c r="EI142" s="389"/>
      <c r="EJ142" s="390" t="str">
        <f t="shared" si="424"/>
        <v>2025//11//27</v>
      </c>
      <c r="EK142" s="390">
        <v>1589123</v>
      </c>
      <c r="EL142" s="390">
        <v>1609523</v>
      </c>
      <c r="EM142" s="414">
        <v>-20400</v>
      </c>
      <c r="EN142" s="415">
        <v>-0.0127</v>
      </c>
      <c r="EO142" s="192"/>
      <c r="EP142" s="192"/>
      <c r="EQ142" s="340"/>
      <c r="ER142" s="341" t="str">
        <f t="shared" si="425"/>
        <v>2025//11//27</v>
      </c>
      <c r="ES142" s="341">
        <v>523247</v>
      </c>
      <c r="ET142" s="341">
        <v>528647</v>
      </c>
      <c r="EU142" s="341">
        <v>-5400</v>
      </c>
      <c r="EV142" s="350">
        <v>-0.0102</v>
      </c>
      <c r="EW142" s="192"/>
      <c r="EX142" s="192"/>
      <c r="EY142" s="389"/>
      <c r="EZ142" s="390" t="str">
        <f t="shared" si="426"/>
        <v>2025//11//27</v>
      </c>
      <c r="FA142" s="390">
        <v>1202508</v>
      </c>
      <c r="FB142" s="390">
        <v>1204608</v>
      </c>
      <c r="FC142" s="414">
        <v>-2100</v>
      </c>
      <c r="FD142" s="415">
        <v>-0.0017</v>
      </c>
      <c r="FE142" s="192"/>
      <c r="FF142" s="192"/>
      <c r="FG142" s="192"/>
      <c r="FH142" s="390" t="str">
        <f t="shared" si="427"/>
        <v>2025//11//27</v>
      </c>
      <c r="FI142" s="392">
        <v>130595</v>
      </c>
      <c r="FJ142" s="390">
        <v>130695</v>
      </c>
      <c r="FK142" s="346">
        <v>-100</v>
      </c>
      <c r="FL142" s="347">
        <v>-0.0008</v>
      </c>
      <c r="FM142" s="391"/>
      <c r="FN142" s="391"/>
      <c r="FO142" s="389"/>
      <c r="FP142" s="390" t="str">
        <f t="shared" si="428"/>
        <v>2025//11//27</v>
      </c>
      <c r="FQ142" s="390">
        <v>2553869</v>
      </c>
      <c r="FR142" s="390">
        <v>2552369</v>
      </c>
      <c r="FS142" s="416">
        <v>1500</v>
      </c>
      <c r="FT142" s="417">
        <v>0.0006</v>
      </c>
      <c r="FU142" s="192"/>
      <c r="FV142" s="192"/>
      <c r="FW142" s="389"/>
      <c r="FX142" s="390" t="str">
        <f t="shared" si="429"/>
        <v>2025//11//27</v>
      </c>
      <c r="FY142" s="390">
        <v>7293682</v>
      </c>
      <c r="FZ142" s="390">
        <v>7270982</v>
      </c>
      <c r="GA142" s="416">
        <v>22700</v>
      </c>
      <c r="GB142" s="417">
        <v>0.0031</v>
      </c>
      <c r="GC142" s="192"/>
      <c r="GD142" s="192"/>
      <c r="GE142" s="389"/>
      <c r="GF142" s="390" t="str">
        <f t="shared" si="430"/>
        <v>2025//11//27</v>
      </c>
      <c r="GG142" s="390">
        <v>4385069</v>
      </c>
      <c r="GH142" s="390">
        <v>4388469</v>
      </c>
      <c r="GI142" s="414">
        <v>-3400</v>
      </c>
      <c r="GJ142" s="415">
        <v>-0.0008</v>
      </c>
      <c r="GK142" s="192"/>
      <c r="GL142" s="192"/>
      <c r="GM142" s="389"/>
      <c r="GN142" s="390" t="str">
        <f t="shared" si="431"/>
        <v>2025//11//27</v>
      </c>
      <c r="GO142" s="390">
        <v>1516198</v>
      </c>
      <c r="GP142" s="390">
        <v>1515658</v>
      </c>
      <c r="GQ142" s="416">
        <v>540</v>
      </c>
      <c r="GR142" s="417">
        <v>0.0004</v>
      </c>
      <c r="GS142" s="192"/>
      <c r="GT142" s="192"/>
      <c r="GU142" s="389"/>
      <c r="GV142" s="390" t="str">
        <f t="shared" si="432"/>
        <v>2025//11//27</v>
      </c>
      <c r="GW142" s="390">
        <v>1326349</v>
      </c>
      <c r="GX142" s="390">
        <v>1331949</v>
      </c>
      <c r="GY142" s="414">
        <v>-5600</v>
      </c>
      <c r="GZ142" s="415">
        <v>-0.0042</v>
      </c>
      <c r="HA142" s="192"/>
      <c r="HB142" s="192"/>
      <c r="HC142" s="389"/>
      <c r="HD142" s="390" t="str">
        <f t="shared" si="433"/>
        <v>2025//11//27</v>
      </c>
      <c r="HE142" s="390">
        <v>1458965</v>
      </c>
      <c r="HF142" s="390">
        <v>1443665</v>
      </c>
      <c r="HG142" s="416">
        <v>15300</v>
      </c>
      <c r="HH142" s="417">
        <v>0.0106</v>
      </c>
      <c r="HI142" s="391"/>
      <c r="HJ142" s="192"/>
      <c r="HK142" s="389"/>
      <c r="HL142" s="390" t="str">
        <f t="shared" si="434"/>
        <v>2025//11//27</v>
      </c>
      <c r="HM142" s="390">
        <v>200504</v>
      </c>
      <c r="HN142" s="390">
        <v>201804</v>
      </c>
      <c r="HO142" s="414">
        <v>-1300</v>
      </c>
      <c r="HP142" s="415">
        <v>-0.0064</v>
      </c>
      <c r="HQ142" s="192"/>
      <c r="HR142" s="192"/>
      <c r="HS142" s="389"/>
      <c r="HT142" s="390" t="str">
        <f t="shared" si="435"/>
        <v>2025//11//27</v>
      </c>
      <c r="HU142" s="390">
        <v>151769</v>
      </c>
      <c r="HV142" s="390">
        <v>152769</v>
      </c>
      <c r="HW142" s="414">
        <v>-1000</v>
      </c>
      <c r="HX142" s="415">
        <v>-0.0065</v>
      </c>
      <c r="HY142" s="192"/>
      <c r="HZ142" s="192"/>
      <c r="IA142" s="389"/>
      <c r="IB142" s="390" t="str">
        <f t="shared" si="436"/>
        <v>2025//11//27</v>
      </c>
      <c r="IC142" s="390"/>
      <c r="ID142" s="390"/>
      <c r="IE142" s="390"/>
      <c r="IF142" s="391"/>
      <c r="IG142" s="391"/>
      <c r="IH142" s="192"/>
      <c r="II142" s="389"/>
      <c r="IJ142" s="390" t="str">
        <f t="shared" si="437"/>
        <v>2025//11//27</v>
      </c>
      <c r="IK142" s="390">
        <v>424476</v>
      </c>
      <c r="IL142" s="390">
        <v>421996</v>
      </c>
      <c r="IM142" s="416">
        <v>2480</v>
      </c>
      <c r="IN142" s="417">
        <v>0.0059</v>
      </c>
      <c r="IO142" s="192"/>
      <c r="IP142" s="192"/>
      <c r="IQ142" s="389"/>
      <c r="IR142" s="390" t="str">
        <f t="shared" si="438"/>
        <v>2025//11//27</v>
      </c>
      <c r="IS142" s="390">
        <v>120889</v>
      </c>
      <c r="IT142" s="390">
        <v>121789</v>
      </c>
      <c r="IU142" s="414">
        <v>-900</v>
      </c>
      <c r="IV142" s="415">
        <v>-0.0074</v>
      </c>
      <c r="IW142" s="192"/>
      <c r="IX142" s="192"/>
      <c r="IY142" s="389"/>
      <c r="IZ142" s="390" t="str">
        <f t="shared" si="439"/>
        <v>2025//11//27</v>
      </c>
      <c r="JA142" s="390">
        <v>5096029</v>
      </c>
      <c r="JB142" s="390">
        <v>5118329</v>
      </c>
      <c r="JC142" s="414">
        <v>-22300</v>
      </c>
      <c r="JD142" s="415">
        <v>-0.0044</v>
      </c>
      <c r="JE142" s="192"/>
      <c r="JF142" s="192"/>
      <c r="JG142" s="389"/>
      <c r="JH142" s="390" t="str">
        <f t="shared" si="440"/>
        <v>2025//11//27</v>
      </c>
      <c r="JI142" s="390">
        <v>2240668</v>
      </c>
      <c r="JJ142" s="390">
        <v>2258128</v>
      </c>
      <c r="JK142" s="414">
        <v>-17460</v>
      </c>
      <c r="JL142" s="415">
        <v>-0.0077</v>
      </c>
      <c r="JM142" s="192"/>
      <c r="JN142" s="192"/>
      <c r="JO142" s="192"/>
      <c r="JP142" s="390" t="str">
        <f t="shared" si="441"/>
        <v>2025//11//27</v>
      </c>
      <c r="JQ142" s="390">
        <v>1157190</v>
      </c>
      <c r="JR142" s="390">
        <v>1161990</v>
      </c>
      <c r="JS142" s="414">
        <v>-4800</v>
      </c>
      <c r="JT142" s="415">
        <v>-0.0041</v>
      </c>
      <c r="JU142" s="192"/>
      <c r="JV142" s="192"/>
      <c r="JW142" s="409"/>
      <c r="JX142" s="390" t="str">
        <f t="shared" si="442"/>
        <v>2025//11//27</v>
      </c>
      <c r="JY142" s="390">
        <v>1507699</v>
      </c>
      <c r="JZ142" s="390">
        <v>1507499</v>
      </c>
      <c r="KA142" s="416">
        <v>200</v>
      </c>
      <c r="KB142" s="417">
        <v>0.0001</v>
      </c>
      <c r="KC142" s="192"/>
      <c r="KD142" s="192"/>
      <c r="KE142" s="409"/>
      <c r="KF142" s="390" t="str">
        <f t="shared" si="443"/>
        <v>2025//11//27</v>
      </c>
      <c r="KG142" s="390">
        <v>904756</v>
      </c>
      <c r="KH142" s="390">
        <v>904756</v>
      </c>
      <c r="KI142" s="410">
        <v>0</v>
      </c>
      <c r="KJ142" s="409">
        <v>0</v>
      </c>
      <c r="KK142" s="391"/>
      <c r="KL142" s="391"/>
      <c r="KM142" s="389"/>
      <c r="KN142" s="390" t="str">
        <f t="shared" si="444"/>
        <v>2025//11//27</v>
      </c>
      <c r="KO142" s="390">
        <v>6339976</v>
      </c>
      <c r="KP142" s="390">
        <v>6339476</v>
      </c>
      <c r="KQ142" s="416">
        <v>500</v>
      </c>
      <c r="KR142" s="417">
        <v>0.0001</v>
      </c>
      <c r="KS142" s="192"/>
      <c r="KT142" s="192"/>
      <c r="KU142" s="389"/>
      <c r="KV142" s="390" t="str">
        <f t="shared" si="445"/>
        <v>2025//11//27</v>
      </c>
      <c r="KW142" s="390">
        <v>987973</v>
      </c>
      <c r="KX142" s="390">
        <v>987973</v>
      </c>
      <c r="KY142" s="390">
        <v>0</v>
      </c>
      <c r="KZ142" s="391">
        <v>0</v>
      </c>
      <c r="LA142" s="391"/>
      <c r="LB142" s="192"/>
      <c r="LC142" s="389"/>
      <c r="LD142" s="390" t="str">
        <f t="shared" si="446"/>
        <v>2025//11//27</v>
      </c>
      <c r="LE142" s="390">
        <v>494908</v>
      </c>
      <c r="LF142" s="390">
        <v>495758</v>
      </c>
      <c r="LG142" s="414">
        <v>-850</v>
      </c>
      <c r="LH142" s="415">
        <v>-0.0017</v>
      </c>
      <c r="LI142" s="192"/>
      <c r="LJ142" s="192"/>
      <c r="LK142" s="389"/>
      <c r="LL142" s="390" t="str">
        <f t="shared" si="447"/>
        <v>2025//11//27</v>
      </c>
      <c r="LM142" s="392">
        <v>3751315</v>
      </c>
      <c r="LN142" s="390">
        <v>3750595</v>
      </c>
      <c r="LO142" s="416">
        <v>720</v>
      </c>
      <c r="LP142" s="417">
        <v>0.0002</v>
      </c>
      <c r="LQ142" s="192"/>
      <c r="LR142" s="192"/>
      <c r="LS142" s="389"/>
      <c r="LT142" s="390" t="str">
        <f t="shared" si="448"/>
        <v>2025//11//27</v>
      </c>
      <c r="LU142" s="390">
        <v>2588663</v>
      </c>
      <c r="LV142" s="390">
        <v>2580663</v>
      </c>
      <c r="LW142" s="416">
        <v>8000</v>
      </c>
      <c r="LX142" s="417">
        <v>0.0031</v>
      </c>
      <c r="LY142" s="192"/>
      <c r="LZ142" s="192"/>
      <c r="MA142" s="389"/>
      <c r="MB142" s="390" t="str">
        <f t="shared" si="449"/>
        <v>2025//11//27</v>
      </c>
      <c r="MC142" s="390">
        <v>890568</v>
      </c>
      <c r="MD142" s="390">
        <v>885868</v>
      </c>
      <c r="ME142" s="416">
        <v>4700</v>
      </c>
      <c r="MF142" s="417">
        <v>0.0053</v>
      </c>
      <c r="MG142" s="192"/>
      <c r="MH142" s="192"/>
      <c r="MI142" s="342"/>
      <c r="MJ142" s="341">
        <v>0.9924</v>
      </c>
      <c r="MK142" s="341" t="str">
        <f t="shared" si="450"/>
        <v>2025//11//27</v>
      </c>
      <c r="ML142" s="341">
        <v>254146</v>
      </c>
      <c r="MM142" s="12">
        <f t="shared" si="388"/>
        <v>252466</v>
      </c>
      <c r="MN142" s="341">
        <v>1680</v>
      </c>
      <c r="MO142" s="350">
        <v>0.0067</v>
      </c>
      <c r="MP142" s="192"/>
      <c r="MQ142" s="394"/>
      <c r="MR142" s="394"/>
      <c r="MS142" s="391"/>
      <c r="MT142" s="26" t="str">
        <f t="shared" si="451"/>
        <v>2025//11//27</v>
      </c>
      <c r="MX142" s="192"/>
      <c r="MY142" s="192"/>
      <c r="MZ142" s="192"/>
      <c r="NA142" s="192"/>
      <c r="NB142" s="192"/>
      <c r="NC142" s="8" t="str">
        <f t="shared" si="452"/>
        <v>2025//11//27</v>
      </c>
      <c r="NG142" s="192"/>
      <c r="NH142" s="192"/>
      <c r="NI142" s="192"/>
      <c r="NJ142" s="192"/>
      <c r="NK142" s="192"/>
      <c r="NL142" s="8"/>
      <c r="NM142" s="8" t="str">
        <f t="shared" si="453"/>
        <v>2025//11//27</v>
      </c>
      <c r="NQ142" s="192"/>
      <c r="NR142" s="192"/>
      <c r="NS142" s="8"/>
      <c r="NU142" s="8" t="str">
        <f t="shared" si="454"/>
        <v>2025//11//27</v>
      </c>
      <c r="NV142" s="389"/>
      <c r="NW142" s="389"/>
      <c r="NX142" s="389"/>
      <c r="NY142" s="391"/>
      <c r="NZ142" s="391"/>
      <c r="OA142" s="389"/>
      <c r="OB142" s="389"/>
      <c r="OC142" s="390" t="str">
        <f t="shared" si="455"/>
        <v>2025//11//27</v>
      </c>
      <c r="OD142" s="390">
        <v>17740</v>
      </c>
      <c r="OE142" s="390">
        <v>17796</v>
      </c>
      <c r="OF142" s="414">
        <v>-56</v>
      </c>
      <c r="OG142" s="415">
        <v>-0.0031</v>
      </c>
      <c r="OH142" s="192"/>
      <c r="OI142" s="192"/>
      <c r="OJ142" s="389"/>
      <c r="OK142" s="390" t="str">
        <f t="shared" si="456"/>
        <v>2025//11//27</v>
      </c>
      <c r="OL142" s="200">
        <v>11425.65</v>
      </c>
      <c r="OM142" s="8">
        <f>OL143</f>
        <v>11425.65</v>
      </c>
      <c r="ON142" s="8">
        <f>OL142-OM142</f>
        <v>0</v>
      </c>
      <c r="OO142" s="192">
        <f>ON142/OM142</f>
        <v>0</v>
      </c>
      <c r="OP142" s="192"/>
      <c r="OQ142" s="192"/>
      <c r="OT142" s="26" t="str">
        <f t="shared" si="407"/>
        <v>2025//11//27</v>
      </c>
      <c r="OU142" s="206">
        <v>134112.4066</v>
      </c>
      <c r="OV142" s="8">
        <f t="shared" si="401"/>
        <v>133992.4066</v>
      </c>
      <c r="OW142" s="191">
        <f t="shared" si="402"/>
        <v>120</v>
      </c>
      <c r="OX142" s="192">
        <f t="shared" si="403"/>
        <v>0.000895573137649727</v>
      </c>
    </row>
    <row r="143" s="8" customFormat="1" ht="17" customHeight="1" spans="1:414">
      <c r="A143" s="15"/>
      <c r="B143" s="15"/>
      <c r="C143" s="385" t="s">
        <v>572</v>
      </c>
      <c r="D143" s="395">
        <v>9026959</v>
      </c>
      <c r="E143" s="395">
        <v>9081049</v>
      </c>
      <c r="F143" s="403">
        <v>-54090</v>
      </c>
      <c r="G143" s="404">
        <v>-0.006</v>
      </c>
      <c r="H143" s="18"/>
      <c r="I143" s="453"/>
      <c r="J143" s="453"/>
      <c r="K143" s="386" t="str">
        <f t="shared" si="408"/>
        <v>2025//11//26</v>
      </c>
      <c r="L143" s="395">
        <v>6636484</v>
      </c>
      <c r="M143" s="395">
        <v>6644044</v>
      </c>
      <c r="N143" s="403">
        <v>-7560</v>
      </c>
      <c r="O143" s="404">
        <v>-0.0011</v>
      </c>
      <c r="P143" s="18"/>
      <c r="Q143" s="453"/>
      <c r="R143" s="454"/>
      <c r="S143" s="386" t="str">
        <f t="shared" si="409"/>
        <v>2025//11//26</v>
      </c>
      <c r="T143" s="395">
        <v>5760517</v>
      </c>
      <c r="U143" s="395">
        <v>5761687</v>
      </c>
      <c r="V143" s="403">
        <v>-1170</v>
      </c>
      <c r="W143" s="404">
        <v>-0.0002</v>
      </c>
      <c r="X143" s="18"/>
      <c r="Y143" s="453"/>
      <c r="Z143" s="454"/>
      <c r="AA143" s="386" t="str">
        <f t="shared" si="410"/>
        <v>2025//11//26</v>
      </c>
      <c r="AB143" s="395">
        <v>1844257</v>
      </c>
      <c r="AC143" s="395">
        <v>1871177</v>
      </c>
      <c r="AD143" s="403">
        <v>-26920</v>
      </c>
      <c r="AE143" s="404">
        <v>-0.0144</v>
      </c>
      <c r="AF143" s="18"/>
      <c r="AG143" s="453"/>
      <c r="AH143" s="454"/>
      <c r="AI143" s="386" t="str">
        <f t="shared" si="411"/>
        <v>2025//11//26</v>
      </c>
      <c r="AJ143" s="395">
        <v>2504122</v>
      </c>
      <c r="AK143" s="386">
        <v>2522322</v>
      </c>
      <c r="AL143" s="403">
        <v>-18200</v>
      </c>
      <c r="AM143" s="404">
        <v>-0.0072</v>
      </c>
      <c r="AN143" s="18"/>
      <c r="AO143" s="18"/>
      <c r="AP143" s="454"/>
      <c r="AQ143" s="386" t="str">
        <f t="shared" si="412"/>
        <v>2025//11//26</v>
      </c>
      <c r="AR143" s="418">
        <v>3231645</v>
      </c>
      <c r="AS143" s="395">
        <v>3319545</v>
      </c>
      <c r="AT143" s="403">
        <v>-87900</v>
      </c>
      <c r="AU143" s="404">
        <v>-0.0265</v>
      </c>
      <c r="AV143" s="18"/>
      <c r="AW143" s="18"/>
      <c r="AX143" s="17"/>
      <c r="AY143" s="17"/>
      <c r="AZ143" s="17" t="str">
        <f t="shared" si="413"/>
        <v>2025//11//26</v>
      </c>
      <c r="BA143" s="17"/>
      <c r="BB143" s="17"/>
      <c r="BC143" s="17"/>
      <c r="BD143" s="18"/>
      <c r="BE143" s="18"/>
      <c r="BF143" s="18"/>
      <c r="BG143" s="74"/>
      <c r="BH143" s="387" t="str">
        <f t="shared" si="414"/>
        <v>2025//11//26</v>
      </c>
      <c r="BI143" s="387">
        <v>133627</v>
      </c>
      <c r="BJ143" s="387">
        <v>134227</v>
      </c>
      <c r="BK143" s="462">
        <v>-600</v>
      </c>
      <c r="BL143" s="463">
        <v>-0.0045</v>
      </c>
      <c r="BM143" s="197"/>
      <c r="BN143" s="192"/>
      <c r="BO143" s="389"/>
      <c r="BP143" s="390" t="str">
        <f t="shared" si="415"/>
        <v>2025//11//26</v>
      </c>
      <c r="BQ143" s="392">
        <v>647562</v>
      </c>
      <c r="BR143" s="390">
        <v>641362</v>
      </c>
      <c r="BS143" s="416">
        <v>6200</v>
      </c>
      <c r="BT143" s="417">
        <v>0.0097</v>
      </c>
      <c r="BU143" s="192"/>
      <c r="BV143" s="192"/>
      <c r="BW143" s="389"/>
      <c r="BX143" s="390" t="str">
        <f t="shared" si="416"/>
        <v>2025//11//26</v>
      </c>
      <c r="BY143" s="390">
        <v>2252511</v>
      </c>
      <c r="BZ143" s="390">
        <v>2267361</v>
      </c>
      <c r="CA143" s="414">
        <v>-14850</v>
      </c>
      <c r="CB143" s="415">
        <v>-0.0065</v>
      </c>
      <c r="CC143" s="192"/>
      <c r="CD143" s="409"/>
      <c r="CE143" s="389"/>
      <c r="CF143" s="390" t="str">
        <f t="shared" si="417"/>
        <v>2025//11//26</v>
      </c>
      <c r="CG143" s="390">
        <v>914004</v>
      </c>
      <c r="CH143" s="12">
        <f t="shared" si="289"/>
        <v>915754</v>
      </c>
      <c r="CI143" s="12">
        <f t="shared" si="290"/>
        <v>-1750</v>
      </c>
      <c r="CJ143" s="199">
        <f t="shared" si="291"/>
        <v>-0.00191099356377368</v>
      </c>
      <c r="CK143" s="192"/>
      <c r="CL143" s="391"/>
      <c r="CM143" s="389"/>
      <c r="CN143" s="390" t="str">
        <f t="shared" si="418"/>
        <v>2025//11//26</v>
      </c>
      <c r="CO143" s="390">
        <v>124946</v>
      </c>
      <c r="CP143" s="390">
        <v>124846</v>
      </c>
      <c r="CQ143" s="12">
        <f t="shared" si="293"/>
        <v>100</v>
      </c>
      <c r="CR143" s="199">
        <f t="shared" si="294"/>
        <v>0.000800986815757013</v>
      </c>
      <c r="CS143" s="391"/>
      <c r="CT143" s="391"/>
      <c r="CU143" s="389"/>
      <c r="CV143" s="390" t="str">
        <f t="shared" si="419"/>
        <v>2025//11//26</v>
      </c>
      <c r="CW143" s="390">
        <v>715590</v>
      </c>
      <c r="CX143" s="390">
        <v>725540</v>
      </c>
      <c r="CY143" s="414">
        <v>-9950</v>
      </c>
      <c r="CZ143" s="415">
        <v>-0.0137</v>
      </c>
      <c r="DA143" s="192"/>
      <c r="DB143" s="192"/>
      <c r="DC143" s="277"/>
      <c r="DD143" s="390" t="str">
        <f t="shared" si="420"/>
        <v>2025//11//26</v>
      </c>
      <c r="DE143" s="390">
        <v>891718</v>
      </c>
      <c r="DF143" s="12">
        <f t="shared" si="298"/>
        <v>898918</v>
      </c>
      <c r="DG143" s="414">
        <v>-3600</v>
      </c>
      <c r="DH143" s="415">
        <v>-0.008</v>
      </c>
      <c r="DI143" s="192"/>
      <c r="DJ143" s="192"/>
      <c r="DK143" s="389"/>
      <c r="DL143" s="390" t="str">
        <f t="shared" si="421"/>
        <v>2025//11//26</v>
      </c>
      <c r="DM143" s="390">
        <v>1538700</v>
      </c>
      <c r="DN143" s="390">
        <v>1577300</v>
      </c>
      <c r="DO143" s="414">
        <v>-38600</v>
      </c>
      <c r="DP143" s="415">
        <v>-0.0245</v>
      </c>
      <c r="DQ143" s="192"/>
      <c r="DR143" s="192"/>
      <c r="DS143" s="389"/>
      <c r="DT143" s="390" t="str">
        <f t="shared" si="422"/>
        <v>2025//11//26</v>
      </c>
      <c r="DU143" s="390">
        <v>1680389</v>
      </c>
      <c r="DV143" s="390">
        <v>1733189</v>
      </c>
      <c r="DW143" s="414">
        <v>-52800</v>
      </c>
      <c r="DX143" s="415">
        <v>-0.0305</v>
      </c>
      <c r="DY143" s="192"/>
      <c r="DZ143" s="192"/>
      <c r="EA143" s="389"/>
      <c r="EB143" s="390" t="str">
        <f t="shared" si="423"/>
        <v>2025//11//26</v>
      </c>
      <c r="EC143" s="390">
        <v>5209017</v>
      </c>
      <c r="ED143" s="390">
        <v>5321067</v>
      </c>
      <c r="EE143" s="414">
        <v>-112050</v>
      </c>
      <c r="EF143" s="415">
        <v>-0.0211</v>
      </c>
      <c r="EG143" s="192"/>
      <c r="EH143" s="192"/>
      <c r="EI143" s="389"/>
      <c r="EJ143" s="390" t="str">
        <f t="shared" si="424"/>
        <v>2025//11//26</v>
      </c>
      <c r="EK143" s="390">
        <v>1609523</v>
      </c>
      <c r="EL143" s="390">
        <v>1649923</v>
      </c>
      <c r="EM143" s="414">
        <v>-40400</v>
      </c>
      <c r="EN143" s="415">
        <v>-0.0245</v>
      </c>
      <c r="EO143" s="192"/>
      <c r="EP143" s="192"/>
      <c r="EQ143" s="340"/>
      <c r="ER143" s="341" t="str">
        <f t="shared" si="425"/>
        <v>2025//11//26</v>
      </c>
      <c r="ES143" s="341">
        <v>528647</v>
      </c>
      <c r="ET143" s="341">
        <v>540947</v>
      </c>
      <c r="EU143" s="341">
        <v>-12300</v>
      </c>
      <c r="EV143" s="350">
        <v>-0.0227</v>
      </c>
      <c r="EW143" s="192"/>
      <c r="EX143" s="192"/>
      <c r="EY143" s="389"/>
      <c r="EZ143" s="390" t="str">
        <f t="shared" si="426"/>
        <v>2025//11//26</v>
      </c>
      <c r="FA143" s="390">
        <v>1204608</v>
      </c>
      <c r="FB143" s="390">
        <v>1200408</v>
      </c>
      <c r="FC143" s="416">
        <v>4200</v>
      </c>
      <c r="FD143" s="417">
        <v>0.0035</v>
      </c>
      <c r="FE143" s="192"/>
      <c r="FF143" s="192"/>
      <c r="FG143" s="192"/>
      <c r="FH143" s="390" t="str">
        <f t="shared" si="427"/>
        <v>2025//11//26</v>
      </c>
      <c r="FI143" s="392">
        <v>130695</v>
      </c>
      <c r="FJ143" s="390">
        <v>125695</v>
      </c>
      <c r="FK143" s="348">
        <v>5000</v>
      </c>
      <c r="FL143" s="349">
        <v>0.0398</v>
      </c>
      <c r="FM143" s="391"/>
      <c r="FN143" s="391"/>
      <c r="FO143" s="389"/>
      <c r="FP143" s="390" t="str">
        <f t="shared" si="428"/>
        <v>2025//11//26</v>
      </c>
      <c r="FQ143" s="390">
        <v>2552369</v>
      </c>
      <c r="FR143" s="390">
        <v>2552069</v>
      </c>
      <c r="FS143" s="416">
        <v>300</v>
      </c>
      <c r="FT143" s="417">
        <v>0.0001</v>
      </c>
      <c r="FU143" s="192"/>
      <c r="FV143" s="192"/>
      <c r="FW143" s="389"/>
      <c r="FX143" s="390" t="str">
        <f t="shared" si="429"/>
        <v>2025//11//26</v>
      </c>
      <c r="FY143" s="390">
        <v>7270982</v>
      </c>
      <c r="FZ143" s="390">
        <v>7287482</v>
      </c>
      <c r="GA143" s="414">
        <v>-16500</v>
      </c>
      <c r="GB143" s="415">
        <v>-0.0023</v>
      </c>
      <c r="GC143" s="192"/>
      <c r="GD143" s="192"/>
      <c r="GE143" s="389"/>
      <c r="GF143" s="390" t="str">
        <f t="shared" si="430"/>
        <v>2025//11//26</v>
      </c>
      <c r="GG143" s="390">
        <v>4388469</v>
      </c>
      <c r="GH143" s="390">
        <v>4401969</v>
      </c>
      <c r="GI143" s="414">
        <v>-13500</v>
      </c>
      <c r="GJ143" s="415">
        <v>-0.0031</v>
      </c>
      <c r="GK143" s="192"/>
      <c r="GL143" s="192"/>
      <c r="GM143" s="389"/>
      <c r="GN143" s="390" t="str">
        <f t="shared" si="431"/>
        <v>2025//11//26</v>
      </c>
      <c r="GO143" s="390">
        <v>1515658</v>
      </c>
      <c r="GP143" s="390">
        <v>1525858</v>
      </c>
      <c r="GQ143" s="414">
        <v>-10200</v>
      </c>
      <c r="GR143" s="415">
        <v>-0.0067</v>
      </c>
      <c r="GS143" s="192"/>
      <c r="GT143" s="192"/>
      <c r="GU143" s="389"/>
      <c r="GV143" s="390" t="str">
        <f t="shared" si="432"/>
        <v>2025//11//26</v>
      </c>
      <c r="GW143" s="390">
        <v>1331949</v>
      </c>
      <c r="GX143" s="390">
        <v>1330349</v>
      </c>
      <c r="GY143" s="416">
        <v>1600</v>
      </c>
      <c r="GZ143" s="417">
        <v>0.0012</v>
      </c>
      <c r="HA143" s="192"/>
      <c r="HB143" s="192"/>
      <c r="HC143" s="389"/>
      <c r="HD143" s="390" t="str">
        <f t="shared" si="433"/>
        <v>2025//11//26</v>
      </c>
      <c r="HE143" s="390">
        <v>1443665</v>
      </c>
      <c r="HF143" s="390">
        <v>1436365</v>
      </c>
      <c r="HG143" s="416">
        <v>7300</v>
      </c>
      <c r="HH143" s="417">
        <v>0.0051</v>
      </c>
      <c r="HI143" s="391"/>
      <c r="HJ143" s="192"/>
      <c r="HK143" s="389"/>
      <c r="HL143" s="390" t="str">
        <f t="shared" si="434"/>
        <v>2025//11//26</v>
      </c>
      <c r="HM143" s="390">
        <v>201804</v>
      </c>
      <c r="HN143" s="390">
        <v>205904</v>
      </c>
      <c r="HO143" s="414">
        <v>-4100</v>
      </c>
      <c r="HP143" s="415">
        <v>-0.0199</v>
      </c>
      <c r="HQ143" s="192"/>
      <c r="HR143" s="192"/>
      <c r="HS143" s="389"/>
      <c r="HT143" s="390" t="str">
        <f t="shared" si="435"/>
        <v>2025//11//26</v>
      </c>
      <c r="HU143" s="390">
        <v>152769</v>
      </c>
      <c r="HV143" s="390">
        <v>153469</v>
      </c>
      <c r="HW143" s="414">
        <v>-700</v>
      </c>
      <c r="HX143" s="415">
        <v>-0.0046</v>
      </c>
      <c r="HY143" s="192"/>
      <c r="HZ143" s="192"/>
      <c r="IA143" s="389"/>
      <c r="IB143" s="390" t="str">
        <f t="shared" si="436"/>
        <v>2025//11//26</v>
      </c>
      <c r="IC143" s="390"/>
      <c r="ID143" s="390"/>
      <c r="IE143" s="390"/>
      <c r="IF143" s="391"/>
      <c r="IG143" s="391"/>
      <c r="IH143" s="192"/>
      <c r="II143" s="389"/>
      <c r="IJ143" s="390" t="str">
        <f t="shared" si="437"/>
        <v>2025//11//26</v>
      </c>
      <c r="IK143" s="390">
        <v>421996</v>
      </c>
      <c r="IL143" s="390">
        <v>422476</v>
      </c>
      <c r="IM143" s="414">
        <v>-480</v>
      </c>
      <c r="IN143" s="415">
        <v>-0.0011</v>
      </c>
      <c r="IO143" s="192"/>
      <c r="IP143" s="192"/>
      <c r="IQ143" s="389"/>
      <c r="IR143" s="390" t="str">
        <f t="shared" si="438"/>
        <v>2025//11//26</v>
      </c>
      <c r="IS143" s="390">
        <v>121789</v>
      </c>
      <c r="IT143" s="390">
        <v>124989</v>
      </c>
      <c r="IU143" s="414">
        <v>-3200</v>
      </c>
      <c r="IV143" s="415">
        <v>-0.0256</v>
      </c>
      <c r="IW143" s="192"/>
      <c r="IX143" s="192"/>
      <c r="IY143" s="389"/>
      <c r="IZ143" s="390" t="str">
        <f t="shared" si="439"/>
        <v>2025//11//26</v>
      </c>
      <c r="JA143" s="390">
        <v>5118329</v>
      </c>
      <c r="JB143" s="390">
        <v>5110029</v>
      </c>
      <c r="JC143" s="416">
        <v>8300</v>
      </c>
      <c r="JD143" s="417">
        <v>0.0016</v>
      </c>
      <c r="JE143" s="192"/>
      <c r="JF143" s="192"/>
      <c r="JG143" s="389"/>
      <c r="JH143" s="390" t="str">
        <f t="shared" si="440"/>
        <v>2025//11//26</v>
      </c>
      <c r="JI143" s="390">
        <v>2258128</v>
      </c>
      <c r="JJ143" s="390">
        <v>2232388</v>
      </c>
      <c r="JK143" s="416">
        <v>25740</v>
      </c>
      <c r="JL143" s="417">
        <v>0.0115</v>
      </c>
      <c r="JM143" s="192"/>
      <c r="JN143" s="192"/>
      <c r="JO143" s="192"/>
      <c r="JP143" s="390" t="str">
        <f t="shared" si="441"/>
        <v>2025//11//26</v>
      </c>
      <c r="JQ143" s="390">
        <v>1161990</v>
      </c>
      <c r="JR143" s="390">
        <v>1163890</v>
      </c>
      <c r="JS143" s="414">
        <v>-1900</v>
      </c>
      <c r="JT143" s="415">
        <v>-0.0016</v>
      </c>
      <c r="JU143" s="192"/>
      <c r="JV143" s="192"/>
      <c r="JW143" s="409"/>
      <c r="JX143" s="390" t="str">
        <f t="shared" si="442"/>
        <v>2025//11//26</v>
      </c>
      <c r="JY143" s="390">
        <v>1507499</v>
      </c>
      <c r="JZ143" s="390">
        <v>1507299</v>
      </c>
      <c r="KA143" s="416">
        <v>200</v>
      </c>
      <c r="KB143" s="417">
        <v>0.0001</v>
      </c>
      <c r="KC143" s="192"/>
      <c r="KD143" s="192"/>
      <c r="KE143" s="409"/>
      <c r="KF143" s="390" t="str">
        <f t="shared" si="443"/>
        <v>2025//11//26</v>
      </c>
      <c r="KG143" s="390">
        <v>904756</v>
      </c>
      <c r="KH143" s="390">
        <v>914356</v>
      </c>
      <c r="KI143" s="414">
        <v>-9600</v>
      </c>
      <c r="KJ143" s="415">
        <v>-0.0105</v>
      </c>
      <c r="KK143" s="391"/>
      <c r="KL143" s="391"/>
      <c r="KM143" s="389"/>
      <c r="KN143" s="390" t="str">
        <f t="shared" si="444"/>
        <v>2025//11//26</v>
      </c>
      <c r="KO143" s="390">
        <v>6339476</v>
      </c>
      <c r="KP143" s="390">
        <v>6338976</v>
      </c>
      <c r="KQ143" s="416">
        <v>500</v>
      </c>
      <c r="KR143" s="417">
        <v>0.0001</v>
      </c>
      <c r="KS143" s="192"/>
      <c r="KT143" s="192"/>
      <c r="KU143" s="389"/>
      <c r="KV143" s="390" t="str">
        <f t="shared" si="445"/>
        <v>2025//11//26</v>
      </c>
      <c r="KW143" s="390">
        <v>987973</v>
      </c>
      <c r="KX143" s="390">
        <v>987973</v>
      </c>
      <c r="KY143" s="390">
        <v>0</v>
      </c>
      <c r="KZ143" s="391">
        <v>0</v>
      </c>
      <c r="LA143" s="391"/>
      <c r="LB143" s="192"/>
      <c r="LC143" s="389"/>
      <c r="LD143" s="390" t="str">
        <f t="shared" si="446"/>
        <v>2025//11//26</v>
      </c>
      <c r="LE143" s="390">
        <v>495758</v>
      </c>
      <c r="LF143" s="390">
        <v>499608</v>
      </c>
      <c r="LG143" s="414">
        <v>-3850</v>
      </c>
      <c r="LH143" s="415">
        <v>-0.0077</v>
      </c>
      <c r="LI143" s="192"/>
      <c r="LJ143" s="192"/>
      <c r="LK143" s="389"/>
      <c r="LL143" s="390" t="str">
        <f t="shared" si="447"/>
        <v>2025//11//26</v>
      </c>
      <c r="LM143" s="392">
        <v>3750595</v>
      </c>
      <c r="LN143" s="390">
        <v>3701815</v>
      </c>
      <c r="LO143" s="416">
        <v>48780</v>
      </c>
      <c r="LP143" s="417">
        <v>0.0132</v>
      </c>
      <c r="LQ143" s="192"/>
      <c r="LR143" s="192"/>
      <c r="LS143" s="389"/>
      <c r="LT143" s="390" t="str">
        <f t="shared" si="448"/>
        <v>2025//11//26</v>
      </c>
      <c r="LU143" s="390">
        <v>2580663</v>
      </c>
      <c r="LV143" s="390">
        <v>2569063</v>
      </c>
      <c r="LW143" s="416">
        <v>11600</v>
      </c>
      <c r="LX143" s="417">
        <v>0.0045</v>
      </c>
      <c r="LY143" s="192"/>
      <c r="LZ143" s="192"/>
      <c r="MA143" s="389"/>
      <c r="MB143" s="390" t="str">
        <f t="shared" si="449"/>
        <v>2025//11//26</v>
      </c>
      <c r="MC143" s="390">
        <v>885868</v>
      </c>
      <c r="MD143" s="390">
        <v>888818</v>
      </c>
      <c r="ME143" s="414">
        <v>-2950</v>
      </c>
      <c r="MF143" s="415">
        <v>-0.0033</v>
      </c>
      <c r="MG143" s="192"/>
      <c r="MH143" s="192"/>
      <c r="MI143" s="342"/>
      <c r="MJ143" s="341">
        <v>1.0028</v>
      </c>
      <c r="MK143" s="341" t="str">
        <f t="shared" si="450"/>
        <v>2025//11//26</v>
      </c>
      <c r="ML143" s="341">
        <v>252466</v>
      </c>
      <c r="MM143" s="12">
        <f t="shared" si="388"/>
        <v>250666</v>
      </c>
      <c r="MN143" s="341">
        <v>1800</v>
      </c>
      <c r="MO143" s="350">
        <v>0.0072</v>
      </c>
      <c r="MP143" s="192"/>
      <c r="MQ143" s="394"/>
      <c r="MR143" s="394"/>
      <c r="MS143" s="391"/>
      <c r="MT143" s="26" t="str">
        <f t="shared" si="451"/>
        <v>2025//11//26</v>
      </c>
      <c r="MX143" s="192"/>
      <c r="MY143" s="192"/>
      <c r="MZ143" s="192"/>
      <c r="NA143" s="192"/>
      <c r="NB143" s="192"/>
      <c r="NC143" s="8" t="str">
        <f t="shared" si="452"/>
        <v>2025//11//26</v>
      </c>
      <c r="NG143" s="192"/>
      <c r="NH143" s="192"/>
      <c r="NI143" s="192"/>
      <c r="NJ143" s="192"/>
      <c r="NK143" s="192"/>
      <c r="NL143" s="8"/>
      <c r="NM143" s="8" t="str">
        <f t="shared" si="453"/>
        <v>2025//11//26</v>
      </c>
      <c r="NQ143" s="192"/>
      <c r="NR143" s="192"/>
      <c r="NS143" s="8"/>
      <c r="NU143" s="8" t="str">
        <f t="shared" si="454"/>
        <v>2025//11//26</v>
      </c>
      <c r="NV143" s="389"/>
      <c r="NW143" s="389"/>
      <c r="NX143" s="389"/>
      <c r="NY143" s="391"/>
      <c r="NZ143" s="391"/>
      <c r="OA143" s="389"/>
      <c r="OB143" s="389"/>
      <c r="OC143" s="390" t="str">
        <f t="shared" si="455"/>
        <v>2025//11//26</v>
      </c>
      <c r="OD143" s="390">
        <v>17796</v>
      </c>
      <c r="OE143" s="390">
        <v>18039</v>
      </c>
      <c r="OF143" s="414">
        <v>-243</v>
      </c>
      <c r="OG143" s="415">
        <v>-0.0135</v>
      </c>
      <c r="OH143" s="192"/>
      <c r="OI143" s="192"/>
      <c r="OJ143" s="389"/>
      <c r="OK143" s="390" t="str">
        <f t="shared" si="456"/>
        <v>2025//11//26</v>
      </c>
      <c r="OL143" s="200">
        <v>11425.65</v>
      </c>
      <c r="OM143" s="8"/>
      <c r="ON143" s="8">
        <f>OL143-OM143</f>
        <v>11425.65</v>
      </c>
      <c r="OO143" s="192"/>
      <c r="OP143" s="192"/>
      <c r="OQ143" s="192"/>
      <c r="OT143" s="26" t="str">
        <f t="shared" si="407"/>
        <v>2025//11//26</v>
      </c>
      <c r="OU143" s="206">
        <v>133992.4066</v>
      </c>
      <c r="OV143" s="8">
        <f t="shared" si="401"/>
        <v>133872.4066</v>
      </c>
      <c r="OW143" s="191">
        <f t="shared" si="402"/>
        <v>120</v>
      </c>
      <c r="OX143" s="192">
        <f t="shared" si="403"/>
        <v>0.00089637590783402</v>
      </c>
    </row>
    <row r="144" s="8" customFormat="1" ht="17" customHeight="1" spans="1:414">
      <c r="A144" s="15"/>
      <c r="B144" s="15"/>
      <c r="C144" s="385" t="s">
        <v>573</v>
      </c>
      <c r="D144" s="395">
        <v>9081049</v>
      </c>
      <c r="E144" s="395">
        <v>9102919</v>
      </c>
      <c r="F144" s="403">
        <v>-21870</v>
      </c>
      <c r="G144" s="404">
        <v>-0.0024</v>
      </c>
      <c r="H144" s="18"/>
      <c r="I144" s="453"/>
      <c r="J144" s="453"/>
      <c r="K144" s="386" t="str">
        <f t="shared" si="408"/>
        <v>2025//11//25</v>
      </c>
      <c r="L144" s="395">
        <v>6644044</v>
      </c>
      <c r="M144" s="395">
        <v>6648004</v>
      </c>
      <c r="N144" s="403">
        <v>-3960</v>
      </c>
      <c r="O144" s="404">
        <v>-0.0006</v>
      </c>
      <c r="P144" s="18"/>
      <c r="Q144" s="453"/>
      <c r="R144" s="454"/>
      <c r="S144" s="386" t="str">
        <f t="shared" si="409"/>
        <v>2025//11//25</v>
      </c>
      <c r="T144" s="395">
        <v>5761687</v>
      </c>
      <c r="U144" s="395">
        <v>5769157</v>
      </c>
      <c r="V144" s="403">
        <v>-7470</v>
      </c>
      <c r="W144" s="404">
        <v>-0.0013</v>
      </c>
      <c r="X144" s="18"/>
      <c r="Y144" s="453"/>
      <c r="Z144" s="454"/>
      <c r="AA144" s="386" t="str">
        <f t="shared" si="410"/>
        <v>2025//11//25</v>
      </c>
      <c r="AB144" s="395">
        <v>1871177</v>
      </c>
      <c r="AC144" s="395">
        <v>1913297</v>
      </c>
      <c r="AD144" s="403">
        <v>-42120</v>
      </c>
      <c r="AE144" s="404">
        <v>-0.022</v>
      </c>
      <c r="AF144" s="18"/>
      <c r="AG144" s="453"/>
      <c r="AH144" s="454"/>
      <c r="AI144" s="386" t="str">
        <f t="shared" si="411"/>
        <v>2025//11//25</v>
      </c>
      <c r="AJ144" s="395">
        <v>2522322</v>
      </c>
      <c r="AK144" s="386">
        <v>2574522</v>
      </c>
      <c r="AL144" s="403">
        <v>-52200</v>
      </c>
      <c r="AM144" s="404">
        <v>-0.0203</v>
      </c>
      <c r="AN144" s="18"/>
      <c r="AO144" s="18"/>
      <c r="AP144" s="454"/>
      <c r="AQ144" s="386" t="str">
        <f t="shared" si="412"/>
        <v>2025//11//25</v>
      </c>
      <c r="AR144" s="418">
        <v>3319545</v>
      </c>
      <c r="AS144" s="395">
        <v>3400045</v>
      </c>
      <c r="AT144" s="403">
        <v>-80500</v>
      </c>
      <c r="AU144" s="404">
        <v>-0.0237</v>
      </c>
      <c r="AV144" s="18"/>
      <c r="AW144" s="18"/>
      <c r="AX144" s="17"/>
      <c r="AY144" s="17"/>
      <c r="AZ144" s="17" t="str">
        <f t="shared" si="413"/>
        <v>2025//11//25</v>
      </c>
      <c r="BA144" s="17"/>
      <c r="BB144" s="17"/>
      <c r="BC144" s="17"/>
      <c r="BD144" s="18"/>
      <c r="BE144" s="18"/>
      <c r="BF144" s="18"/>
      <c r="BG144" s="74"/>
      <c r="BH144" s="387" t="str">
        <f t="shared" si="414"/>
        <v>2025//11//25</v>
      </c>
      <c r="BI144" s="387">
        <v>134227</v>
      </c>
      <c r="BJ144" s="387">
        <v>135527</v>
      </c>
      <c r="BK144" s="462">
        <v>-1300</v>
      </c>
      <c r="BL144" s="463">
        <v>-0.0096</v>
      </c>
      <c r="BM144" s="197"/>
      <c r="BN144" s="192"/>
      <c r="BO144" s="389"/>
      <c r="BP144" s="390" t="str">
        <f t="shared" si="415"/>
        <v>2025//11//25</v>
      </c>
      <c r="BQ144" s="392">
        <v>641362</v>
      </c>
      <c r="BR144" s="390">
        <v>651662</v>
      </c>
      <c r="BS144" s="414">
        <v>-10300</v>
      </c>
      <c r="BT144" s="415">
        <v>-0.0158</v>
      </c>
      <c r="BU144" s="192"/>
      <c r="BV144" s="192"/>
      <c r="BW144" s="389"/>
      <c r="BX144" s="390" t="str">
        <f t="shared" si="416"/>
        <v>2025//11//25</v>
      </c>
      <c r="BY144" s="390">
        <v>2267361</v>
      </c>
      <c r="BZ144" s="390">
        <v>2276461</v>
      </c>
      <c r="CA144" s="414">
        <v>-9100</v>
      </c>
      <c r="CB144" s="415">
        <v>-0.004</v>
      </c>
      <c r="CC144" s="192"/>
      <c r="CD144" s="409"/>
      <c r="CE144" s="389"/>
      <c r="CF144" s="390" t="str">
        <f t="shared" si="417"/>
        <v>2025//11//25</v>
      </c>
      <c r="CG144" s="390">
        <v>915754</v>
      </c>
      <c r="CH144" s="12">
        <f t="shared" si="289"/>
        <v>920054</v>
      </c>
      <c r="CI144" s="12">
        <f t="shared" si="290"/>
        <v>-4300</v>
      </c>
      <c r="CJ144" s="199">
        <f t="shared" si="291"/>
        <v>-0.00467363872120549</v>
      </c>
      <c r="CK144" s="192"/>
      <c r="CL144" s="391"/>
      <c r="CM144" s="389"/>
      <c r="CN144" s="390" t="str">
        <f t="shared" si="418"/>
        <v>2025//11//25</v>
      </c>
      <c r="CO144" s="390">
        <v>124846</v>
      </c>
      <c r="CP144" s="390">
        <v>124146</v>
      </c>
      <c r="CQ144" s="12">
        <f t="shared" si="293"/>
        <v>700</v>
      </c>
      <c r="CR144" s="199">
        <f t="shared" si="294"/>
        <v>0.00563852238493387</v>
      </c>
      <c r="CS144" s="391"/>
      <c r="CT144" s="391"/>
      <c r="CU144" s="389"/>
      <c r="CV144" s="390" t="str">
        <f t="shared" si="419"/>
        <v>2025//11//25</v>
      </c>
      <c r="CW144" s="390">
        <v>725540</v>
      </c>
      <c r="CX144" s="390">
        <v>728990</v>
      </c>
      <c r="CY144" s="414">
        <v>-3450</v>
      </c>
      <c r="CZ144" s="415">
        <v>-0.0047</v>
      </c>
      <c r="DA144" s="192"/>
      <c r="DB144" s="192"/>
      <c r="DC144" s="277"/>
      <c r="DD144" s="390" t="str">
        <f t="shared" si="420"/>
        <v>2025//11//25</v>
      </c>
      <c r="DE144" s="390">
        <v>898918</v>
      </c>
      <c r="DF144" s="12">
        <f t="shared" si="298"/>
        <v>907718</v>
      </c>
      <c r="DG144" s="414">
        <v>-4400</v>
      </c>
      <c r="DH144" s="415">
        <v>-0.0097</v>
      </c>
      <c r="DI144" s="192"/>
      <c r="DJ144" s="192"/>
      <c r="DK144" s="389"/>
      <c r="DL144" s="390" t="str">
        <f t="shared" si="421"/>
        <v>2025//11//25</v>
      </c>
      <c r="DM144" s="390">
        <v>1577300</v>
      </c>
      <c r="DN144" s="390">
        <v>1590700</v>
      </c>
      <c r="DO144" s="414">
        <v>-13400</v>
      </c>
      <c r="DP144" s="415">
        <v>-0.0084</v>
      </c>
      <c r="DQ144" s="192"/>
      <c r="DR144" s="192"/>
      <c r="DS144" s="389"/>
      <c r="DT144" s="390" t="str">
        <f t="shared" si="422"/>
        <v>2025//11//25</v>
      </c>
      <c r="DU144" s="390">
        <v>1733189</v>
      </c>
      <c r="DV144" s="390">
        <v>1759889</v>
      </c>
      <c r="DW144" s="414">
        <v>-26700</v>
      </c>
      <c r="DX144" s="415">
        <v>-0.0152</v>
      </c>
      <c r="DY144" s="192"/>
      <c r="DZ144" s="192"/>
      <c r="EA144" s="389"/>
      <c r="EB144" s="390" t="str">
        <f t="shared" si="423"/>
        <v>2025//11//25</v>
      </c>
      <c r="EC144" s="390">
        <v>5321067</v>
      </c>
      <c r="ED144" s="390">
        <v>5364717</v>
      </c>
      <c r="EE144" s="414">
        <v>-43650</v>
      </c>
      <c r="EF144" s="415">
        <v>-0.0081</v>
      </c>
      <c r="EG144" s="192"/>
      <c r="EH144" s="192"/>
      <c r="EI144" s="389"/>
      <c r="EJ144" s="390" t="str">
        <f t="shared" si="424"/>
        <v>2025//11//25</v>
      </c>
      <c r="EK144" s="390">
        <v>1649923</v>
      </c>
      <c r="EL144" s="390">
        <v>1648323</v>
      </c>
      <c r="EM144" s="416">
        <v>1600</v>
      </c>
      <c r="EN144" s="417">
        <v>0.001</v>
      </c>
      <c r="EO144" s="192"/>
      <c r="EP144" s="192"/>
      <c r="EQ144" s="192"/>
      <c r="ER144" s="8" t="str">
        <f t="shared" si="425"/>
        <v>2025//11//25</v>
      </c>
      <c r="ES144" s="341">
        <v>540947</v>
      </c>
      <c r="ET144" s="341"/>
      <c r="EU144" s="341">
        <v>-3300</v>
      </c>
      <c r="EV144" s="350">
        <v>-0.0061</v>
      </c>
      <c r="EW144" s="192"/>
      <c r="EX144" s="192"/>
      <c r="EY144" s="389"/>
      <c r="EZ144" s="390" t="str">
        <f t="shared" si="426"/>
        <v>2025//11//25</v>
      </c>
      <c r="FA144" s="390">
        <v>1200408</v>
      </c>
      <c r="FB144" s="390">
        <v>1207708</v>
      </c>
      <c r="FC144" s="414">
        <v>-7300</v>
      </c>
      <c r="FD144" s="415">
        <v>-0.006</v>
      </c>
      <c r="FE144" s="192"/>
      <c r="FF144" s="192"/>
      <c r="FG144" s="192"/>
      <c r="FH144" s="390" t="str">
        <f t="shared" si="427"/>
        <v>2025//11//25</v>
      </c>
      <c r="FI144" s="392">
        <v>125695</v>
      </c>
      <c r="FJ144" s="390">
        <v>123495</v>
      </c>
      <c r="FK144" s="348">
        <v>2200</v>
      </c>
      <c r="FL144" s="349">
        <v>0.0178</v>
      </c>
      <c r="FM144" s="391"/>
      <c r="FN144" s="391"/>
      <c r="FO144" s="389"/>
      <c r="FP144" s="390" t="str">
        <f t="shared" si="428"/>
        <v>2025//11//25</v>
      </c>
      <c r="FQ144" s="390">
        <v>2552069</v>
      </c>
      <c r="FR144" s="390">
        <v>2546069</v>
      </c>
      <c r="FS144" s="416">
        <v>6000</v>
      </c>
      <c r="FT144" s="417">
        <v>0.0024</v>
      </c>
      <c r="FU144" s="192"/>
      <c r="FV144" s="192"/>
      <c r="FW144" s="389"/>
      <c r="FX144" s="390" t="str">
        <f t="shared" si="429"/>
        <v>2025//11//25</v>
      </c>
      <c r="FY144" s="390">
        <v>7287482</v>
      </c>
      <c r="FZ144" s="390">
        <v>7302882</v>
      </c>
      <c r="GA144" s="414">
        <v>-15400</v>
      </c>
      <c r="GB144" s="415">
        <v>-0.0021</v>
      </c>
      <c r="GC144" s="192"/>
      <c r="GD144" s="192"/>
      <c r="GE144" s="389"/>
      <c r="GF144" s="390" t="str">
        <f t="shared" si="430"/>
        <v>2025//11//25</v>
      </c>
      <c r="GG144" s="390">
        <v>4401969</v>
      </c>
      <c r="GH144" s="390">
        <v>4396969</v>
      </c>
      <c r="GI144" s="416">
        <v>5000</v>
      </c>
      <c r="GJ144" s="417">
        <v>0.0011</v>
      </c>
      <c r="GK144" s="192"/>
      <c r="GL144" s="192"/>
      <c r="GM144" s="389"/>
      <c r="GN144" s="390" t="str">
        <f t="shared" si="431"/>
        <v>2025//11//25</v>
      </c>
      <c r="GO144" s="390">
        <v>1525858</v>
      </c>
      <c r="GP144" s="390">
        <v>1528918</v>
      </c>
      <c r="GQ144" s="414">
        <v>-3060</v>
      </c>
      <c r="GR144" s="415">
        <v>-0.002</v>
      </c>
      <c r="GS144" s="192"/>
      <c r="GT144" s="192"/>
      <c r="GU144" s="389"/>
      <c r="GV144" s="390" t="str">
        <f t="shared" si="432"/>
        <v>2025//11//25</v>
      </c>
      <c r="GW144" s="390">
        <v>1330349</v>
      </c>
      <c r="GX144" s="390">
        <v>1348949</v>
      </c>
      <c r="GY144" s="414">
        <v>-18600</v>
      </c>
      <c r="GZ144" s="415">
        <v>-0.0138</v>
      </c>
      <c r="HA144" s="192"/>
      <c r="HB144" s="192"/>
      <c r="HC144" s="389"/>
      <c r="HD144" s="390" t="str">
        <f t="shared" si="433"/>
        <v>2025//11//25</v>
      </c>
      <c r="HE144" s="390">
        <v>1436365</v>
      </c>
      <c r="HF144" s="390">
        <v>1451165</v>
      </c>
      <c r="HG144" s="414">
        <v>-14800</v>
      </c>
      <c r="HH144" s="415">
        <v>-0.0102</v>
      </c>
      <c r="HI144" s="391"/>
      <c r="HJ144" s="192"/>
      <c r="HK144" s="389"/>
      <c r="HL144" s="390" t="str">
        <f t="shared" si="434"/>
        <v>2025//11//25</v>
      </c>
      <c r="HM144" s="390">
        <v>205904</v>
      </c>
      <c r="HN144" s="390">
        <v>209054</v>
      </c>
      <c r="HO144" s="414">
        <v>-3150</v>
      </c>
      <c r="HP144" s="415">
        <v>-0.0151</v>
      </c>
      <c r="HQ144" s="192"/>
      <c r="HR144" s="192"/>
      <c r="HS144" s="389"/>
      <c r="HT144" s="390" t="str">
        <f t="shared" si="435"/>
        <v>2025//11//25</v>
      </c>
      <c r="HU144" s="390">
        <v>153469</v>
      </c>
      <c r="HV144" s="390">
        <v>157069</v>
      </c>
      <c r="HW144" s="414">
        <v>-3600</v>
      </c>
      <c r="HX144" s="415">
        <v>-0.0229</v>
      </c>
      <c r="HY144" s="192"/>
      <c r="HZ144" s="192"/>
      <c r="IA144" s="389"/>
      <c r="IB144" s="390" t="str">
        <f t="shared" si="436"/>
        <v>2025//11//25</v>
      </c>
      <c r="IC144" s="390"/>
      <c r="ID144" s="8"/>
      <c r="IE144" s="390"/>
      <c r="IF144" s="391"/>
      <c r="IG144" s="391"/>
      <c r="IH144" s="192"/>
      <c r="II144" s="389"/>
      <c r="IJ144" s="390" t="str">
        <f t="shared" si="437"/>
        <v>2025//11//25</v>
      </c>
      <c r="IK144" s="390">
        <v>422476</v>
      </c>
      <c r="IL144" s="390">
        <v>418956</v>
      </c>
      <c r="IM144" s="416">
        <v>3520</v>
      </c>
      <c r="IN144" s="417">
        <v>0.0084</v>
      </c>
      <c r="IO144" s="192"/>
      <c r="IP144" s="192"/>
      <c r="IQ144" s="389"/>
      <c r="IR144" s="390" t="str">
        <f t="shared" si="438"/>
        <v>2025//11//25</v>
      </c>
      <c r="IS144" s="390">
        <v>124989</v>
      </c>
      <c r="IT144" s="390">
        <v>122589</v>
      </c>
      <c r="IU144" s="416">
        <v>2400</v>
      </c>
      <c r="IV144" s="417">
        <v>0.0196</v>
      </c>
      <c r="IW144" s="192"/>
      <c r="IX144" s="192"/>
      <c r="IY144" s="389"/>
      <c r="IZ144" s="390" t="str">
        <f t="shared" si="439"/>
        <v>2025//11//25</v>
      </c>
      <c r="JA144" s="390">
        <v>5110029</v>
      </c>
      <c r="JB144" s="390">
        <v>5122629</v>
      </c>
      <c r="JC144" s="414">
        <v>-12600</v>
      </c>
      <c r="JD144" s="415">
        <v>-0.0025</v>
      </c>
      <c r="JE144" s="192"/>
      <c r="JF144" s="192"/>
      <c r="JG144" s="389"/>
      <c r="JH144" s="390" t="str">
        <f t="shared" si="440"/>
        <v>2025//11//25</v>
      </c>
      <c r="JI144" s="390">
        <v>2232388</v>
      </c>
      <c r="JJ144" s="390">
        <v>2225968</v>
      </c>
      <c r="JK144" s="416">
        <v>6420</v>
      </c>
      <c r="JL144" s="417">
        <v>0.0029</v>
      </c>
      <c r="JM144" s="192"/>
      <c r="JN144" s="192"/>
      <c r="JO144" s="192"/>
      <c r="JP144" s="390" t="str">
        <f t="shared" si="441"/>
        <v>2025//11//25</v>
      </c>
      <c r="JQ144" s="390">
        <v>1163890</v>
      </c>
      <c r="JR144" s="390">
        <v>1173390</v>
      </c>
      <c r="JS144" s="414">
        <v>-9500</v>
      </c>
      <c r="JT144" s="415">
        <v>-0.0081</v>
      </c>
      <c r="JU144" s="192"/>
      <c r="JV144" s="192"/>
      <c r="JW144" s="409"/>
      <c r="JX144" s="390" t="str">
        <f t="shared" si="442"/>
        <v>2025//11//25</v>
      </c>
      <c r="JY144" s="390">
        <v>1507299</v>
      </c>
      <c r="JZ144" s="390">
        <v>1507149</v>
      </c>
      <c r="KA144" s="416">
        <v>150</v>
      </c>
      <c r="KB144" s="417">
        <v>0.0001</v>
      </c>
      <c r="KC144" s="192"/>
      <c r="KD144" s="192"/>
      <c r="KE144" s="409"/>
      <c r="KF144" s="390" t="str">
        <f t="shared" si="443"/>
        <v>2025//11//25</v>
      </c>
      <c r="KG144" s="390">
        <v>914356</v>
      </c>
      <c r="KH144" s="390">
        <v>922356</v>
      </c>
      <c r="KI144" s="414">
        <v>-8000</v>
      </c>
      <c r="KJ144" s="415">
        <v>-0.0087</v>
      </c>
      <c r="KK144" s="391"/>
      <c r="KL144" s="391"/>
      <c r="KM144" s="389"/>
      <c r="KN144" s="390" t="str">
        <f t="shared" si="444"/>
        <v>2025//11//25</v>
      </c>
      <c r="KO144" s="390">
        <v>6338976</v>
      </c>
      <c r="KP144" s="390">
        <v>6338476</v>
      </c>
      <c r="KQ144" s="416">
        <v>500</v>
      </c>
      <c r="KR144" s="417">
        <v>0.0001</v>
      </c>
      <c r="KS144" s="192"/>
      <c r="KT144" s="192"/>
      <c r="KU144" s="389"/>
      <c r="KV144" s="390" t="str">
        <f t="shared" si="445"/>
        <v>2025//11//25</v>
      </c>
      <c r="KW144" s="390">
        <v>987973</v>
      </c>
      <c r="KX144" s="390">
        <v>991373</v>
      </c>
      <c r="KY144" s="346">
        <v>-3400</v>
      </c>
      <c r="KZ144" s="347">
        <v>-0.0034</v>
      </c>
      <c r="LA144" s="391"/>
      <c r="LB144" s="192"/>
      <c r="LC144" s="389"/>
      <c r="LD144" s="390" t="str">
        <f t="shared" si="446"/>
        <v>2025//11//25</v>
      </c>
      <c r="LE144" s="390">
        <v>499608</v>
      </c>
      <c r="LF144" s="390">
        <v>506958</v>
      </c>
      <c r="LG144" s="414">
        <v>-7350</v>
      </c>
      <c r="LH144" s="415">
        <v>-0.0145</v>
      </c>
      <c r="LI144" s="192"/>
      <c r="LJ144" s="192"/>
      <c r="LK144" s="389"/>
      <c r="LL144" s="390" t="str">
        <f t="shared" si="447"/>
        <v>2025//11//25</v>
      </c>
      <c r="LM144" s="392">
        <v>3701815</v>
      </c>
      <c r="LN144" s="390">
        <v>3681835</v>
      </c>
      <c r="LO144" s="416">
        <v>19980</v>
      </c>
      <c r="LP144" s="417">
        <v>0.0054</v>
      </c>
      <c r="LQ144" s="192"/>
      <c r="LR144" s="192"/>
      <c r="LS144" s="389"/>
      <c r="LT144" s="390" t="str">
        <f t="shared" si="448"/>
        <v>2025//11//25</v>
      </c>
      <c r="LU144" s="390">
        <v>2569063</v>
      </c>
      <c r="LV144" s="390">
        <v>2569863</v>
      </c>
      <c r="LW144" s="414">
        <v>-800</v>
      </c>
      <c r="LX144" s="415">
        <v>-0.0003</v>
      </c>
      <c r="LY144" s="192"/>
      <c r="LZ144" s="192"/>
      <c r="MA144" s="389"/>
      <c r="MB144" s="390" t="str">
        <f t="shared" si="449"/>
        <v>2025//11//25</v>
      </c>
      <c r="MC144" s="390">
        <v>888818</v>
      </c>
      <c r="MD144" s="390">
        <v>893268</v>
      </c>
      <c r="ME144" s="414">
        <v>-4450</v>
      </c>
      <c r="MF144" s="415">
        <v>-0.005</v>
      </c>
      <c r="MG144" s="192"/>
      <c r="MH144" s="192"/>
      <c r="MI144" s="389"/>
      <c r="MJ144" s="389"/>
      <c r="MK144" s="390" t="str">
        <f t="shared" si="450"/>
        <v>2025//11//25</v>
      </c>
      <c r="ML144" s="341">
        <v>250666</v>
      </c>
      <c r="MM144" s="203"/>
      <c r="MN144" s="341">
        <v>1560</v>
      </c>
      <c r="MO144" s="350">
        <v>0.0063</v>
      </c>
      <c r="MP144" s="192"/>
      <c r="MQ144" s="391"/>
      <c r="MR144" s="391"/>
      <c r="MS144" s="391"/>
      <c r="MT144" s="26" t="str">
        <f t="shared" si="451"/>
        <v>2025//11//25</v>
      </c>
      <c r="MX144" s="192"/>
      <c r="MY144" s="192"/>
      <c r="MZ144" s="192"/>
      <c r="NA144" s="192"/>
      <c r="NB144" s="192"/>
      <c r="NC144" s="8" t="str">
        <f t="shared" si="452"/>
        <v>2025//11//25</v>
      </c>
      <c r="NG144" s="192"/>
      <c r="NH144" s="192"/>
      <c r="NI144" s="192"/>
      <c r="NJ144" s="192"/>
      <c r="NK144" s="192"/>
      <c r="NL144" s="8"/>
      <c r="NM144" s="8" t="str">
        <f t="shared" si="453"/>
        <v>2025//11//25</v>
      </c>
      <c r="NQ144" s="192"/>
      <c r="NR144" s="192"/>
      <c r="NS144" s="8"/>
      <c r="NU144" s="8" t="str">
        <f t="shared" si="454"/>
        <v>2025//11//25</v>
      </c>
      <c r="NV144" s="389"/>
      <c r="NW144" s="389"/>
      <c r="NX144" s="389"/>
      <c r="NY144" s="391"/>
      <c r="NZ144" s="391"/>
      <c r="OA144" s="389"/>
      <c r="OB144" s="389"/>
      <c r="OC144" s="390" t="str">
        <f t="shared" si="455"/>
        <v>2025//11//25</v>
      </c>
      <c r="OD144" s="390">
        <v>18039</v>
      </c>
      <c r="OE144" s="390">
        <v>18001</v>
      </c>
      <c r="OF144" s="416">
        <v>38</v>
      </c>
      <c r="OG144" s="417">
        <v>0.0021</v>
      </c>
      <c r="OH144" s="192"/>
      <c r="OI144" s="192"/>
      <c r="OJ144" s="389"/>
      <c r="OK144" s="390" t="str">
        <f t="shared" si="456"/>
        <v>2025//11//25</v>
      </c>
      <c r="OO144" s="192"/>
      <c r="OP144" s="192"/>
      <c r="OQ144" s="192"/>
      <c r="OT144" s="26" t="str">
        <f t="shared" si="407"/>
        <v>2025//11//25</v>
      </c>
      <c r="OU144" s="206">
        <v>133872.4066</v>
      </c>
      <c r="OV144" s="8">
        <f t="shared" si="401"/>
        <v>133752.4066</v>
      </c>
      <c r="OW144" s="191">
        <f t="shared" si="402"/>
        <v>120</v>
      </c>
      <c r="OX144" s="192">
        <f t="shared" si="403"/>
        <v>0.00089718011847721</v>
      </c>
    </row>
    <row r="145" s="8" customFormat="1" ht="17" customHeight="1" spans="1:414">
      <c r="A145" s="15"/>
      <c r="B145" s="15"/>
      <c r="C145" s="385" t="s">
        <v>574</v>
      </c>
      <c r="D145" s="395">
        <v>9102919</v>
      </c>
      <c r="E145" s="395">
        <v>9022549</v>
      </c>
      <c r="F145" s="459">
        <v>80370</v>
      </c>
      <c r="G145" s="460">
        <v>0.0089</v>
      </c>
      <c r="H145" s="18"/>
      <c r="I145" s="453"/>
      <c r="J145" s="453"/>
      <c r="K145" s="386" t="str">
        <f t="shared" si="408"/>
        <v>2025//11//24</v>
      </c>
      <c r="L145" s="395">
        <v>6648004</v>
      </c>
      <c r="M145" s="395">
        <v>6636574</v>
      </c>
      <c r="N145" s="459">
        <v>11430</v>
      </c>
      <c r="O145" s="460">
        <v>0.0017</v>
      </c>
      <c r="P145" s="18"/>
      <c r="Q145" s="453"/>
      <c r="R145" s="454"/>
      <c r="S145" s="386" t="str">
        <f t="shared" si="409"/>
        <v>2025//11//24</v>
      </c>
      <c r="T145" s="395">
        <v>5769157</v>
      </c>
      <c r="U145" s="395">
        <v>5719747</v>
      </c>
      <c r="V145" s="459">
        <v>49410</v>
      </c>
      <c r="W145" s="460">
        <v>0.0086</v>
      </c>
      <c r="X145" s="18"/>
      <c r="Y145" s="453"/>
      <c r="Z145" s="454"/>
      <c r="AA145" s="386" t="str">
        <f t="shared" si="410"/>
        <v>2025//11//24</v>
      </c>
      <c r="AB145" s="395">
        <v>1913297</v>
      </c>
      <c r="AC145" s="395">
        <v>1900417</v>
      </c>
      <c r="AD145" s="459">
        <v>12880</v>
      </c>
      <c r="AE145" s="460">
        <v>0.0068</v>
      </c>
      <c r="AF145" s="18"/>
      <c r="AG145" s="453"/>
      <c r="AH145" s="454"/>
      <c r="AI145" s="386" t="str">
        <f t="shared" si="411"/>
        <v>2025//11//24</v>
      </c>
      <c r="AJ145" s="395">
        <v>2574522</v>
      </c>
      <c r="AK145" s="386">
        <v>2570322</v>
      </c>
      <c r="AL145" s="459">
        <v>4200</v>
      </c>
      <c r="AM145" s="460">
        <v>0.0016</v>
      </c>
      <c r="AN145" s="18"/>
      <c r="AO145" s="18"/>
      <c r="AP145" s="454"/>
      <c r="AQ145" s="386" t="str">
        <f t="shared" si="412"/>
        <v>2025//11//24</v>
      </c>
      <c r="AR145" s="418">
        <v>3400045</v>
      </c>
      <c r="AS145" s="395">
        <v>3398345</v>
      </c>
      <c r="AT145" s="459">
        <v>1700</v>
      </c>
      <c r="AU145" s="460">
        <v>0.0005</v>
      </c>
      <c r="AV145" s="18"/>
      <c r="AW145" s="18"/>
      <c r="AX145" s="17"/>
      <c r="AY145" s="17"/>
      <c r="AZ145" s="17" t="str">
        <f t="shared" si="413"/>
        <v>2025//11//24</v>
      </c>
      <c r="BA145" s="17"/>
      <c r="BB145" s="17"/>
      <c r="BC145" s="17"/>
      <c r="BD145" s="18"/>
      <c r="BE145" s="18"/>
      <c r="BF145" s="18"/>
      <c r="BG145" s="74"/>
      <c r="BH145" s="387" t="str">
        <f t="shared" si="414"/>
        <v>2025//11//24</v>
      </c>
      <c r="BI145" s="387">
        <v>135527</v>
      </c>
      <c r="BJ145" s="387">
        <v>136927</v>
      </c>
      <c r="BK145" s="462">
        <v>-1400</v>
      </c>
      <c r="BL145" s="463">
        <v>-0.0102</v>
      </c>
      <c r="BM145" s="197"/>
      <c r="BN145" s="192"/>
      <c r="BO145" s="389"/>
      <c r="BP145" s="390" t="str">
        <f t="shared" si="415"/>
        <v>2025//11//24</v>
      </c>
      <c r="BQ145" s="392">
        <v>651662</v>
      </c>
      <c r="BR145" s="390">
        <v>642462</v>
      </c>
      <c r="BS145" s="416">
        <v>9200</v>
      </c>
      <c r="BT145" s="417">
        <v>0.0143</v>
      </c>
      <c r="BU145" s="192"/>
      <c r="BV145" s="192"/>
      <c r="BW145" s="389"/>
      <c r="BX145" s="390" t="str">
        <f t="shared" si="416"/>
        <v>2025//11//24</v>
      </c>
      <c r="BY145" s="390">
        <v>2276461</v>
      </c>
      <c r="BZ145" s="390">
        <v>2298161</v>
      </c>
      <c r="CA145" s="414">
        <v>-21700</v>
      </c>
      <c r="CB145" s="415">
        <v>-0.0094</v>
      </c>
      <c r="CC145" s="192"/>
      <c r="CD145" s="409"/>
      <c r="CE145" s="389"/>
      <c r="CF145" s="390" t="str">
        <f t="shared" si="417"/>
        <v>2025//11//24</v>
      </c>
      <c r="CG145" s="390">
        <v>920054</v>
      </c>
      <c r="CH145" s="12">
        <f t="shared" si="289"/>
        <v>920154</v>
      </c>
      <c r="CI145" s="12">
        <f t="shared" si="290"/>
        <v>-100</v>
      </c>
      <c r="CJ145" s="199">
        <f t="shared" si="291"/>
        <v>-0.000108677460512045</v>
      </c>
      <c r="CK145" s="192"/>
      <c r="CL145" s="391"/>
      <c r="CM145" s="389"/>
      <c r="CN145" s="390" t="str">
        <f t="shared" si="418"/>
        <v>2025//11//24</v>
      </c>
      <c r="CO145" s="390">
        <v>124146</v>
      </c>
      <c r="CP145" s="390">
        <v>122046</v>
      </c>
      <c r="CQ145" s="12">
        <f t="shared" si="293"/>
        <v>2100</v>
      </c>
      <c r="CR145" s="199">
        <f t="shared" si="294"/>
        <v>0.0172066270094882</v>
      </c>
      <c r="CS145" s="391"/>
      <c r="CT145" s="391"/>
      <c r="CU145" s="389"/>
      <c r="CV145" s="390" t="str">
        <f t="shared" si="419"/>
        <v>2025//11//24</v>
      </c>
      <c r="CW145" s="390">
        <v>728990</v>
      </c>
      <c r="CX145" s="390">
        <v>727540</v>
      </c>
      <c r="CY145" s="416">
        <v>1450</v>
      </c>
      <c r="CZ145" s="417">
        <v>0.002</v>
      </c>
      <c r="DA145" s="192"/>
      <c r="DB145" s="192"/>
      <c r="DC145" s="277"/>
      <c r="DD145" s="390" t="str">
        <f t="shared" si="420"/>
        <v>2025//11//24</v>
      </c>
      <c r="DE145" s="390">
        <v>907718</v>
      </c>
      <c r="DF145" s="12">
        <f t="shared" si="298"/>
        <v>915318</v>
      </c>
      <c r="DG145" s="414">
        <v>-3800</v>
      </c>
      <c r="DH145" s="415">
        <v>-0.0083</v>
      </c>
      <c r="DI145" s="192"/>
      <c r="DJ145" s="192"/>
      <c r="DK145" s="389"/>
      <c r="DL145" s="390" t="str">
        <f t="shared" si="421"/>
        <v>2025//11//24</v>
      </c>
      <c r="DM145" s="390">
        <v>1590700</v>
      </c>
      <c r="DN145" s="390">
        <v>1596700</v>
      </c>
      <c r="DO145" s="414">
        <v>-6000</v>
      </c>
      <c r="DP145" s="415">
        <v>-0.0038</v>
      </c>
      <c r="DQ145" s="192"/>
      <c r="DR145" s="192"/>
      <c r="DS145" s="389"/>
      <c r="DT145" s="390" t="str">
        <f t="shared" si="422"/>
        <v>2025//11//24</v>
      </c>
      <c r="DU145" s="390">
        <v>1759889</v>
      </c>
      <c r="DV145" s="390">
        <v>1762289</v>
      </c>
      <c r="DW145" s="414">
        <v>-2400</v>
      </c>
      <c r="DX145" s="415">
        <v>-0.0014</v>
      </c>
      <c r="DY145" s="192"/>
      <c r="DZ145" s="192"/>
      <c r="EA145" s="389"/>
      <c r="EB145" s="390" t="str">
        <f t="shared" si="423"/>
        <v>2025//11//24</v>
      </c>
      <c r="EC145" s="390">
        <v>5364717</v>
      </c>
      <c r="ED145" s="390">
        <v>5326467</v>
      </c>
      <c r="EE145" s="416">
        <v>38250</v>
      </c>
      <c r="EF145" s="417">
        <v>0.0072</v>
      </c>
      <c r="EG145" s="192"/>
      <c r="EH145" s="192"/>
      <c r="EI145" s="389"/>
      <c r="EJ145" s="390" t="str">
        <f t="shared" si="424"/>
        <v>2025//11//24</v>
      </c>
      <c r="EK145" s="390">
        <v>1648323</v>
      </c>
      <c r="EL145" s="390">
        <v>1645123</v>
      </c>
      <c r="EM145" s="416">
        <v>3200</v>
      </c>
      <c r="EN145" s="417">
        <v>0.0019</v>
      </c>
      <c r="EO145" s="192"/>
      <c r="EP145" s="192"/>
      <c r="EQ145" s="192"/>
      <c r="ER145" s="8" t="str">
        <f t="shared" si="425"/>
        <v>2025//11//24</v>
      </c>
      <c r="ES145" s="192"/>
      <c r="ET145" s="192"/>
      <c r="EU145" s="192"/>
      <c r="EV145" s="192"/>
      <c r="EW145" s="192"/>
      <c r="EX145" s="192"/>
      <c r="EY145" s="389"/>
      <c r="EZ145" s="390" t="str">
        <f t="shared" si="426"/>
        <v>2025//11//24</v>
      </c>
      <c r="FA145" s="390">
        <v>1207708</v>
      </c>
      <c r="FB145" s="390">
        <v>1222708</v>
      </c>
      <c r="FC145" s="414">
        <v>-15000</v>
      </c>
      <c r="FD145" s="415">
        <v>-0.0123</v>
      </c>
      <c r="FE145" s="192"/>
      <c r="FF145" s="192"/>
      <c r="FG145" s="192"/>
      <c r="FH145" s="390" t="str">
        <f t="shared" si="427"/>
        <v>2025//11//24</v>
      </c>
      <c r="FI145" s="392">
        <v>123495</v>
      </c>
      <c r="FJ145" s="390">
        <v>123895</v>
      </c>
      <c r="FK145" s="346">
        <v>-400</v>
      </c>
      <c r="FL145" s="347">
        <v>-0.0032</v>
      </c>
      <c r="FM145" s="391"/>
      <c r="FN145" s="391"/>
      <c r="FO145" s="389"/>
      <c r="FP145" s="390" t="str">
        <f t="shared" si="428"/>
        <v>2025//11//24</v>
      </c>
      <c r="FQ145" s="390">
        <v>2546069</v>
      </c>
      <c r="FR145" s="390">
        <v>2531069</v>
      </c>
      <c r="FS145" s="416">
        <v>15000</v>
      </c>
      <c r="FT145" s="417">
        <v>0.0059</v>
      </c>
      <c r="FU145" s="192"/>
      <c r="FV145" s="192"/>
      <c r="FW145" s="389"/>
      <c r="FX145" s="390" t="str">
        <f t="shared" si="429"/>
        <v>2025//11//24</v>
      </c>
      <c r="FY145" s="390">
        <v>7302882</v>
      </c>
      <c r="FZ145" s="390">
        <v>7321982</v>
      </c>
      <c r="GA145" s="414">
        <v>-19100</v>
      </c>
      <c r="GB145" s="415">
        <v>-0.0026</v>
      </c>
      <c r="GC145" s="192"/>
      <c r="GD145" s="192"/>
      <c r="GE145" s="389"/>
      <c r="GF145" s="390" t="str">
        <f t="shared" si="430"/>
        <v>2025//11//24</v>
      </c>
      <c r="GG145" s="390">
        <v>4396969</v>
      </c>
      <c r="GH145" s="390">
        <v>4417069</v>
      </c>
      <c r="GI145" s="414">
        <v>-20100</v>
      </c>
      <c r="GJ145" s="415">
        <v>-0.0046</v>
      </c>
      <c r="GK145" s="192"/>
      <c r="GL145" s="192"/>
      <c r="GM145" s="389"/>
      <c r="GN145" s="390" t="str">
        <f t="shared" si="431"/>
        <v>2025//11//24</v>
      </c>
      <c r="GO145" s="390">
        <v>1528918</v>
      </c>
      <c r="GP145" s="390">
        <v>1531558</v>
      </c>
      <c r="GQ145" s="414">
        <v>-2640</v>
      </c>
      <c r="GR145" s="415">
        <v>-0.0017</v>
      </c>
      <c r="GS145" s="192"/>
      <c r="GT145" s="192"/>
      <c r="GU145" s="389"/>
      <c r="GV145" s="390" t="str">
        <f t="shared" si="432"/>
        <v>2025//11//24</v>
      </c>
      <c r="GW145" s="390">
        <v>1348949</v>
      </c>
      <c r="GX145" s="390">
        <v>1369549</v>
      </c>
      <c r="GY145" s="414">
        <v>-20600</v>
      </c>
      <c r="GZ145" s="415">
        <v>-0.015</v>
      </c>
      <c r="HA145" s="192"/>
      <c r="HB145" s="192"/>
      <c r="HC145" s="389"/>
      <c r="HD145" s="390" t="str">
        <f t="shared" si="433"/>
        <v>2025//11//24</v>
      </c>
      <c r="HE145" s="390">
        <v>1451165</v>
      </c>
      <c r="HF145" s="390">
        <v>1444465</v>
      </c>
      <c r="HG145" s="416">
        <v>6700</v>
      </c>
      <c r="HH145" s="417">
        <v>0.0046</v>
      </c>
      <c r="HI145" s="391"/>
      <c r="HJ145" s="192"/>
      <c r="HK145" s="389"/>
      <c r="HL145" s="390" t="str">
        <f t="shared" si="434"/>
        <v>2025//11//24</v>
      </c>
      <c r="HM145" s="390">
        <v>209054</v>
      </c>
      <c r="HN145" s="390">
        <v>209154</v>
      </c>
      <c r="HO145" s="414">
        <v>-100</v>
      </c>
      <c r="HP145" s="415">
        <v>-0.0005</v>
      </c>
      <c r="HQ145" s="192"/>
      <c r="HR145" s="192"/>
      <c r="HS145" s="389"/>
      <c r="HT145" s="390" t="str">
        <f t="shared" si="435"/>
        <v>2025//11//24</v>
      </c>
      <c r="HU145" s="390">
        <v>157069</v>
      </c>
      <c r="HV145" s="390">
        <v>157969</v>
      </c>
      <c r="HW145" s="414">
        <v>-900</v>
      </c>
      <c r="HX145" s="415">
        <v>-0.0057</v>
      </c>
      <c r="HY145" s="192"/>
      <c r="HZ145" s="192"/>
      <c r="IA145" s="389"/>
      <c r="IB145" s="390" t="str">
        <f t="shared" si="436"/>
        <v>2025//11//24</v>
      </c>
      <c r="IE145" s="390"/>
      <c r="IF145" s="391"/>
      <c r="IG145" s="192"/>
      <c r="IH145" s="192"/>
      <c r="II145" s="389"/>
      <c r="IJ145" s="390" t="str">
        <f t="shared" si="437"/>
        <v>2025//11//24</v>
      </c>
      <c r="IK145" s="390">
        <v>418956</v>
      </c>
      <c r="IL145" s="390">
        <v>417676</v>
      </c>
      <c r="IM145" s="416">
        <v>1280</v>
      </c>
      <c r="IN145" s="417">
        <v>0.0031</v>
      </c>
      <c r="IO145" s="192"/>
      <c r="IP145" s="192"/>
      <c r="IQ145" s="389"/>
      <c r="IR145" s="390" t="str">
        <f t="shared" si="438"/>
        <v>2025//11//24</v>
      </c>
      <c r="IS145" s="390">
        <v>122589</v>
      </c>
      <c r="IT145" s="390">
        <v>122489</v>
      </c>
      <c r="IU145" s="416">
        <v>100</v>
      </c>
      <c r="IV145" s="417">
        <v>0.0008</v>
      </c>
      <c r="IW145" s="192"/>
      <c r="IX145" s="192"/>
      <c r="IY145" s="389"/>
      <c r="IZ145" s="390" t="str">
        <f t="shared" si="439"/>
        <v>2025//11//24</v>
      </c>
      <c r="JA145" s="390">
        <v>5122629</v>
      </c>
      <c r="JB145" s="390">
        <v>5123329</v>
      </c>
      <c r="JC145" s="414">
        <v>-700</v>
      </c>
      <c r="JD145" s="415">
        <v>-0.0001</v>
      </c>
      <c r="JE145" s="192"/>
      <c r="JF145" s="192"/>
      <c r="JG145" s="389"/>
      <c r="JH145" s="390" t="str">
        <f t="shared" si="440"/>
        <v>2025//11//24</v>
      </c>
      <c r="JI145" s="390">
        <v>2225968</v>
      </c>
      <c r="JJ145" s="390">
        <v>2251228</v>
      </c>
      <c r="JK145" s="414">
        <v>-25260</v>
      </c>
      <c r="JL145" s="415">
        <v>-0.0112</v>
      </c>
      <c r="JM145" s="192"/>
      <c r="JN145" s="192"/>
      <c r="JO145" s="192"/>
      <c r="JP145" s="390" t="str">
        <f t="shared" si="441"/>
        <v>2025//11//24</v>
      </c>
      <c r="JQ145" s="390">
        <v>1173390</v>
      </c>
      <c r="JR145" s="390">
        <v>1178590</v>
      </c>
      <c r="JS145" s="414">
        <v>-5200</v>
      </c>
      <c r="JT145" s="415">
        <v>-0.0044</v>
      </c>
      <c r="JU145" s="192"/>
      <c r="JV145" s="192"/>
      <c r="JW145" s="409"/>
      <c r="JX145" s="390" t="str">
        <f t="shared" si="442"/>
        <v>2025//11//24</v>
      </c>
      <c r="JY145" s="390">
        <v>1507149</v>
      </c>
      <c r="JZ145" s="390">
        <v>1506899</v>
      </c>
      <c r="KA145" s="416">
        <v>250</v>
      </c>
      <c r="KB145" s="417">
        <v>0.0002</v>
      </c>
      <c r="KC145" s="192"/>
      <c r="KD145" s="192"/>
      <c r="KE145" s="409"/>
      <c r="KF145" s="390" t="str">
        <f t="shared" si="443"/>
        <v>2025//11//24</v>
      </c>
      <c r="KG145" s="390">
        <v>922356</v>
      </c>
      <c r="KH145" s="390">
        <v>922356</v>
      </c>
      <c r="KI145" s="410">
        <v>0</v>
      </c>
      <c r="KJ145" s="409">
        <v>0</v>
      </c>
      <c r="KK145" s="391"/>
      <c r="KL145" s="391"/>
      <c r="KM145" s="389"/>
      <c r="KN145" s="390" t="str">
        <f t="shared" si="444"/>
        <v>2025//11//24</v>
      </c>
      <c r="KO145" s="390">
        <v>6338476</v>
      </c>
      <c r="KP145" s="390">
        <v>6309076</v>
      </c>
      <c r="KQ145" s="416">
        <v>29400</v>
      </c>
      <c r="KR145" s="417">
        <v>0.0047</v>
      </c>
      <c r="KS145" s="192"/>
      <c r="KT145" s="192"/>
      <c r="KU145" s="389"/>
      <c r="KV145" s="390" t="str">
        <f t="shared" si="445"/>
        <v>2025//11//24</v>
      </c>
      <c r="KW145" s="390">
        <v>991373</v>
      </c>
      <c r="KX145" s="390">
        <v>992173</v>
      </c>
      <c r="KY145" s="346">
        <v>-800</v>
      </c>
      <c r="KZ145" s="347">
        <v>-0.0008</v>
      </c>
      <c r="LA145" s="391"/>
      <c r="LB145" s="192"/>
      <c r="LC145" s="389"/>
      <c r="LD145" s="390" t="str">
        <f t="shared" si="446"/>
        <v>2025//11//24</v>
      </c>
      <c r="LE145" s="390">
        <v>506958</v>
      </c>
      <c r="LF145" s="390">
        <v>509958</v>
      </c>
      <c r="LG145" s="414">
        <v>-3000</v>
      </c>
      <c r="LH145" s="415">
        <v>-0.0059</v>
      </c>
      <c r="LI145" s="192"/>
      <c r="LJ145" s="192"/>
      <c r="LK145" s="389"/>
      <c r="LL145" s="390" t="str">
        <f t="shared" si="447"/>
        <v>2025//11//24</v>
      </c>
      <c r="LM145" s="392">
        <v>3681835</v>
      </c>
      <c r="LN145" s="390">
        <v>3667615</v>
      </c>
      <c r="LO145" s="416">
        <v>14220</v>
      </c>
      <c r="LP145" s="417">
        <v>0.0039</v>
      </c>
      <c r="LQ145" s="192"/>
      <c r="LR145" s="192"/>
      <c r="LS145" s="389"/>
      <c r="LT145" s="390" t="str">
        <f t="shared" si="448"/>
        <v>2025//11//24</v>
      </c>
      <c r="LU145" s="390">
        <v>2569863</v>
      </c>
      <c r="LV145" s="390">
        <v>2569863</v>
      </c>
      <c r="LW145" s="410">
        <v>0</v>
      </c>
      <c r="LX145" s="409">
        <v>0</v>
      </c>
      <c r="LY145" s="192"/>
      <c r="LZ145" s="192"/>
      <c r="MA145" s="389"/>
      <c r="MB145" s="390" t="str">
        <f t="shared" si="449"/>
        <v>2025//11//24</v>
      </c>
      <c r="MC145" s="390">
        <v>893268</v>
      </c>
      <c r="MD145" s="390">
        <v>911668</v>
      </c>
      <c r="ME145" s="414">
        <v>-18400</v>
      </c>
      <c r="MF145" s="415">
        <v>-0.0202</v>
      </c>
      <c r="MG145" s="192"/>
      <c r="MH145" s="192"/>
      <c r="MI145" s="389"/>
      <c r="MJ145" s="389"/>
      <c r="MK145" s="390" t="str">
        <f t="shared" si="450"/>
        <v>2025//11//24</v>
      </c>
      <c r="ML145" s="389"/>
      <c r="MM145" s="203"/>
      <c r="MN145" s="389"/>
      <c r="MO145" s="391"/>
      <c r="MP145" s="391"/>
      <c r="MQ145" s="391"/>
      <c r="MR145" s="391"/>
      <c r="MS145" s="391"/>
      <c r="MT145" s="26" t="str">
        <f t="shared" si="451"/>
        <v>2025//11//24</v>
      </c>
      <c r="MX145" s="192"/>
      <c r="MY145" s="192"/>
      <c r="MZ145" s="192"/>
      <c r="NA145" s="192"/>
      <c r="NB145" s="192"/>
      <c r="NC145" s="8" t="str">
        <f t="shared" si="452"/>
        <v>2025//11//24</v>
      </c>
      <c r="NG145" s="192"/>
      <c r="NH145" s="192"/>
      <c r="NI145" s="192"/>
      <c r="NJ145" s="192"/>
      <c r="NK145" s="192"/>
      <c r="NL145" s="8"/>
      <c r="NM145" s="8" t="str">
        <f t="shared" si="453"/>
        <v>2025//11//24</v>
      </c>
      <c r="NQ145" s="192"/>
      <c r="NR145" s="192"/>
      <c r="NS145" s="8"/>
      <c r="NU145" s="8" t="str">
        <f t="shared" si="454"/>
        <v>2025//11//24</v>
      </c>
      <c r="NV145" s="389"/>
      <c r="NW145" s="389"/>
      <c r="NX145" s="389"/>
      <c r="NY145" s="391"/>
      <c r="NZ145" s="391"/>
      <c r="OA145" s="389"/>
      <c r="OB145" s="389"/>
      <c r="OC145" s="390" t="str">
        <f t="shared" si="455"/>
        <v>2025//11//24</v>
      </c>
      <c r="OD145" s="390">
        <v>18001</v>
      </c>
      <c r="OE145" s="390">
        <v>17651</v>
      </c>
      <c r="OF145" s="416">
        <v>350</v>
      </c>
      <c r="OG145" s="417">
        <v>0.0198</v>
      </c>
      <c r="OH145" s="192"/>
      <c r="OI145" s="192"/>
      <c r="OJ145" s="389"/>
      <c r="OK145" s="390" t="str">
        <f t="shared" si="456"/>
        <v>2025//11//24</v>
      </c>
      <c r="OO145" s="192"/>
      <c r="OP145" s="192"/>
      <c r="OQ145" s="192"/>
      <c r="OT145" s="26" t="str">
        <f t="shared" si="407"/>
        <v>2025//11//24</v>
      </c>
      <c r="OU145" s="206">
        <v>133752.4066</v>
      </c>
      <c r="OV145" s="8">
        <f t="shared" si="401"/>
        <v>133632.4066</v>
      </c>
      <c r="OW145" s="191">
        <f t="shared" si="402"/>
        <v>120</v>
      </c>
      <c r="OX145" s="192">
        <f t="shared" si="403"/>
        <v>0.000897985773459834</v>
      </c>
    </row>
    <row r="146" s="8" customFormat="1" ht="17" customHeight="1" spans="1:414">
      <c r="A146" s="15"/>
      <c r="B146" s="15"/>
      <c r="C146" s="385" t="s">
        <v>575</v>
      </c>
      <c r="D146" s="395">
        <v>9022549</v>
      </c>
      <c r="E146" s="395">
        <v>8938309</v>
      </c>
      <c r="F146" s="459">
        <v>84240</v>
      </c>
      <c r="G146" s="460">
        <v>0.0094</v>
      </c>
      <c r="H146" s="18"/>
      <c r="I146" s="453"/>
      <c r="J146" s="453"/>
      <c r="K146" s="386" t="str">
        <f t="shared" si="408"/>
        <v>2025//11//21</v>
      </c>
      <c r="L146" s="395">
        <v>6636574</v>
      </c>
      <c r="M146" s="395">
        <v>6636304</v>
      </c>
      <c r="N146" s="459">
        <v>270</v>
      </c>
      <c r="O146" s="507">
        <v>0</v>
      </c>
      <c r="P146" s="18"/>
      <c r="Q146" s="453"/>
      <c r="R146" s="454"/>
      <c r="S146" s="386" t="str">
        <f t="shared" si="409"/>
        <v>2025//11//21</v>
      </c>
      <c r="T146" s="395">
        <v>5719747</v>
      </c>
      <c r="U146" s="395">
        <v>5703187</v>
      </c>
      <c r="V146" s="459">
        <v>16560</v>
      </c>
      <c r="W146" s="460">
        <v>0.0029</v>
      </c>
      <c r="X146" s="18"/>
      <c r="Y146" s="453"/>
      <c r="Z146" s="454"/>
      <c r="AA146" s="386" t="str">
        <f t="shared" si="410"/>
        <v>2025//11//21</v>
      </c>
      <c r="AB146" s="395">
        <v>1900417</v>
      </c>
      <c r="AC146" s="395">
        <v>1853017</v>
      </c>
      <c r="AD146" s="459">
        <v>47400</v>
      </c>
      <c r="AE146" s="460">
        <v>0.0256</v>
      </c>
      <c r="AF146" s="18"/>
      <c r="AG146" s="453"/>
      <c r="AH146" s="454"/>
      <c r="AI146" s="386" t="str">
        <f t="shared" si="411"/>
        <v>2025//11//21</v>
      </c>
      <c r="AJ146" s="395">
        <v>2570322</v>
      </c>
      <c r="AK146" s="386">
        <v>2499522</v>
      </c>
      <c r="AL146" s="459">
        <v>70800</v>
      </c>
      <c r="AM146" s="460">
        <v>0.0283</v>
      </c>
      <c r="AN146" s="18"/>
      <c r="AO146" s="18"/>
      <c r="AP146" s="454"/>
      <c r="AQ146" s="386" t="str">
        <f t="shared" si="412"/>
        <v>2025//11//21</v>
      </c>
      <c r="AR146" s="418">
        <v>3398345</v>
      </c>
      <c r="AS146" s="395">
        <v>3303545</v>
      </c>
      <c r="AT146" s="459">
        <v>94800</v>
      </c>
      <c r="AU146" s="460">
        <v>0.0287</v>
      </c>
      <c r="AV146" s="18"/>
      <c r="AW146" s="18"/>
      <c r="AX146" s="17"/>
      <c r="AY146" s="17"/>
      <c r="AZ146" s="17" t="str">
        <f t="shared" si="413"/>
        <v>2025//11//21</v>
      </c>
      <c r="BA146" s="17"/>
      <c r="BB146" s="17"/>
      <c r="BC146" s="17"/>
      <c r="BD146" s="18"/>
      <c r="BE146" s="18"/>
      <c r="BF146" s="18"/>
      <c r="BG146" s="74"/>
      <c r="BH146" s="387" t="str">
        <f t="shared" si="414"/>
        <v>2025//11//21</v>
      </c>
      <c r="BI146" s="387">
        <v>136927</v>
      </c>
      <c r="BJ146" s="387">
        <v>134627</v>
      </c>
      <c r="BK146" s="421">
        <v>2300</v>
      </c>
      <c r="BL146" s="422">
        <v>0.0171</v>
      </c>
      <c r="BM146" s="197"/>
      <c r="BN146" s="192"/>
      <c r="BO146" s="389"/>
      <c r="BP146" s="390" t="str">
        <f t="shared" si="415"/>
        <v>2025//11//21</v>
      </c>
      <c r="BQ146" s="392">
        <v>642462</v>
      </c>
      <c r="BR146" s="390">
        <v>632162</v>
      </c>
      <c r="BS146" s="416">
        <v>10300</v>
      </c>
      <c r="BT146" s="417">
        <v>0.0163</v>
      </c>
      <c r="BU146" s="192"/>
      <c r="BV146" s="192"/>
      <c r="BW146" s="389"/>
      <c r="BX146" s="390" t="str">
        <f t="shared" si="416"/>
        <v>2025//11//21</v>
      </c>
      <c r="BY146" s="390">
        <v>2298161</v>
      </c>
      <c r="BZ146" s="390">
        <v>2292911</v>
      </c>
      <c r="CA146" s="416">
        <v>5250</v>
      </c>
      <c r="CB146" s="417">
        <v>0.0023</v>
      </c>
      <c r="CC146" s="192"/>
      <c r="CD146" s="409"/>
      <c r="CE146" s="389"/>
      <c r="CF146" s="390" t="str">
        <f t="shared" si="417"/>
        <v>2025//11//21</v>
      </c>
      <c r="CG146" s="390">
        <v>920154</v>
      </c>
      <c r="CH146" s="12">
        <f>CG147</f>
        <v>895504</v>
      </c>
      <c r="CI146" s="12">
        <f t="shared" ref="CI146:CI163" si="457">CG146-CH146</f>
        <v>24650</v>
      </c>
      <c r="CJ146" s="199">
        <f t="shared" ref="CJ146:CJ163" si="458">CI146/CH146</f>
        <v>0.0275263985420501</v>
      </c>
      <c r="CK146" s="192"/>
      <c r="CL146" s="391"/>
      <c r="CM146" s="389"/>
      <c r="CN146" s="390" t="str">
        <f t="shared" si="418"/>
        <v>2025//11//21</v>
      </c>
      <c r="CO146" s="390">
        <v>122046</v>
      </c>
      <c r="CP146" s="390">
        <v>117246</v>
      </c>
      <c r="CQ146" s="12">
        <f t="shared" ref="CQ146:CQ163" si="459">CO146-CP146</f>
        <v>4800</v>
      </c>
      <c r="CR146" s="199">
        <f t="shared" ref="CR146:CR164" si="460">CQ146/CP146</f>
        <v>0.0409395629701653</v>
      </c>
      <c r="CS146" s="391"/>
      <c r="CT146" s="391"/>
      <c r="CU146" s="389"/>
      <c r="CV146" s="390" t="str">
        <f t="shared" si="419"/>
        <v>2025//11//21</v>
      </c>
      <c r="CW146" s="390">
        <v>727540</v>
      </c>
      <c r="CX146" s="390">
        <v>715190</v>
      </c>
      <c r="CY146" s="416">
        <v>12350</v>
      </c>
      <c r="CZ146" s="417">
        <v>0.0173</v>
      </c>
      <c r="DA146" s="192"/>
      <c r="DB146" s="192"/>
      <c r="DC146" s="277"/>
      <c r="DD146" s="390" t="str">
        <f t="shared" si="420"/>
        <v>2025//11//21</v>
      </c>
      <c r="DE146" s="390">
        <v>915318</v>
      </c>
      <c r="DF146" s="12">
        <f t="shared" ref="DF146:DF164" si="461">DE147</f>
        <v>913118</v>
      </c>
      <c r="DG146" s="416">
        <v>1100</v>
      </c>
      <c r="DH146" s="417">
        <v>0.0024</v>
      </c>
      <c r="DI146" s="192"/>
      <c r="DJ146" s="192"/>
      <c r="DK146" s="389"/>
      <c r="DL146" s="390" t="str">
        <f t="shared" si="421"/>
        <v>2025//11//21</v>
      </c>
      <c r="DM146" s="390">
        <v>1596700</v>
      </c>
      <c r="DN146" s="390">
        <v>1569100</v>
      </c>
      <c r="DO146" s="416">
        <v>27600</v>
      </c>
      <c r="DP146" s="417">
        <v>0.0176</v>
      </c>
      <c r="DQ146" s="192"/>
      <c r="DR146" s="192"/>
      <c r="DS146" s="389"/>
      <c r="DT146" s="390" t="str">
        <f t="shared" si="422"/>
        <v>2025//11//21</v>
      </c>
      <c r="DU146" s="390">
        <v>1762289</v>
      </c>
      <c r="DV146" s="390">
        <v>1739489</v>
      </c>
      <c r="DW146" s="416">
        <v>22800</v>
      </c>
      <c r="DX146" s="417">
        <v>0.0131</v>
      </c>
      <c r="DY146" s="192"/>
      <c r="DZ146" s="192"/>
      <c r="EA146" s="389"/>
      <c r="EB146" s="390" t="str">
        <f t="shared" si="423"/>
        <v>2025//11//21</v>
      </c>
      <c r="EC146" s="390">
        <v>5326467</v>
      </c>
      <c r="ED146" s="390">
        <v>5150067</v>
      </c>
      <c r="EE146" s="416">
        <v>176400</v>
      </c>
      <c r="EF146" s="417">
        <v>0.0343</v>
      </c>
      <c r="EG146" s="192"/>
      <c r="EH146" s="192"/>
      <c r="EI146" s="389"/>
      <c r="EJ146" s="390" t="str">
        <f t="shared" si="424"/>
        <v>2025//11//21</v>
      </c>
      <c r="EK146" s="390">
        <v>1645123</v>
      </c>
      <c r="EL146" s="390">
        <v>1630723</v>
      </c>
      <c r="EM146" s="416">
        <v>14400</v>
      </c>
      <c r="EN146" s="417">
        <v>0.0088</v>
      </c>
      <c r="EO146" s="192"/>
      <c r="EP146" s="192"/>
      <c r="EQ146" s="192"/>
      <c r="ER146" s="8" t="str">
        <f t="shared" si="425"/>
        <v>2025//11//21</v>
      </c>
      <c r="ES146" s="192"/>
      <c r="ET146" s="192"/>
      <c r="EU146" s="192"/>
      <c r="EV146" s="192"/>
      <c r="EW146" s="192"/>
      <c r="EX146" s="192"/>
      <c r="EY146" s="389"/>
      <c r="EZ146" s="390" t="str">
        <f t="shared" si="426"/>
        <v>2025//11//21</v>
      </c>
      <c r="FA146" s="390">
        <v>1222708</v>
      </c>
      <c r="FB146" s="390">
        <v>1225308</v>
      </c>
      <c r="FC146" s="414">
        <v>-2600</v>
      </c>
      <c r="FD146" s="415">
        <v>-0.0021</v>
      </c>
      <c r="FE146" s="192"/>
      <c r="FF146" s="192"/>
      <c r="FG146" s="192"/>
      <c r="FH146" s="410" t="str">
        <f t="shared" si="427"/>
        <v>2025//11//21</v>
      </c>
      <c r="FI146" s="392">
        <v>123895</v>
      </c>
      <c r="FJ146" s="390">
        <v>123695</v>
      </c>
      <c r="FK146" s="348">
        <v>200</v>
      </c>
      <c r="FL146" s="349">
        <v>0.0016</v>
      </c>
      <c r="FM146" s="391"/>
      <c r="FN146" s="391"/>
      <c r="FO146" s="389"/>
      <c r="FP146" s="390" t="str">
        <f t="shared" si="428"/>
        <v>2025//11//21</v>
      </c>
      <c r="FQ146" s="390">
        <v>2531069</v>
      </c>
      <c r="FR146" s="390">
        <v>2467919</v>
      </c>
      <c r="FS146" s="416">
        <v>63150</v>
      </c>
      <c r="FT146" s="417">
        <v>0.0256</v>
      </c>
      <c r="FU146" s="192"/>
      <c r="FV146" s="192"/>
      <c r="FW146" s="389"/>
      <c r="FX146" s="390" t="str">
        <f t="shared" si="429"/>
        <v>2025//11//21</v>
      </c>
      <c r="FY146" s="390">
        <v>7321982</v>
      </c>
      <c r="FZ146" s="390">
        <v>7239682</v>
      </c>
      <c r="GA146" s="416">
        <v>82300</v>
      </c>
      <c r="GB146" s="417">
        <v>0.0114</v>
      </c>
      <c r="GC146" s="192"/>
      <c r="GD146" s="192"/>
      <c r="GE146" s="389"/>
      <c r="GF146" s="390" t="str">
        <f t="shared" si="430"/>
        <v>2025//11//21</v>
      </c>
      <c r="GG146" s="390">
        <v>4417069</v>
      </c>
      <c r="GH146" s="390">
        <v>4384169</v>
      </c>
      <c r="GI146" s="416">
        <v>32900</v>
      </c>
      <c r="GJ146" s="417">
        <v>0.0075</v>
      </c>
      <c r="GK146" s="192"/>
      <c r="GL146" s="192"/>
      <c r="GM146" s="389"/>
      <c r="GN146" s="390" t="str">
        <f t="shared" si="431"/>
        <v>2025//11//21</v>
      </c>
      <c r="GO146" s="390">
        <v>1531558</v>
      </c>
      <c r="GP146" s="390">
        <v>1535278</v>
      </c>
      <c r="GQ146" s="414">
        <v>-3720</v>
      </c>
      <c r="GR146" s="415">
        <v>-0.0024</v>
      </c>
      <c r="GS146" s="192"/>
      <c r="GT146" s="192"/>
      <c r="GU146" s="389"/>
      <c r="GV146" s="390" t="str">
        <f t="shared" si="432"/>
        <v>2025//11//21</v>
      </c>
      <c r="GW146" s="390">
        <v>1369549</v>
      </c>
      <c r="GX146" s="390">
        <v>1374349</v>
      </c>
      <c r="GY146" s="414">
        <v>-4800</v>
      </c>
      <c r="GZ146" s="415">
        <v>-0.0035</v>
      </c>
      <c r="HA146" s="192"/>
      <c r="HB146" s="192"/>
      <c r="HC146" s="389"/>
      <c r="HD146" s="390" t="str">
        <f t="shared" si="433"/>
        <v>2025//11//21</v>
      </c>
      <c r="HE146" s="390">
        <v>1444465</v>
      </c>
      <c r="HF146" s="390">
        <v>1420565</v>
      </c>
      <c r="HG146" s="416">
        <v>23900</v>
      </c>
      <c r="HH146" s="417">
        <v>0.0168</v>
      </c>
      <c r="HI146" s="391"/>
      <c r="HJ146" s="192"/>
      <c r="HK146" s="389"/>
      <c r="HL146" s="390" t="str">
        <f t="shared" si="434"/>
        <v>2025//11//21</v>
      </c>
      <c r="HM146" s="390">
        <v>209154</v>
      </c>
      <c r="HN146" s="390">
        <v>208754</v>
      </c>
      <c r="HO146" s="416">
        <v>400</v>
      </c>
      <c r="HP146" s="417">
        <v>0.0019</v>
      </c>
      <c r="HQ146" s="192"/>
      <c r="HR146" s="192"/>
      <c r="HS146" s="389"/>
      <c r="HT146" s="390" t="str">
        <f t="shared" si="435"/>
        <v>2025//11//21</v>
      </c>
      <c r="HU146" s="390">
        <v>157969</v>
      </c>
      <c r="HV146" s="390">
        <v>155469</v>
      </c>
      <c r="HW146" s="416">
        <v>2500</v>
      </c>
      <c r="HX146" s="417">
        <v>0.0161</v>
      </c>
      <c r="HY146" s="192"/>
      <c r="HZ146" s="192"/>
      <c r="IA146" s="389"/>
      <c r="IB146" s="390" t="str">
        <f t="shared" si="436"/>
        <v>2025//11//21</v>
      </c>
      <c r="IE146" s="390"/>
      <c r="IF146" s="391"/>
      <c r="IG146" s="192"/>
      <c r="IH146" s="192"/>
      <c r="II146" s="389"/>
      <c r="IJ146" s="390" t="str">
        <f t="shared" si="437"/>
        <v>2025//11//21</v>
      </c>
      <c r="IK146" s="390">
        <v>417676</v>
      </c>
      <c r="IL146" s="390">
        <v>416156</v>
      </c>
      <c r="IM146" s="416">
        <v>1520</v>
      </c>
      <c r="IN146" s="417">
        <v>0.0037</v>
      </c>
      <c r="IO146" s="192"/>
      <c r="IP146" s="192"/>
      <c r="IQ146" s="389"/>
      <c r="IR146" s="390" t="str">
        <f t="shared" si="438"/>
        <v>2025//11//21</v>
      </c>
      <c r="IS146" s="390">
        <v>122489</v>
      </c>
      <c r="IT146" s="390">
        <v>121689</v>
      </c>
      <c r="IU146" s="416">
        <v>800</v>
      </c>
      <c r="IV146" s="417">
        <v>0.0066</v>
      </c>
      <c r="IW146" s="192"/>
      <c r="IX146" s="192"/>
      <c r="IY146" s="389"/>
      <c r="IZ146" s="390" t="str">
        <f t="shared" si="439"/>
        <v>2025//11//21</v>
      </c>
      <c r="JA146" s="390">
        <v>5123329</v>
      </c>
      <c r="JB146" s="390">
        <v>5023729</v>
      </c>
      <c r="JC146" s="416">
        <v>99600</v>
      </c>
      <c r="JD146" s="417">
        <v>0.0198</v>
      </c>
      <c r="JE146" s="192"/>
      <c r="JF146" s="192"/>
      <c r="JG146" s="389"/>
      <c r="JH146" s="390" t="str">
        <f t="shared" si="440"/>
        <v>2025//11//21</v>
      </c>
      <c r="JI146" s="390">
        <v>2251228</v>
      </c>
      <c r="JJ146" s="390">
        <v>2289268</v>
      </c>
      <c r="JK146" s="414">
        <v>-38040</v>
      </c>
      <c r="JL146" s="415">
        <v>-0.0166</v>
      </c>
      <c r="JM146" s="192"/>
      <c r="JN146" s="192"/>
      <c r="JO146" s="192"/>
      <c r="JP146" s="390" t="str">
        <f t="shared" si="441"/>
        <v>2025//11//21</v>
      </c>
      <c r="JQ146" s="390">
        <v>1178590</v>
      </c>
      <c r="JR146" s="390">
        <v>1179990</v>
      </c>
      <c r="JS146" s="414">
        <v>-1400</v>
      </c>
      <c r="JT146" s="415">
        <v>-0.0012</v>
      </c>
      <c r="JU146" s="192"/>
      <c r="JV146" s="192"/>
      <c r="JW146" s="409"/>
      <c r="JX146" s="390" t="str">
        <f t="shared" si="442"/>
        <v>2025//11//21</v>
      </c>
      <c r="JY146" s="390">
        <v>1506899</v>
      </c>
      <c r="JZ146" s="390">
        <v>1507349</v>
      </c>
      <c r="KA146" s="414">
        <v>-450</v>
      </c>
      <c r="KB146" s="415">
        <v>-0.0003</v>
      </c>
      <c r="KC146" s="192"/>
      <c r="KD146" s="192"/>
      <c r="KE146" s="409"/>
      <c r="KF146" s="390" t="str">
        <f t="shared" si="443"/>
        <v>2025//11//21</v>
      </c>
      <c r="KG146" s="390">
        <v>922356</v>
      </c>
      <c r="KH146" s="390">
        <v>925356</v>
      </c>
      <c r="KI146" s="414">
        <v>-3000</v>
      </c>
      <c r="KJ146" s="415">
        <v>-0.0032</v>
      </c>
      <c r="KK146" s="391"/>
      <c r="KL146" s="391"/>
      <c r="KM146" s="389"/>
      <c r="KN146" s="390" t="str">
        <f t="shared" si="444"/>
        <v>2025//11//21</v>
      </c>
      <c r="KO146" s="390">
        <v>6309076</v>
      </c>
      <c r="KP146" s="390">
        <v>6207776</v>
      </c>
      <c r="KQ146" s="416">
        <v>101300</v>
      </c>
      <c r="KR146" s="417">
        <v>0.0163</v>
      </c>
      <c r="KS146" s="192"/>
      <c r="KT146" s="192"/>
      <c r="KU146" s="389"/>
      <c r="KV146" s="390" t="str">
        <f t="shared" si="445"/>
        <v>2025//11//21</v>
      </c>
      <c r="KW146" s="390">
        <v>992173</v>
      </c>
      <c r="KX146" s="390">
        <v>991173</v>
      </c>
      <c r="KY146" s="348">
        <v>1000</v>
      </c>
      <c r="KZ146" s="349">
        <v>0.001</v>
      </c>
      <c r="LA146" s="391"/>
      <c r="LB146" s="192"/>
      <c r="LC146" s="389"/>
      <c r="LD146" s="390" t="str">
        <f t="shared" si="446"/>
        <v>2025//11//21</v>
      </c>
      <c r="LE146" s="390">
        <v>509958</v>
      </c>
      <c r="LF146" s="390">
        <v>503658</v>
      </c>
      <c r="LG146" s="416">
        <v>6300</v>
      </c>
      <c r="LH146" s="417">
        <v>0.0125</v>
      </c>
      <c r="LI146" s="192"/>
      <c r="LJ146" s="192"/>
      <c r="LK146" s="389"/>
      <c r="LL146" s="390" t="str">
        <f t="shared" si="447"/>
        <v>2025//11//21</v>
      </c>
      <c r="LM146" s="392">
        <v>3667615</v>
      </c>
      <c r="LN146" s="390">
        <v>3663295</v>
      </c>
      <c r="LO146" s="416">
        <v>4320</v>
      </c>
      <c r="LP146" s="417">
        <v>0.0012</v>
      </c>
      <c r="LQ146" s="192"/>
      <c r="LR146" s="192"/>
      <c r="LS146" s="389"/>
      <c r="LT146" s="390" t="str">
        <f t="shared" si="448"/>
        <v>2025//11//21</v>
      </c>
      <c r="LU146" s="390">
        <v>2569863</v>
      </c>
      <c r="LV146" s="390">
        <v>2588063</v>
      </c>
      <c r="LW146" s="414">
        <v>-18200</v>
      </c>
      <c r="LX146" s="415">
        <v>-0.007</v>
      </c>
      <c r="LY146" s="192"/>
      <c r="LZ146" s="192"/>
      <c r="MA146" s="389"/>
      <c r="MB146" s="390" t="str">
        <f t="shared" si="449"/>
        <v>2025//11//21</v>
      </c>
      <c r="MC146" s="390">
        <v>911668</v>
      </c>
      <c r="MD146" s="390">
        <v>925018</v>
      </c>
      <c r="ME146" s="414">
        <v>-13350</v>
      </c>
      <c r="MF146" s="415">
        <v>-0.0144</v>
      </c>
      <c r="MG146" s="192"/>
      <c r="MH146" s="192"/>
      <c r="MI146" s="389"/>
      <c r="MJ146" s="389"/>
      <c r="MK146" s="390" t="str">
        <f t="shared" si="450"/>
        <v>2025//11//21</v>
      </c>
      <c r="ML146" s="389"/>
      <c r="MM146" s="203"/>
      <c r="MN146" s="389"/>
      <c r="MO146" s="391"/>
      <c r="MP146" s="391"/>
      <c r="MQ146" s="391"/>
      <c r="MR146" s="391"/>
      <c r="MS146" s="391"/>
      <c r="MT146" s="26" t="str">
        <f t="shared" si="451"/>
        <v>2025//11//21</v>
      </c>
      <c r="MX146" s="192"/>
      <c r="MY146" s="192"/>
      <c r="MZ146" s="192"/>
      <c r="NA146" s="192"/>
      <c r="NB146" s="192"/>
      <c r="NC146" s="8" t="str">
        <f t="shared" si="452"/>
        <v>2025//11//21</v>
      </c>
      <c r="NG146" s="192"/>
      <c r="NH146" s="192"/>
      <c r="NI146" s="192"/>
      <c r="NJ146" s="192"/>
      <c r="NK146" s="192"/>
      <c r="NL146" s="8"/>
      <c r="NM146" s="8" t="str">
        <f t="shared" si="453"/>
        <v>2025//11//21</v>
      </c>
      <c r="NQ146" s="192"/>
      <c r="NR146" s="192"/>
      <c r="NS146" s="8"/>
      <c r="NU146" s="8" t="str">
        <f t="shared" si="454"/>
        <v>2025//11//21</v>
      </c>
      <c r="NV146" s="389"/>
      <c r="NW146" s="389"/>
      <c r="NX146" s="389"/>
      <c r="NY146" s="391"/>
      <c r="NZ146" s="391"/>
      <c r="OA146" s="389"/>
      <c r="OB146" s="389"/>
      <c r="OC146" s="390" t="str">
        <f t="shared" si="455"/>
        <v>2025//11//21</v>
      </c>
      <c r="OD146" s="390">
        <v>17651</v>
      </c>
      <c r="OE146" s="390">
        <v>17763</v>
      </c>
      <c r="OF146" s="414">
        <v>-112</v>
      </c>
      <c r="OG146" s="415">
        <v>-0.0063</v>
      </c>
      <c r="OH146" s="192"/>
      <c r="OI146" s="192"/>
      <c r="OJ146" s="389"/>
      <c r="OK146" s="390" t="str">
        <f t="shared" si="456"/>
        <v>2025//11//21</v>
      </c>
      <c r="OO146" s="192"/>
      <c r="OP146" s="192"/>
      <c r="OQ146" s="192"/>
      <c r="OT146" s="26" t="str">
        <f t="shared" si="407"/>
        <v>2025//11//21</v>
      </c>
      <c r="OU146" s="206">
        <v>133632.4066</v>
      </c>
      <c r="OV146" s="8">
        <f t="shared" ref="OV146:OV162" si="462">OU147</f>
        <v>133512.4066</v>
      </c>
      <c r="OW146" s="191">
        <f t="shared" ref="OW146:OW162" si="463">OU146-OV146</f>
        <v>120</v>
      </c>
      <c r="OX146" s="192">
        <f t="shared" ref="OX146:OX162" si="464">OW146/OV146</f>
        <v>0.000898792876676376</v>
      </c>
    </row>
    <row r="147" s="8" customFormat="1" ht="17" customHeight="1" spans="1:414">
      <c r="A147" s="15"/>
      <c r="B147" s="15"/>
      <c r="C147" s="385" t="s">
        <v>576</v>
      </c>
      <c r="D147" s="395">
        <v>8938309</v>
      </c>
      <c r="E147" s="395">
        <v>8946949</v>
      </c>
      <c r="F147" s="403">
        <v>-8640</v>
      </c>
      <c r="G147" s="404">
        <v>-0.001</v>
      </c>
      <c r="H147" s="18"/>
      <c r="I147" s="453"/>
      <c r="J147" s="453"/>
      <c r="K147" s="386" t="str">
        <f t="shared" si="408"/>
        <v>2025//11//20</v>
      </c>
      <c r="L147" s="395">
        <v>6636304</v>
      </c>
      <c r="M147" s="395">
        <v>6642604</v>
      </c>
      <c r="N147" s="403">
        <v>-6300</v>
      </c>
      <c r="O147" s="404">
        <v>-0.0009</v>
      </c>
      <c r="P147" s="18"/>
      <c r="Q147" s="453"/>
      <c r="R147" s="454"/>
      <c r="S147" s="386" t="str">
        <f t="shared" si="409"/>
        <v>2025//11//20</v>
      </c>
      <c r="T147" s="395">
        <v>5703187</v>
      </c>
      <c r="U147" s="395">
        <v>5697517</v>
      </c>
      <c r="V147" s="459">
        <v>5670</v>
      </c>
      <c r="W147" s="460">
        <v>0.001</v>
      </c>
      <c r="X147" s="18"/>
      <c r="Y147" s="453"/>
      <c r="Z147" s="454"/>
      <c r="AA147" s="386" t="str">
        <f t="shared" si="410"/>
        <v>2025//11//20</v>
      </c>
      <c r="AB147" s="395">
        <v>1853017</v>
      </c>
      <c r="AC147" s="395">
        <v>1842457</v>
      </c>
      <c r="AD147" s="459">
        <v>10560</v>
      </c>
      <c r="AE147" s="460">
        <v>0.0057</v>
      </c>
      <c r="AF147" s="18"/>
      <c r="AG147" s="453"/>
      <c r="AH147" s="454"/>
      <c r="AI147" s="386" t="str">
        <f t="shared" si="411"/>
        <v>2025//11//20</v>
      </c>
      <c r="AJ147" s="395">
        <v>2499522</v>
      </c>
      <c r="AK147" s="386">
        <v>2485522</v>
      </c>
      <c r="AL147" s="459">
        <v>14000</v>
      </c>
      <c r="AM147" s="460">
        <v>0.0056</v>
      </c>
      <c r="AN147" s="18"/>
      <c r="AO147" s="18"/>
      <c r="AP147" s="454"/>
      <c r="AQ147" s="386" t="str">
        <f t="shared" si="412"/>
        <v>2025//11//20</v>
      </c>
      <c r="AR147" s="418">
        <v>3303545</v>
      </c>
      <c r="AS147" s="395">
        <v>3293945</v>
      </c>
      <c r="AT147" s="459">
        <v>9600</v>
      </c>
      <c r="AU147" s="460">
        <v>0.0029</v>
      </c>
      <c r="AV147" s="18"/>
      <c r="AW147" s="18"/>
      <c r="AX147" s="17"/>
      <c r="AY147" s="17"/>
      <c r="AZ147" s="17" t="str">
        <f t="shared" si="413"/>
        <v>2025//11//20</v>
      </c>
      <c r="BA147" s="17"/>
      <c r="BB147" s="17"/>
      <c r="BC147" s="17"/>
      <c r="BD147" s="18"/>
      <c r="BE147" s="18"/>
      <c r="BF147" s="18"/>
      <c r="BG147" s="74"/>
      <c r="BH147" s="387" t="str">
        <f t="shared" si="414"/>
        <v>2025//11//20</v>
      </c>
      <c r="BI147" s="387">
        <v>134627</v>
      </c>
      <c r="BJ147" s="387">
        <v>133027</v>
      </c>
      <c r="BK147" s="421">
        <v>1600</v>
      </c>
      <c r="BL147" s="422">
        <v>0.012</v>
      </c>
      <c r="BM147" s="197"/>
      <c r="BN147" s="192"/>
      <c r="BO147" s="389"/>
      <c r="BP147" s="390" t="str">
        <f t="shared" si="415"/>
        <v>2025//11//20</v>
      </c>
      <c r="BQ147" s="392">
        <v>632162</v>
      </c>
      <c r="BR147" s="390">
        <v>626662</v>
      </c>
      <c r="BS147" s="416">
        <v>5500</v>
      </c>
      <c r="BT147" s="417">
        <v>0.0088</v>
      </c>
      <c r="BU147" s="192"/>
      <c r="BV147" s="192"/>
      <c r="BW147" s="389"/>
      <c r="BX147" s="390" t="str">
        <f t="shared" si="416"/>
        <v>2025//11//20</v>
      </c>
      <c r="BY147" s="390">
        <v>2292911</v>
      </c>
      <c r="BZ147" s="390">
        <v>2300411</v>
      </c>
      <c r="CA147" s="414">
        <v>-7500</v>
      </c>
      <c r="CB147" s="415">
        <v>-0.0033</v>
      </c>
      <c r="CC147" s="192"/>
      <c r="CD147" s="409"/>
      <c r="CE147" s="389"/>
      <c r="CF147" s="390" t="str">
        <f t="shared" si="417"/>
        <v>2025//11//20</v>
      </c>
      <c r="CG147" s="390">
        <v>895504</v>
      </c>
      <c r="CH147" s="12">
        <f>CG148</f>
        <v>897054</v>
      </c>
      <c r="CI147" s="12">
        <f t="shared" si="457"/>
        <v>-1550</v>
      </c>
      <c r="CJ147" s="199">
        <f t="shared" si="458"/>
        <v>-0.00172787814334477</v>
      </c>
      <c r="CK147" s="192"/>
      <c r="CL147" s="391"/>
      <c r="CM147" s="389"/>
      <c r="CN147" s="390" t="str">
        <f t="shared" si="418"/>
        <v>2025//11//20</v>
      </c>
      <c r="CO147" s="390">
        <v>117246</v>
      </c>
      <c r="CP147" s="390">
        <v>118246</v>
      </c>
      <c r="CQ147" s="12">
        <f t="shared" si="459"/>
        <v>-1000</v>
      </c>
      <c r="CR147" s="199">
        <f t="shared" si="460"/>
        <v>-0.00845694568949478</v>
      </c>
      <c r="CS147" s="391"/>
      <c r="CT147" s="391"/>
      <c r="CU147" s="389"/>
      <c r="CV147" s="390" t="str">
        <f t="shared" si="419"/>
        <v>2025//11//20</v>
      </c>
      <c r="CW147" s="390">
        <v>715190</v>
      </c>
      <c r="CX147" s="390">
        <v>709390</v>
      </c>
      <c r="CY147" s="416">
        <v>5800</v>
      </c>
      <c r="CZ147" s="417">
        <v>0.0082</v>
      </c>
      <c r="DA147" s="192"/>
      <c r="DB147" s="192"/>
      <c r="DC147" s="277"/>
      <c r="DD147" s="390" t="str">
        <f t="shared" si="420"/>
        <v>2025//11//20</v>
      </c>
      <c r="DE147" s="390">
        <v>913118</v>
      </c>
      <c r="DF147" s="12">
        <f t="shared" si="461"/>
        <v>878718</v>
      </c>
      <c r="DG147" s="416">
        <v>17200</v>
      </c>
      <c r="DH147" s="417">
        <v>0.0391</v>
      </c>
      <c r="DI147" s="192"/>
      <c r="DJ147" s="192"/>
      <c r="DK147" s="389"/>
      <c r="DL147" s="390" t="str">
        <f t="shared" si="421"/>
        <v>2025//11//20</v>
      </c>
      <c r="DM147" s="390">
        <v>1569100</v>
      </c>
      <c r="DN147" s="390">
        <v>1554500</v>
      </c>
      <c r="DO147" s="416">
        <v>14600</v>
      </c>
      <c r="DP147" s="417">
        <v>0.0094</v>
      </c>
      <c r="DQ147" s="192"/>
      <c r="DR147" s="192"/>
      <c r="DS147" s="389"/>
      <c r="DT147" s="390" t="str">
        <f t="shared" si="422"/>
        <v>2025//11//20</v>
      </c>
      <c r="DU147" s="390">
        <v>1739489</v>
      </c>
      <c r="DV147" s="390">
        <v>1728989</v>
      </c>
      <c r="DW147" s="416">
        <v>10500</v>
      </c>
      <c r="DX147" s="417">
        <v>0.0061</v>
      </c>
      <c r="DY147" s="192"/>
      <c r="DZ147" s="192"/>
      <c r="EA147" s="389"/>
      <c r="EB147" s="390" t="str">
        <f t="shared" si="423"/>
        <v>2025//11//20</v>
      </c>
      <c r="EC147" s="390">
        <v>5150067</v>
      </c>
      <c r="ED147" s="390">
        <v>5096067</v>
      </c>
      <c r="EE147" s="416">
        <v>54000</v>
      </c>
      <c r="EF147" s="417">
        <v>0.0106</v>
      </c>
      <c r="EG147" s="192"/>
      <c r="EH147" s="192"/>
      <c r="EI147" s="389"/>
      <c r="EJ147" s="390" t="str">
        <f t="shared" si="424"/>
        <v>2025//11//20</v>
      </c>
      <c r="EK147" s="390">
        <v>1630723</v>
      </c>
      <c r="EL147" s="390">
        <v>1628523</v>
      </c>
      <c r="EM147" s="416">
        <v>2200</v>
      </c>
      <c r="EN147" s="417">
        <v>0.0014</v>
      </c>
      <c r="EO147" s="192"/>
      <c r="EP147" s="192"/>
      <c r="EQ147" s="192"/>
      <c r="ER147" s="8" t="str">
        <f t="shared" si="425"/>
        <v>2025//11//20</v>
      </c>
      <c r="ES147" s="192"/>
      <c r="ET147" s="192"/>
      <c r="EU147" s="192"/>
      <c r="EV147" s="192"/>
      <c r="EW147" s="192"/>
      <c r="EX147" s="192"/>
      <c r="EY147" s="389"/>
      <c r="EZ147" s="390" t="str">
        <f t="shared" si="426"/>
        <v>2025//11//20</v>
      </c>
      <c r="FA147" s="390">
        <v>1225308</v>
      </c>
      <c r="FB147" s="390">
        <v>1227608</v>
      </c>
      <c r="FC147" s="414">
        <v>-2300</v>
      </c>
      <c r="FD147" s="415">
        <v>-0.0019</v>
      </c>
      <c r="FE147" s="192"/>
      <c r="FF147" s="192"/>
      <c r="FG147" s="192"/>
      <c r="FH147" s="410" t="str">
        <f t="shared" si="427"/>
        <v>2025//11//20</v>
      </c>
      <c r="FI147" s="513">
        <v>123695.33</v>
      </c>
      <c r="FJ147" s="390">
        <f t="shared" ref="FJ147:FJ162" si="465">FI148</f>
        <v>123695.33</v>
      </c>
      <c r="FK147" s="390">
        <v>0</v>
      </c>
      <c r="FL147" s="391">
        <v>0</v>
      </c>
      <c r="FM147" s="391"/>
      <c r="FN147" s="391"/>
      <c r="FO147" s="389"/>
      <c r="FP147" s="390" t="str">
        <f t="shared" si="428"/>
        <v>2025//11//20</v>
      </c>
      <c r="FQ147" s="390">
        <v>2467919</v>
      </c>
      <c r="FR147" s="390">
        <v>2457119</v>
      </c>
      <c r="FS147" s="416">
        <v>10800</v>
      </c>
      <c r="FT147" s="417">
        <v>0.0044</v>
      </c>
      <c r="FU147" s="192"/>
      <c r="FV147" s="192"/>
      <c r="FW147" s="389"/>
      <c r="FX147" s="390" t="str">
        <f t="shared" si="429"/>
        <v>2025//11//20</v>
      </c>
      <c r="FY147" s="390">
        <v>7239682</v>
      </c>
      <c r="FZ147" s="390">
        <v>7190382</v>
      </c>
      <c r="GA147" s="416">
        <v>49300</v>
      </c>
      <c r="GB147" s="417">
        <v>0.0069</v>
      </c>
      <c r="GC147" s="192"/>
      <c r="GD147" s="192"/>
      <c r="GE147" s="389"/>
      <c r="GF147" s="390" t="str">
        <f t="shared" si="430"/>
        <v>2025//11//20</v>
      </c>
      <c r="GG147" s="390">
        <v>4384169</v>
      </c>
      <c r="GH147" s="390">
        <v>4364669</v>
      </c>
      <c r="GI147" s="416">
        <v>19500</v>
      </c>
      <c r="GJ147" s="417">
        <v>0.0045</v>
      </c>
      <c r="GK147" s="192"/>
      <c r="GL147" s="192"/>
      <c r="GM147" s="389"/>
      <c r="GN147" s="390" t="str">
        <f t="shared" si="431"/>
        <v>2025//11//20</v>
      </c>
      <c r="GO147" s="390">
        <v>1535278</v>
      </c>
      <c r="GP147" s="390">
        <v>1539538</v>
      </c>
      <c r="GQ147" s="414">
        <v>-4260</v>
      </c>
      <c r="GR147" s="415">
        <v>-0.0028</v>
      </c>
      <c r="GS147" s="192"/>
      <c r="GT147" s="192"/>
      <c r="GU147" s="389"/>
      <c r="GV147" s="390" t="str">
        <f t="shared" si="432"/>
        <v>2025//11//20</v>
      </c>
      <c r="GW147" s="390">
        <v>1374349</v>
      </c>
      <c r="GX147" s="390">
        <v>1387949</v>
      </c>
      <c r="GY147" s="414">
        <v>-13600</v>
      </c>
      <c r="GZ147" s="415">
        <v>-0.0098</v>
      </c>
      <c r="HA147" s="192"/>
      <c r="HB147" s="192"/>
      <c r="HC147" s="389"/>
      <c r="HD147" s="390" t="str">
        <f t="shared" si="433"/>
        <v>2025//11//20</v>
      </c>
      <c r="HE147" s="390">
        <v>1420565</v>
      </c>
      <c r="HF147" s="390">
        <v>1448665</v>
      </c>
      <c r="HG147" s="414">
        <v>-28100</v>
      </c>
      <c r="HH147" s="415">
        <v>-0.0194</v>
      </c>
      <c r="HI147" s="391"/>
      <c r="HJ147" s="192"/>
      <c r="HK147" s="389"/>
      <c r="HL147" s="390" t="str">
        <f t="shared" si="434"/>
        <v>2025//11//20</v>
      </c>
      <c r="HM147" s="390">
        <v>208754</v>
      </c>
      <c r="HN147" s="390">
        <v>208904</v>
      </c>
      <c r="HO147" s="414">
        <v>-150</v>
      </c>
      <c r="HP147" s="415">
        <v>-0.0007</v>
      </c>
      <c r="HQ147" s="192"/>
      <c r="HR147" s="192"/>
      <c r="HS147" s="389"/>
      <c r="HT147" s="390" t="str">
        <f t="shared" si="435"/>
        <v>2025//11//20</v>
      </c>
      <c r="HU147" s="390">
        <v>155469</v>
      </c>
      <c r="HV147" s="390">
        <v>156369</v>
      </c>
      <c r="HW147" s="414">
        <v>-900</v>
      </c>
      <c r="HX147" s="415">
        <v>-0.0058</v>
      </c>
      <c r="HY147" s="192"/>
      <c r="HZ147" s="192"/>
      <c r="IA147" s="389"/>
      <c r="IB147" s="390" t="str">
        <f t="shared" si="436"/>
        <v>2025//11//20</v>
      </c>
      <c r="IE147" s="390"/>
      <c r="IF147" s="391"/>
      <c r="IG147" s="192"/>
      <c r="IH147" s="192"/>
      <c r="II147" s="389"/>
      <c r="IJ147" s="390" t="str">
        <f t="shared" si="437"/>
        <v>2025//11//20</v>
      </c>
      <c r="IK147" s="390">
        <v>416156</v>
      </c>
      <c r="IL147" s="390">
        <v>414396</v>
      </c>
      <c r="IM147" s="416">
        <v>1760</v>
      </c>
      <c r="IN147" s="417">
        <v>0.0042</v>
      </c>
      <c r="IO147" s="192"/>
      <c r="IP147" s="192"/>
      <c r="IQ147" s="389"/>
      <c r="IR147" s="390" t="str">
        <f t="shared" si="438"/>
        <v>2025//11//20</v>
      </c>
      <c r="IS147" s="390">
        <v>121689</v>
      </c>
      <c r="IT147" s="390">
        <v>121789</v>
      </c>
      <c r="IU147" s="414">
        <v>-100</v>
      </c>
      <c r="IV147" s="415">
        <v>-0.0008</v>
      </c>
      <c r="IW147" s="192"/>
      <c r="IX147" s="192"/>
      <c r="IY147" s="389"/>
      <c r="IZ147" s="390" t="str">
        <f t="shared" si="439"/>
        <v>2025//11//20</v>
      </c>
      <c r="JA147" s="390">
        <v>5023729</v>
      </c>
      <c r="JB147" s="390">
        <v>5064729</v>
      </c>
      <c r="JC147" s="414">
        <v>-41000</v>
      </c>
      <c r="JD147" s="415">
        <v>-0.0081</v>
      </c>
      <c r="JE147" s="192"/>
      <c r="JF147" s="192"/>
      <c r="JG147" s="389"/>
      <c r="JH147" s="390" t="str">
        <f t="shared" si="440"/>
        <v>2025//11//20</v>
      </c>
      <c r="JI147" s="390">
        <v>2289268</v>
      </c>
      <c r="JJ147" s="390">
        <v>2340208</v>
      </c>
      <c r="JK147" s="414">
        <v>-50940</v>
      </c>
      <c r="JL147" s="415">
        <v>-0.0218</v>
      </c>
      <c r="JM147" s="192"/>
      <c r="JN147" s="192"/>
      <c r="JO147" s="192"/>
      <c r="JP147" s="390" t="str">
        <f t="shared" si="441"/>
        <v>2025//11//20</v>
      </c>
      <c r="JQ147" s="390">
        <v>1179990</v>
      </c>
      <c r="JR147" s="390">
        <v>1219290</v>
      </c>
      <c r="JS147" s="414">
        <v>-39300</v>
      </c>
      <c r="JT147" s="415">
        <v>-0.0322</v>
      </c>
      <c r="JU147" s="192"/>
      <c r="JV147" s="192"/>
      <c r="JW147" s="409"/>
      <c r="JX147" s="390" t="str">
        <f t="shared" si="442"/>
        <v>2025//11//20</v>
      </c>
      <c r="JY147" s="390">
        <v>1507349</v>
      </c>
      <c r="JZ147" s="390">
        <v>1507149</v>
      </c>
      <c r="KA147" s="416">
        <v>200</v>
      </c>
      <c r="KB147" s="417">
        <v>0.0001</v>
      </c>
      <c r="KC147" s="192"/>
      <c r="KD147" s="192"/>
      <c r="KE147" s="409"/>
      <c r="KF147" s="390" t="str">
        <f t="shared" si="443"/>
        <v>2025//11//20</v>
      </c>
      <c r="KG147" s="390">
        <v>925356</v>
      </c>
      <c r="KH147" s="390">
        <v>926156</v>
      </c>
      <c r="KI147" s="414">
        <v>-800</v>
      </c>
      <c r="KJ147" s="415">
        <v>-0.0009</v>
      </c>
      <c r="KK147" s="391"/>
      <c r="KL147" s="391"/>
      <c r="KM147" s="389"/>
      <c r="KN147" s="390" t="str">
        <f t="shared" si="444"/>
        <v>2025//11//20</v>
      </c>
      <c r="KO147" s="390">
        <v>6207776</v>
      </c>
      <c r="KP147" s="390">
        <v>6113876</v>
      </c>
      <c r="KQ147" s="416">
        <v>93900</v>
      </c>
      <c r="KR147" s="417">
        <v>0.0154</v>
      </c>
      <c r="KS147" s="192"/>
      <c r="KT147" s="192"/>
      <c r="KU147" s="389"/>
      <c r="KV147" s="390" t="str">
        <f t="shared" si="445"/>
        <v>2025//11//20</v>
      </c>
      <c r="KW147" s="390">
        <v>991173</v>
      </c>
      <c r="KX147" s="390">
        <v>991173</v>
      </c>
      <c r="KY147" s="390">
        <v>0</v>
      </c>
      <c r="KZ147" s="391">
        <v>0</v>
      </c>
      <c r="LA147" s="391"/>
      <c r="LB147" s="192"/>
      <c r="LC147" s="389"/>
      <c r="LD147" s="390" t="str">
        <f t="shared" si="446"/>
        <v>2025//11//20</v>
      </c>
      <c r="LE147" s="390">
        <v>503658</v>
      </c>
      <c r="LF147" s="390">
        <v>507508</v>
      </c>
      <c r="LG147" s="414">
        <v>-3850</v>
      </c>
      <c r="LH147" s="415">
        <v>-0.0076</v>
      </c>
      <c r="LI147" s="192"/>
      <c r="LJ147" s="192"/>
      <c r="LK147" s="389"/>
      <c r="LL147" s="390" t="str">
        <f t="shared" si="447"/>
        <v>2025//11//20</v>
      </c>
      <c r="LM147" s="392">
        <v>3663295</v>
      </c>
      <c r="LN147" s="390">
        <v>3659335</v>
      </c>
      <c r="LO147" s="416">
        <v>3960</v>
      </c>
      <c r="LP147" s="417">
        <v>0.0011</v>
      </c>
      <c r="LQ147" s="192"/>
      <c r="LR147" s="192"/>
      <c r="LS147" s="389"/>
      <c r="LT147" s="390" t="str">
        <f t="shared" si="448"/>
        <v>2025//11//20</v>
      </c>
      <c r="LU147" s="390">
        <v>2588063</v>
      </c>
      <c r="LV147" s="390">
        <v>2591063</v>
      </c>
      <c r="LW147" s="414">
        <v>-3000</v>
      </c>
      <c r="LX147" s="415">
        <v>-0.0012</v>
      </c>
      <c r="LY147" s="192"/>
      <c r="LZ147" s="192"/>
      <c r="MA147" s="389"/>
      <c r="MB147" s="390" t="str">
        <f t="shared" si="449"/>
        <v>2025//11//20</v>
      </c>
      <c r="MC147" s="390">
        <v>925018</v>
      </c>
      <c r="MD147" s="390">
        <v>944968</v>
      </c>
      <c r="ME147" s="414">
        <v>-19950</v>
      </c>
      <c r="MF147" s="415">
        <v>-0.0211</v>
      </c>
      <c r="MG147" s="192"/>
      <c r="MH147" s="192"/>
      <c r="MI147" s="389"/>
      <c r="MJ147" s="389"/>
      <c r="MK147" s="390" t="str">
        <f t="shared" si="450"/>
        <v>2025//11//20</v>
      </c>
      <c r="ML147" s="389"/>
      <c r="MM147" s="203"/>
      <c r="MN147" s="389"/>
      <c r="MO147" s="391"/>
      <c r="MP147" s="391"/>
      <c r="MQ147" s="391"/>
      <c r="MR147" s="391"/>
      <c r="MS147" s="391"/>
      <c r="MT147" s="26" t="str">
        <f t="shared" si="451"/>
        <v>2025//11//20</v>
      </c>
      <c r="MX147" s="192"/>
      <c r="MY147" s="192"/>
      <c r="MZ147" s="192"/>
      <c r="NA147" s="192"/>
      <c r="NB147" s="192"/>
      <c r="NC147" s="8" t="str">
        <f t="shared" si="452"/>
        <v>2025//11//20</v>
      </c>
      <c r="NG147" s="192"/>
      <c r="NH147" s="192"/>
      <c r="NI147" s="192"/>
      <c r="NJ147" s="192"/>
      <c r="NK147" s="192"/>
      <c r="NL147" s="8"/>
      <c r="NM147" s="8" t="str">
        <f t="shared" si="453"/>
        <v>2025//11//20</v>
      </c>
      <c r="NQ147" s="192"/>
      <c r="NR147" s="192"/>
      <c r="NS147" s="8"/>
      <c r="NU147" s="8" t="str">
        <f t="shared" si="454"/>
        <v>2025//11//20</v>
      </c>
      <c r="NV147" s="389"/>
      <c r="NW147" s="389"/>
      <c r="NX147" s="389"/>
      <c r="NY147" s="391"/>
      <c r="NZ147" s="391"/>
      <c r="OA147" s="389"/>
      <c r="OB147" s="389"/>
      <c r="OC147" s="390" t="str">
        <f t="shared" si="455"/>
        <v>2025//11//20</v>
      </c>
      <c r="OD147" s="390">
        <v>17763</v>
      </c>
      <c r="OE147" s="390">
        <v>17813</v>
      </c>
      <c r="OF147" s="414">
        <v>-50</v>
      </c>
      <c r="OG147" s="415">
        <v>-0.0028</v>
      </c>
      <c r="OH147" s="192"/>
      <c r="OI147" s="192"/>
      <c r="OJ147" s="389"/>
      <c r="OK147" s="390" t="str">
        <f t="shared" si="456"/>
        <v>2025//11//20</v>
      </c>
      <c r="OO147" s="192"/>
      <c r="OP147" s="192"/>
      <c r="OQ147" s="192"/>
      <c r="OT147" s="26" t="str">
        <f t="shared" si="407"/>
        <v>2025//11//20</v>
      </c>
      <c r="OU147" s="206">
        <v>133512.4066</v>
      </c>
      <c r="OV147" s="8">
        <f t="shared" si="462"/>
        <v>133392.4066</v>
      </c>
      <c r="OW147" s="191">
        <f t="shared" si="463"/>
        <v>120</v>
      </c>
      <c r="OX147" s="192">
        <f t="shared" si="464"/>
        <v>0.000899601432035337</v>
      </c>
    </row>
    <row r="148" s="8" customFormat="1" ht="17" customHeight="1" spans="1:414">
      <c r="A148" s="15"/>
      <c r="B148" s="15"/>
      <c r="C148" s="385" t="s">
        <v>577</v>
      </c>
      <c r="D148" s="395">
        <v>8946949</v>
      </c>
      <c r="E148" s="395">
        <v>8972599</v>
      </c>
      <c r="F148" s="403">
        <v>-25650</v>
      </c>
      <c r="G148" s="404">
        <v>-0.0029</v>
      </c>
      <c r="H148" s="18"/>
      <c r="I148" s="453"/>
      <c r="J148" s="453"/>
      <c r="K148" s="386" t="str">
        <f t="shared" si="408"/>
        <v>2025//11//19</v>
      </c>
      <c r="L148" s="395">
        <v>6642604</v>
      </c>
      <c r="M148" s="395">
        <v>6645304</v>
      </c>
      <c r="N148" s="403">
        <v>-2700</v>
      </c>
      <c r="O148" s="404">
        <v>-0.0004</v>
      </c>
      <c r="P148" s="18"/>
      <c r="Q148" s="453"/>
      <c r="R148" s="454"/>
      <c r="S148" s="386" t="str">
        <f t="shared" si="409"/>
        <v>2025//11//19</v>
      </c>
      <c r="T148" s="395">
        <v>5697517</v>
      </c>
      <c r="U148" s="395">
        <v>5734867</v>
      </c>
      <c r="V148" s="403">
        <v>-37350</v>
      </c>
      <c r="W148" s="404">
        <v>-0.0065</v>
      </c>
      <c r="X148" s="18"/>
      <c r="Y148" s="453"/>
      <c r="Z148" s="454"/>
      <c r="AA148" s="386" t="str">
        <f t="shared" si="410"/>
        <v>2025//11//19</v>
      </c>
      <c r="AB148" s="395">
        <v>1842457</v>
      </c>
      <c r="AC148" s="395">
        <v>1827817</v>
      </c>
      <c r="AD148" s="459">
        <v>14640</v>
      </c>
      <c r="AE148" s="460">
        <v>0.008</v>
      </c>
      <c r="AF148" s="18"/>
      <c r="AG148" s="453"/>
      <c r="AH148" s="454"/>
      <c r="AI148" s="386" t="str">
        <f t="shared" si="411"/>
        <v>2025//11//19</v>
      </c>
      <c r="AJ148" s="395">
        <v>2485522</v>
      </c>
      <c r="AK148" s="386">
        <v>2467522</v>
      </c>
      <c r="AL148" s="459">
        <v>18000</v>
      </c>
      <c r="AM148" s="460">
        <v>0.0073</v>
      </c>
      <c r="AN148" s="18"/>
      <c r="AO148" s="18"/>
      <c r="AP148" s="454"/>
      <c r="AQ148" s="386" t="str">
        <f t="shared" si="412"/>
        <v>2025//11//19</v>
      </c>
      <c r="AR148" s="418">
        <v>3293945</v>
      </c>
      <c r="AS148" s="395">
        <v>3292845</v>
      </c>
      <c r="AT148" s="459">
        <v>1100</v>
      </c>
      <c r="AU148" s="460">
        <v>0.0003</v>
      </c>
      <c r="AV148" s="18"/>
      <c r="AW148" s="18"/>
      <c r="AX148" s="17"/>
      <c r="AY148" s="17"/>
      <c r="AZ148" s="17" t="str">
        <f t="shared" si="413"/>
        <v>2025//11//19</v>
      </c>
      <c r="BA148" s="17"/>
      <c r="BB148" s="17"/>
      <c r="BC148" s="17"/>
      <c r="BD148" s="18"/>
      <c r="BE148" s="18"/>
      <c r="BF148" s="18"/>
      <c r="BG148" s="74"/>
      <c r="BH148" s="387" t="str">
        <f t="shared" si="414"/>
        <v>2025//11//19</v>
      </c>
      <c r="BI148" s="387">
        <v>133027</v>
      </c>
      <c r="BJ148" s="387">
        <v>131727</v>
      </c>
      <c r="BK148" s="421">
        <v>1300</v>
      </c>
      <c r="BL148" s="422">
        <v>0.0099</v>
      </c>
      <c r="BM148" s="197"/>
      <c r="BN148" s="192"/>
      <c r="BO148" s="389"/>
      <c r="BP148" s="390" t="str">
        <f t="shared" si="415"/>
        <v>2025//11//19</v>
      </c>
      <c r="BQ148" s="392">
        <v>626662</v>
      </c>
      <c r="BR148" s="390">
        <v>621062</v>
      </c>
      <c r="BS148" s="416">
        <v>5600</v>
      </c>
      <c r="BT148" s="417">
        <v>0.009</v>
      </c>
      <c r="BU148" s="192"/>
      <c r="BV148" s="192"/>
      <c r="BW148" s="389"/>
      <c r="BX148" s="390" t="str">
        <f t="shared" si="416"/>
        <v>2025//11//19</v>
      </c>
      <c r="BY148" s="390">
        <v>2300411</v>
      </c>
      <c r="BZ148" s="390">
        <v>2332661</v>
      </c>
      <c r="CA148" s="414">
        <v>-32250</v>
      </c>
      <c r="CB148" s="415">
        <v>-0.0138</v>
      </c>
      <c r="CC148" s="192"/>
      <c r="CD148" s="409"/>
      <c r="CE148" s="514"/>
      <c r="CF148" s="410" t="str">
        <f t="shared" si="417"/>
        <v>2025//11//19</v>
      </c>
      <c r="CG148" s="390">
        <v>897054</v>
      </c>
      <c r="CH148" s="12">
        <f>CG149</f>
        <v>906053.9</v>
      </c>
      <c r="CI148" s="12">
        <f t="shared" si="457"/>
        <v>-8999.90000000002</v>
      </c>
      <c r="CJ148" s="199">
        <f t="shared" si="458"/>
        <v>-0.00993307351803245</v>
      </c>
      <c r="CK148" s="192"/>
      <c r="CL148" s="391"/>
      <c r="CM148" s="389"/>
      <c r="CN148" s="390" t="str">
        <f t="shared" si="418"/>
        <v>2025//11//19</v>
      </c>
      <c r="CO148" s="390">
        <v>118246</v>
      </c>
      <c r="CP148" s="390">
        <v>117446</v>
      </c>
      <c r="CQ148" s="12">
        <f t="shared" si="459"/>
        <v>800</v>
      </c>
      <c r="CR148" s="199">
        <f t="shared" si="460"/>
        <v>0.00681164109463072</v>
      </c>
      <c r="CS148" s="391"/>
      <c r="CT148" s="391"/>
      <c r="CU148" s="389"/>
      <c r="CV148" s="390" t="str">
        <f t="shared" si="419"/>
        <v>2025//11//19</v>
      </c>
      <c r="CW148" s="390">
        <v>709390</v>
      </c>
      <c r="CX148" s="390">
        <v>708590</v>
      </c>
      <c r="CY148" s="416">
        <v>800</v>
      </c>
      <c r="CZ148" s="417">
        <v>0.0011</v>
      </c>
      <c r="DA148" s="192"/>
      <c r="DB148" s="192"/>
      <c r="DC148" s="277"/>
      <c r="DD148" s="390" t="str">
        <f t="shared" si="420"/>
        <v>2025//11//19</v>
      </c>
      <c r="DE148" s="390">
        <v>878718</v>
      </c>
      <c r="DF148" s="12">
        <f t="shared" si="461"/>
        <v>865918</v>
      </c>
      <c r="DG148" s="416">
        <v>6400</v>
      </c>
      <c r="DH148" s="417">
        <v>0.0148</v>
      </c>
      <c r="DI148" s="192"/>
      <c r="DJ148" s="192"/>
      <c r="DK148" s="389"/>
      <c r="DL148" s="390" t="str">
        <f t="shared" si="421"/>
        <v>2025//11//19</v>
      </c>
      <c r="DM148" s="390">
        <v>1554500</v>
      </c>
      <c r="DN148" s="390">
        <v>1534300</v>
      </c>
      <c r="DO148" s="416">
        <v>20200</v>
      </c>
      <c r="DP148" s="417">
        <v>0.0132</v>
      </c>
      <c r="DQ148" s="192"/>
      <c r="DR148" s="192"/>
      <c r="DS148" s="389"/>
      <c r="DT148" s="390" t="str">
        <f t="shared" si="422"/>
        <v>2025//11//19</v>
      </c>
      <c r="DU148" s="390">
        <v>1728989</v>
      </c>
      <c r="DV148" s="390">
        <v>1711589</v>
      </c>
      <c r="DW148" s="416">
        <v>17400</v>
      </c>
      <c r="DX148" s="417">
        <v>0.0102</v>
      </c>
      <c r="DY148" s="192"/>
      <c r="DZ148" s="192"/>
      <c r="EA148" s="389"/>
      <c r="EB148" s="390" t="str">
        <f t="shared" si="423"/>
        <v>2025//11//19</v>
      </c>
      <c r="EC148" s="390">
        <v>5096067</v>
      </c>
      <c r="ED148" s="390">
        <v>5061417</v>
      </c>
      <c r="EE148" s="416">
        <v>34650</v>
      </c>
      <c r="EF148" s="417">
        <v>0.0068</v>
      </c>
      <c r="EG148" s="192"/>
      <c r="EH148" s="192"/>
      <c r="EI148" s="389"/>
      <c r="EJ148" s="390" t="str">
        <f t="shared" si="424"/>
        <v>2025//11//19</v>
      </c>
      <c r="EK148" s="390">
        <v>1628523</v>
      </c>
      <c r="EL148" s="390">
        <v>1624723</v>
      </c>
      <c r="EM148" s="416">
        <v>3800</v>
      </c>
      <c r="EN148" s="417">
        <v>0.0023</v>
      </c>
      <c r="EO148" s="192"/>
      <c r="EP148" s="192"/>
      <c r="EQ148" s="192"/>
      <c r="ER148" s="8" t="str">
        <f t="shared" si="425"/>
        <v>2025//11//19</v>
      </c>
      <c r="ES148" s="192"/>
      <c r="ET148" s="192"/>
      <c r="EU148" s="192"/>
      <c r="EV148" s="192"/>
      <c r="EW148" s="192"/>
      <c r="EX148" s="192"/>
      <c r="EY148" s="389"/>
      <c r="EZ148" s="390" t="str">
        <f t="shared" si="426"/>
        <v>2025//11//19</v>
      </c>
      <c r="FA148" s="390">
        <v>1227608</v>
      </c>
      <c r="FB148" s="390">
        <v>1219408</v>
      </c>
      <c r="FC148" s="416">
        <v>8200</v>
      </c>
      <c r="FD148" s="417">
        <v>0.0067</v>
      </c>
      <c r="FE148" s="192"/>
      <c r="FF148" s="192"/>
      <c r="FG148" s="192"/>
      <c r="FH148" s="410" t="str">
        <f t="shared" si="427"/>
        <v>2025//11//19</v>
      </c>
      <c r="FI148" s="513">
        <v>123695.33</v>
      </c>
      <c r="FJ148" s="390">
        <f t="shared" si="465"/>
        <v>123495.33</v>
      </c>
      <c r="FK148" s="348">
        <f t="shared" ref="FK148:FK162" si="466">FI148-FJ148</f>
        <v>200</v>
      </c>
      <c r="FL148" s="349">
        <f t="shared" ref="FL148:FL162" si="467">FK148/FJ148</f>
        <v>0.00161949443756294</v>
      </c>
      <c r="FM148" s="391"/>
      <c r="FN148" s="391"/>
      <c r="FO148" s="389"/>
      <c r="FP148" s="390" t="str">
        <f t="shared" si="428"/>
        <v>2025//11//19</v>
      </c>
      <c r="FQ148" s="390">
        <v>2457119</v>
      </c>
      <c r="FR148" s="390">
        <v>2412869</v>
      </c>
      <c r="FS148" s="416">
        <v>44250</v>
      </c>
      <c r="FT148" s="417">
        <v>0.0183</v>
      </c>
      <c r="FU148" s="192"/>
      <c r="FV148" s="192"/>
      <c r="FW148" s="389"/>
      <c r="FX148" s="390" t="str">
        <f t="shared" si="429"/>
        <v>2025//11//19</v>
      </c>
      <c r="FY148" s="390">
        <v>7190382</v>
      </c>
      <c r="FZ148" s="390">
        <v>7163282</v>
      </c>
      <c r="GA148" s="416">
        <v>27100</v>
      </c>
      <c r="GB148" s="417">
        <v>0.0038</v>
      </c>
      <c r="GC148" s="192"/>
      <c r="GD148" s="192"/>
      <c r="GE148" s="389"/>
      <c r="GF148" s="390" t="str">
        <f t="shared" si="430"/>
        <v>2025//11//19</v>
      </c>
      <c r="GG148" s="390">
        <v>4364669</v>
      </c>
      <c r="GH148" s="390">
        <v>4362269</v>
      </c>
      <c r="GI148" s="416">
        <v>2400</v>
      </c>
      <c r="GJ148" s="417">
        <v>0.0006</v>
      </c>
      <c r="GK148" s="192"/>
      <c r="GL148" s="192"/>
      <c r="GM148" s="389"/>
      <c r="GN148" s="390" t="str">
        <f t="shared" si="431"/>
        <v>2025//11//19</v>
      </c>
      <c r="GO148" s="390">
        <v>1539538</v>
      </c>
      <c r="GP148" s="390">
        <v>1541878</v>
      </c>
      <c r="GQ148" s="414">
        <v>-2340</v>
      </c>
      <c r="GR148" s="415">
        <v>-0.0015</v>
      </c>
      <c r="GS148" s="192"/>
      <c r="GT148" s="192"/>
      <c r="GU148" s="389"/>
      <c r="GV148" s="390" t="str">
        <f t="shared" si="432"/>
        <v>2025//11//19</v>
      </c>
      <c r="GW148" s="390">
        <v>1387949</v>
      </c>
      <c r="GX148" s="390">
        <v>1385549</v>
      </c>
      <c r="GY148" s="416">
        <v>2400</v>
      </c>
      <c r="GZ148" s="417">
        <v>0.0017</v>
      </c>
      <c r="HA148" s="192"/>
      <c r="HB148" s="192"/>
      <c r="HC148" s="389"/>
      <c r="HD148" s="390" t="str">
        <f t="shared" si="433"/>
        <v>2025//11//19</v>
      </c>
      <c r="HE148" s="390">
        <v>1448665</v>
      </c>
      <c r="HF148" s="390">
        <v>1453165</v>
      </c>
      <c r="HG148" s="414">
        <v>-4500</v>
      </c>
      <c r="HH148" s="415">
        <v>-0.0031</v>
      </c>
      <c r="HI148" s="391"/>
      <c r="HJ148" s="192"/>
      <c r="HK148" s="389"/>
      <c r="HL148" s="390" t="str">
        <f t="shared" si="434"/>
        <v>2025//11//19</v>
      </c>
      <c r="HM148" s="390">
        <v>208904</v>
      </c>
      <c r="HN148" s="390">
        <v>209004</v>
      </c>
      <c r="HO148" s="414">
        <v>-100</v>
      </c>
      <c r="HP148" s="415">
        <v>-0.0005</v>
      </c>
      <c r="HQ148" s="192"/>
      <c r="HR148" s="192"/>
      <c r="HS148" s="389"/>
      <c r="HT148" s="390" t="str">
        <f t="shared" si="435"/>
        <v>2025//11//19</v>
      </c>
      <c r="HU148" s="390">
        <v>156369</v>
      </c>
      <c r="HV148" s="390">
        <v>157369</v>
      </c>
      <c r="HW148" s="414">
        <v>-1000</v>
      </c>
      <c r="HX148" s="415">
        <v>-0.0064</v>
      </c>
      <c r="HY148" s="192"/>
      <c r="HZ148" s="192"/>
      <c r="IA148" s="389"/>
      <c r="IB148" s="390" t="str">
        <f t="shared" si="436"/>
        <v>2025//11//19</v>
      </c>
      <c r="IE148" s="390"/>
      <c r="IF148" s="391"/>
      <c r="IG148" s="192"/>
      <c r="IH148" s="192"/>
      <c r="II148" s="389"/>
      <c r="IJ148" s="390" t="str">
        <f t="shared" si="437"/>
        <v>2025//11//19</v>
      </c>
      <c r="IK148" s="390">
        <v>414396</v>
      </c>
      <c r="IL148" s="390">
        <v>414396</v>
      </c>
      <c r="IM148" s="410">
        <v>0</v>
      </c>
      <c r="IN148" s="409">
        <v>0</v>
      </c>
      <c r="IO148" s="192"/>
      <c r="IP148" s="192"/>
      <c r="IQ148" s="389"/>
      <c r="IR148" s="390" t="str">
        <f t="shared" si="438"/>
        <v>2025//11//19</v>
      </c>
      <c r="IS148" s="390">
        <v>121789</v>
      </c>
      <c r="IT148" s="390">
        <v>122189</v>
      </c>
      <c r="IU148" s="414">
        <v>-400</v>
      </c>
      <c r="IV148" s="415">
        <v>-0.0033</v>
      </c>
      <c r="IW148" s="192"/>
      <c r="IX148" s="192"/>
      <c r="IY148" s="389"/>
      <c r="IZ148" s="390" t="str">
        <f t="shared" si="439"/>
        <v>2025//11//19</v>
      </c>
      <c r="JA148" s="390">
        <v>5064729</v>
      </c>
      <c r="JB148" s="390">
        <v>5085229</v>
      </c>
      <c r="JC148" s="414">
        <v>-20500</v>
      </c>
      <c r="JD148" s="415">
        <v>-0.004</v>
      </c>
      <c r="JE148" s="192"/>
      <c r="JF148" s="192"/>
      <c r="JG148" s="389"/>
      <c r="JH148" s="390" t="str">
        <f t="shared" si="440"/>
        <v>2025//11//19</v>
      </c>
      <c r="JI148" s="390">
        <v>2340208</v>
      </c>
      <c r="JJ148" s="390">
        <v>2370808</v>
      </c>
      <c r="JK148" s="414">
        <v>-30600</v>
      </c>
      <c r="JL148" s="415">
        <v>-0.0129</v>
      </c>
      <c r="JM148" s="192"/>
      <c r="JN148" s="192"/>
      <c r="JO148" s="192"/>
      <c r="JP148" s="390" t="str">
        <f t="shared" si="441"/>
        <v>2025//11//19</v>
      </c>
      <c r="JQ148" s="390">
        <v>1219290</v>
      </c>
      <c r="JR148" s="390">
        <v>1216790</v>
      </c>
      <c r="JS148" s="416">
        <v>2500</v>
      </c>
      <c r="JT148" s="417">
        <v>0.0021</v>
      </c>
      <c r="JU148" s="192"/>
      <c r="JV148" s="192"/>
      <c r="JW148" s="409"/>
      <c r="JX148" s="390" t="str">
        <f t="shared" si="442"/>
        <v>2025//11//19</v>
      </c>
      <c r="JY148" s="390">
        <v>1507149</v>
      </c>
      <c r="JZ148" s="390">
        <v>1506949</v>
      </c>
      <c r="KA148" s="416">
        <v>200</v>
      </c>
      <c r="KB148" s="417">
        <v>0.0001</v>
      </c>
      <c r="KC148" s="192"/>
      <c r="KD148" s="192"/>
      <c r="KE148" s="409"/>
      <c r="KF148" s="390" t="str">
        <f t="shared" si="443"/>
        <v>2025//11//19</v>
      </c>
      <c r="KG148" s="390">
        <v>926156</v>
      </c>
      <c r="KH148" s="390">
        <v>926956</v>
      </c>
      <c r="KI148" s="414">
        <v>-800</v>
      </c>
      <c r="KJ148" s="415">
        <v>-0.0009</v>
      </c>
      <c r="KK148" s="391"/>
      <c r="KL148" s="391"/>
      <c r="KM148" s="389"/>
      <c r="KN148" s="390" t="str">
        <f t="shared" si="444"/>
        <v>2025//11//19</v>
      </c>
      <c r="KO148" s="390">
        <v>6113876</v>
      </c>
      <c r="KP148" s="390">
        <v>6059876</v>
      </c>
      <c r="KQ148" s="416">
        <v>54000</v>
      </c>
      <c r="KR148" s="417">
        <v>0.0089</v>
      </c>
      <c r="KS148" s="192"/>
      <c r="KT148" s="192"/>
      <c r="KU148" s="389"/>
      <c r="KV148" s="390" t="str">
        <f t="shared" si="445"/>
        <v>2025//11//19</v>
      </c>
      <c r="KW148" s="390">
        <v>991173</v>
      </c>
      <c r="KX148" s="390">
        <v>972973</v>
      </c>
      <c r="KY148" s="348">
        <v>18200</v>
      </c>
      <c r="KZ148" s="349">
        <v>0.0187</v>
      </c>
      <c r="LA148" s="391"/>
      <c r="LB148" s="192"/>
      <c r="LC148" s="389"/>
      <c r="LD148" s="390" t="str">
        <f t="shared" si="446"/>
        <v>2025//11//19</v>
      </c>
      <c r="LE148" s="390">
        <v>507508</v>
      </c>
      <c r="LF148" s="390">
        <v>507658</v>
      </c>
      <c r="LG148" s="414">
        <v>-150</v>
      </c>
      <c r="LH148" s="415">
        <v>-0.0003</v>
      </c>
      <c r="LI148" s="192"/>
      <c r="LJ148" s="192"/>
      <c r="LK148" s="389"/>
      <c r="LL148" s="390" t="str">
        <f t="shared" si="447"/>
        <v>2025//11//19</v>
      </c>
      <c r="LM148" s="392">
        <v>3659335</v>
      </c>
      <c r="LN148" s="390">
        <v>3654295</v>
      </c>
      <c r="LO148" s="416">
        <v>5040</v>
      </c>
      <c r="LP148" s="417">
        <v>0.0014</v>
      </c>
      <c r="LQ148" s="192"/>
      <c r="LR148" s="192"/>
      <c r="LS148" s="389"/>
      <c r="LT148" s="390" t="str">
        <f t="shared" si="448"/>
        <v>2025//11//19</v>
      </c>
      <c r="LU148" s="390">
        <v>2591063</v>
      </c>
      <c r="LV148" s="390">
        <v>2599463</v>
      </c>
      <c r="LW148" s="414">
        <v>-8400</v>
      </c>
      <c r="LX148" s="415">
        <v>-0.0032</v>
      </c>
      <c r="LY148" s="192"/>
      <c r="LZ148" s="192"/>
      <c r="MA148" s="389"/>
      <c r="MB148" s="390" t="str">
        <f t="shared" si="449"/>
        <v>2025//11//19</v>
      </c>
      <c r="MC148" s="390">
        <v>944968</v>
      </c>
      <c r="MD148" s="390">
        <v>956368</v>
      </c>
      <c r="ME148" s="414">
        <v>-11400</v>
      </c>
      <c r="MF148" s="415">
        <v>-0.0119</v>
      </c>
      <c r="MG148" s="192"/>
      <c r="MH148" s="192"/>
      <c r="MI148" s="389"/>
      <c r="MJ148" s="389"/>
      <c r="MK148" s="390" t="str">
        <f t="shared" si="450"/>
        <v>2025//11//19</v>
      </c>
      <c r="ML148" s="389"/>
      <c r="MM148" s="203"/>
      <c r="MN148" s="389"/>
      <c r="MO148" s="391"/>
      <c r="MP148" s="391"/>
      <c r="MQ148" s="391"/>
      <c r="MR148" s="391"/>
      <c r="MS148" s="391"/>
      <c r="MT148" s="26" t="str">
        <f t="shared" si="451"/>
        <v>2025//11//19</v>
      </c>
      <c r="MX148" s="192"/>
      <c r="MY148" s="192"/>
      <c r="MZ148" s="192"/>
      <c r="NA148" s="192"/>
      <c r="NB148" s="192"/>
      <c r="NC148" s="8" t="str">
        <f t="shared" si="452"/>
        <v>2025//11//19</v>
      </c>
      <c r="NG148" s="192"/>
      <c r="NH148" s="192"/>
      <c r="NI148" s="192"/>
      <c r="NJ148" s="192"/>
      <c r="NK148" s="192"/>
      <c r="NL148" s="8"/>
      <c r="NM148" s="8" t="str">
        <f t="shared" si="453"/>
        <v>2025//11//19</v>
      </c>
      <c r="NQ148" s="192"/>
      <c r="NR148" s="192"/>
      <c r="NS148" s="8"/>
      <c r="NU148" s="8" t="str">
        <f t="shared" si="454"/>
        <v>2025//11//19</v>
      </c>
      <c r="NV148" s="389"/>
      <c r="NW148" s="389"/>
      <c r="NX148" s="389"/>
      <c r="NY148" s="391"/>
      <c r="NZ148" s="391"/>
      <c r="OA148" s="389"/>
      <c r="OB148" s="389"/>
      <c r="OC148" s="390" t="str">
        <f t="shared" si="455"/>
        <v>2025//11//19</v>
      </c>
      <c r="OD148" s="390">
        <v>17813</v>
      </c>
      <c r="OE148" s="390">
        <v>17923</v>
      </c>
      <c r="OF148" s="414">
        <v>-110</v>
      </c>
      <c r="OG148" s="415">
        <v>-0.0061</v>
      </c>
      <c r="OH148" s="192"/>
      <c r="OI148" s="192"/>
      <c r="OJ148" s="389"/>
      <c r="OK148" s="390" t="str">
        <f t="shared" si="456"/>
        <v>2025//11//19</v>
      </c>
      <c r="OO148" s="192"/>
      <c r="OP148" s="192"/>
      <c r="OQ148" s="192"/>
      <c r="OT148" s="26" t="str">
        <f t="shared" si="407"/>
        <v>2025//11//19</v>
      </c>
      <c r="OU148" s="206">
        <v>133392.4066</v>
      </c>
      <c r="OV148" s="8">
        <f t="shared" si="462"/>
        <v>133272.4066</v>
      </c>
      <c r="OW148" s="191">
        <f t="shared" si="463"/>
        <v>120</v>
      </c>
      <c r="OX148" s="192">
        <f t="shared" si="464"/>
        <v>0.000900411443459295</v>
      </c>
    </row>
    <row r="149" s="8" customFormat="1" ht="17" customHeight="1" spans="1:414">
      <c r="A149" s="15"/>
      <c r="B149" s="15"/>
      <c r="C149" s="385" t="s">
        <v>578</v>
      </c>
      <c r="D149" s="395">
        <v>8972599</v>
      </c>
      <c r="E149" s="395">
        <v>8961079</v>
      </c>
      <c r="F149" s="459">
        <v>11520</v>
      </c>
      <c r="G149" s="460">
        <v>0.0013</v>
      </c>
      <c r="H149" s="18"/>
      <c r="I149" s="453"/>
      <c r="J149" s="453"/>
      <c r="K149" s="386" t="str">
        <f t="shared" si="408"/>
        <v>2025//11//18</v>
      </c>
      <c r="L149" s="395">
        <v>6645304</v>
      </c>
      <c r="M149" s="395">
        <v>6643684</v>
      </c>
      <c r="N149" s="459">
        <v>1620</v>
      </c>
      <c r="O149" s="460">
        <v>0.0002</v>
      </c>
      <c r="P149" s="18"/>
      <c r="Q149" s="453"/>
      <c r="R149" s="454"/>
      <c r="S149" s="386" t="str">
        <f t="shared" si="409"/>
        <v>2025//11//18</v>
      </c>
      <c r="T149" s="395">
        <v>5734867</v>
      </c>
      <c r="U149" s="395">
        <v>5746657</v>
      </c>
      <c r="V149" s="403">
        <v>-11790</v>
      </c>
      <c r="W149" s="404">
        <v>-0.0021</v>
      </c>
      <c r="X149" s="18"/>
      <c r="Y149" s="453"/>
      <c r="Z149" s="454"/>
      <c r="AA149" s="386" t="str">
        <f t="shared" si="410"/>
        <v>2025//11//18</v>
      </c>
      <c r="AB149" s="395">
        <v>1827817</v>
      </c>
      <c r="AC149" s="395">
        <v>1824497</v>
      </c>
      <c r="AD149" s="459">
        <v>3320</v>
      </c>
      <c r="AE149" s="460">
        <v>0.0018</v>
      </c>
      <c r="AF149" s="18"/>
      <c r="AG149" s="453"/>
      <c r="AH149" s="454"/>
      <c r="AI149" s="386" t="str">
        <f t="shared" si="411"/>
        <v>2025//11//18</v>
      </c>
      <c r="AJ149" s="395">
        <v>2467522</v>
      </c>
      <c r="AK149" s="386">
        <v>2467722</v>
      </c>
      <c r="AL149" s="403">
        <v>-200</v>
      </c>
      <c r="AM149" s="404">
        <v>-0.0001</v>
      </c>
      <c r="AN149" s="18"/>
      <c r="AO149" s="18"/>
      <c r="AP149" s="454"/>
      <c r="AQ149" s="386" t="str">
        <f t="shared" si="412"/>
        <v>2025//11//18</v>
      </c>
      <c r="AR149" s="418">
        <v>3292845</v>
      </c>
      <c r="AS149" s="395">
        <v>3256245</v>
      </c>
      <c r="AT149" s="459">
        <v>36600</v>
      </c>
      <c r="AU149" s="460">
        <v>0.0112</v>
      </c>
      <c r="AV149" s="18"/>
      <c r="AW149" s="18"/>
      <c r="AX149" s="17"/>
      <c r="AY149" s="17"/>
      <c r="AZ149" s="17" t="str">
        <f t="shared" si="413"/>
        <v>2025//11//18</v>
      </c>
      <c r="BA149" s="17"/>
      <c r="BB149" s="17"/>
      <c r="BC149" s="17"/>
      <c r="BD149" s="18"/>
      <c r="BE149" s="18"/>
      <c r="BF149" s="18"/>
      <c r="BG149" s="74"/>
      <c r="BH149" s="387" t="str">
        <f t="shared" si="414"/>
        <v>2025//11//18</v>
      </c>
      <c r="BI149" s="387">
        <v>131727</v>
      </c>
      <c r="BJ149" s="387">
        <v>130127</v>
      </c>
      <c r="BK149" s="421">
        <v>1600</v>
      </c>
      <c r="BL149" s="422">
        <v>0.0123</v>
      </c>
      <c r="BM149" s="197"/>
      <c r="BN149" s="192"/>
      <c r="BO149" s="389"/>
      <c r="BP149" s="390" t="str">
        <f t="shared" si="415"/>
        <v>2025//11//18</v>
      </c>
      <c r="BQ149" s="392">
        <v>621062</v>
      </c>
      <c r="BR149" s="390">
        <v>621662</v>
      </c>
      <c r="BS149" s="414">
        <v>-600</v>
      </c>
      <c r="BT149" s="415">
        <v>-0.001</v>
      </c>
      <c r="BU149" s="192"/>
      <c r="BV149" s="192"/>
      <c r="BW149" s="389"/>
      <c r="BX149" s="390" t="str">
        <f t="shared" si="416"/>
        <v>2025//11//18</v>
      </c>
      <c r="BY149" s="390">
        <v>2332661</v>
      </c>
      <c r="BZ149" s="390">
        <v>2359261</v>
      </c>
      <c r="CA149" s="414">
        <v>-26600</v>
      </c>
      <c r="CB149" s="415">
        <v>-0.0113</v>
      </c>
      <c r="CC149" s="192"/>
      <c r="CD149" s="409"/>
      <c r="CE149" s="514"/>
      <c r="CF149" s="410" t="str">
        <f t="shared" si="417"/>
        <v>2025//11//18</v>
      </c>
      <c r="CG149" s="200">
        <v>906053.9</v>
      </c>
      <c r="CH149" s="12">
        <f>CG150</f>
        <v>930603.9</v>
      </c>
      <c r="CI149" s="12">
        <f t="shared" si="457"/>
        <v>-24550</v>
      </c>
      <c r="CJ149" s="199">
        <f t="shared" si="458"/>
        <v>-0.0263807190148247</v>
      </c>
      <c r="CK149" s="192"/>
      <c r="CL149" s="391"/>
      <c r="CM149" s="389"/>
      <c r="CN149" s="390" t="str">
        <f t="shared" si="418"/>
        <v>2025//11//18</v>
      </c>
      <c r="CO149" s="390">
        <v>117446</v>
      </c>
      <c r="CP149" s="390">
        <v>116046</v>
      </c>
      <c r="CQ149" s="12">
        <f t="shared" si="459"/>
        <v>1400</v>
      </c>
      <c r="CR149" s="199">
        <f t="shared" si="460"/>
        <v>0.0120641814452889</v>
      </c>
      <c r="CS149" s="391"/>
      <c r="CT149" s="391"/>
      <c r="CU149" s="389"/>
      <c r="CV149" s="390" t="str">
        <f t="shared" si="419"/>
        <v>2025//11//18</v>
      </c>
      <c r="CW149" s="390">
        <v>708590</v>
      </c>
      <c r="CX149" s="390">
        <v>706540</v>
      </c>
      <c r="CY149" s="416">
        <v>2050</v>
      </c>
      <c r="CZ149" s="417">
        <v>0.0029</v>
      </c>
      <c r="DA149" s="192"/>
      <c r="DB149" s="192"/>
      <c r="DC149" s="277"/>
      <c r="DD149" s="390" t="str">
        <f t="shared" si="420"/>
        <v>2025//11//18</v>
      </c>
      <c r="DE149" s="390">
        <v>865918</v>
      </c>
      <c r="DF149" s="12">
        <f t="shared" si="461"/>
        <v>875318</v>
      </c>
      <c r="DG149" s="414">
        <v>-4700</v>
      </c>
      <c r="DH149" s="415">
        <v>-0.0107</v>
      </c>
      <c r="DI149" s="192"/>
      <c r="DJ149" s="192"/>
      <c r="DK149" s="389"/>
      <c r="DL149" s="390" t="str">
        <f t="shared" si="421"/>
        <v>2025//11//18</v>
      </c>
      <c r="DM149" s="390">
        <v>1534300</v>
      </c>
      <c r="DN149" s="390">
        <v>1559700</v>
      </c>
      <c r="DO149" s="414">
        <v>-25400</v>
      </c>
      <c r="DP149" s="415">
        <v>-0.0163</v>
      </c>
      <c r="DQ149" s="192"/>
      <c r="DR149" s="192"/>
      <c r="DS149" s="389"/>
      <c r="DT149" s="390" t="str">
        <f t="shared" si="422"/>
        <v>2025//11//18</v>
      </c>
      <c r="DU149" s="390">
        <v>1711589</v>
      </c>
      <c r="DV149" s="390">
        <v>1724489</v>
      </c>
      <c r="DW149" s="414">
        <v>-12900</v>
      </c>
      <c r="DX149" s="415">
        <v>-0.0075</v>
      </c>
      <c r="DY149" s="192"/>
      <c r="DZ149" s="192"/>
      <c r="EA149" s="389"/>
      <c r="EB149" s="390" t="str">
        <f t="shared" si="423"/>
        <v>2025//11//18</v>
      </c>
      <c r="EC149" s="390">
        <v>5061417</v>
      </c>
      <c r="ED149" s="390">
        <v>5082117</v>
      </c>
      <c r="EE149" s="414">
        <v>-20700</v>
      </c>
      <c r="EF149" s="415">
        <v>-0.0041</v>
      </c>
      <c r="EG149" s="192"/>
      <c r="EH149" s="192"/>
      <c r="EI149" s="389"/>
      <c r="EJ149" s="390" t="str">
        <f t="shared" si="424"/>
        <v>2025//11//18</v>
      </c>
      <c r="EK149" s="390">
        <v>1624723</v>
      </c>
      <c r="EL149" s="390">
        <v>1633123</v>
      </c>
      <c r="EM149" s="414">
        <v>-8400</v>
      </c>
      <c r="EN149" s="415">
        <v>-0.0051</v>
      </c>
      <c r="EO149" s="192"/>
      <c r="EP149" s="192"/>
      <c r="EQ149" s="192"/>
      <c r="ER149" s="8" t="str">
        <f t="shared" si="425"/>
        <v>2025//11//18</v>
      </c>
      <c r="ES149" s="192"/>
      <c r="ET149" s="192"/>
      <c r="EU149" s="192"/>
      <c r="EV149" s="192"/>
      <c r="EW149" s="192"/>
      <c r="EX149" s="192"/>
      <c r="EY149" s="389"/>
      <c r="EZ149" s="390" t="str">
        <f t="shared" si="426"/>
        <v>2025//11//18</v>
      </c>
      <c r="FA149" s="390">
        <v>1219408</v>
      </c>
      <c r="FB149" s="390">
        <v>1217208</v>
      </c>
      <c r="FC149" s="416">
        <v>2200</v>
      </c>
      <c r="FD149" s="417">
        <v>0.0018</v>
      </c>
      <c r="FE149" s="192"/>
      <c r="FF149" s="192"/>
      <c r="FG149" s="192"/>
      <c r="FH149" s="410" t="str">
        <f t="shared" si="427"/>
        <v>2025//11//18</v>
      </c>
      <c r="FI149" s="513">
        <v>123495.33</v>
      </c>
      <c r="FJ149" s="390">
        <f t="shared" si="465"/>
        <v>123795.33</v>
      </c>
      <c r="FK149" s="346">
        <f t="shared" si="466"/>
        <v>-300</v>
      </c>
      <c r="FL149" s="347">
        <f t="shared" si="467"/>
        <v>-0.00242335474205691</v>
      </c>
      <c r="FM149" s="391"/>
      <c r="FN149" s="391"/>
      <c r="FO149" s="389"/>
      <c r="FP149" s="390" t="str">
        <f t="shared" si="428"/>
        <v>2025//11//18</v>
      </c>
      <c r="FQ149" s="390">
        <v>2412869</v>
      </c>
      <c r="FR149" s="390">
        <v>2393969</v>
      </c>
      <c r="FS149" s="416">
        <v>18900</v>
      </c>
      <c r="FT149" s="417">
        <v>0.0079</v>
      </c>
      <c r="FU149" s="192"/>
      <c r="FV149" s="192"/>
      <c r="FW149" s="389"/>
      <c r="FX149" s="390" t="str">
        <f t="shared" si="429"/>
        <v>2025//11//18</v>
      </c>
      <c r="FY149" s="390">
        <v>7163282</v>
      </c>
      <c r="FZ149" s="390">
        <v>7141682</v>
      </c>
      <c r="GA149" s="416">
        <v>21600</v>
      </c>
      <c r="GB149" s="417">
        <v>0.003</v>
      </c>
      <c r="GC149" s="192"/>
      <c r="GD149" s="192"/>
      <c r="GE149" s="389"/>
      <c r="GF149" s="390" t="str">
        <f t="shared" si="430"/>
        <v>2025//11//18</v>
      </c>
      <c r="GG149" s="390">
        <v>4362269</v>
      </c>
      <c r="GH149" s="390">
        <v>4375269</v>
      </c>
      <c r="GI149" s="414">
        <v>-13000</v>
      </c>
      <c r="GJ149" s="415">
        <v>-0.003</v>
      </c>
      <c r="GK149" s="192"/>
      <c r="GL149" s="192"/>
      <c r="GM149" s="389"/>
      <c r="GN149" s="390" t="str">
        <f t="shared" si="431"/>
        <v>2025//11//18</v>
      </c>
      <c r="GO149" s="390">
        <v>1541878</v>
      </c>
      <c r="GP149" s="390">
        <v>1530058</v>
      </c>
      <c r="GQ149" s="416">
        <v>11820</v>
      </c>
      <c r="GR149" s="417">
        <v>0.0077</v>
      </c>
      <c r="GS149" s="192"/>
      <c r="GT149" s="192"/>
      <c r="GU149" s="389"/>
      <c r="GV149" s="390" t="str">
        <f t="shared" si="432"/>
        <v>2025//11//18</v>
      </c>
      <c r="GW149" s="390">
        <v>1385549</v>
      </c>
      <c r="GX149" s="390">
        <v>1395149</v>
      </c>
      <c r="GY149" s="414">
        <v>-9600</v>
      </c>
      <c r="GZ149" s="415">
        <v>-0.0069</v>
      </c>
      <c r="HA149" s="192"/>
      <c r="HB149" s="192"/>
      <c r="HC149" s="389"/>
      <c r="HD149" s="390" t="str">
        <f t="shared" si="433"/>
        <v>2025//11//18</v>
      </c>
      <c r="HE149" s="390">
        <v>1453165</v>
      </c>
      <c r="HF149" s="390">
        <v>1431365</v>
      </c>
      <c r="HG149" s="416">
        <v>21800</v>
      </c>
      <c r="HH149" s="417">
        <v>0.0152</v>
      </c>
      <c r="HI149" s="391"/>
      <c r="HJ149" s="192"/>
      <c r="HK149" s="389"/>
      <c r="HL149" s="390" t="str">
        <f t="shared" si="434"/>
        <v>2025//11//18</v>
      </c>
      <c r="HM149" s="390">
        <v>209004</v>
      </c>
      <c r="HN149" s="390">
        <v>210754</v>
      </c>
      <c r="HO149" s="414">
        <v>-1750</v>
      </c>
      <c r="HP149" s="415">
        <v>-0.0083</v>
      </c>
      <c r="HQ149" s="192"/>
      <c r="HR149" s="192"/>
      <c r="HS149" s="389"/>
      <c r="HT149" s="390" t="str">
        <f t="shared" si="435"/>
        <v>2025//11//18</v>
      </c>
      <c r="HU149" s="390">
        <v>157369</v>
      </c>
      <c r="HV149" s="390">
        <v>159369</v>
      </c>
      <c r="HW149" s="414">
        <v>-2000</v>
      </c>
      <c r="HX149" s="415">
        <v>-0.0125</v>
      </c>
      <c r="HY149" s="192"/>
      <c r="HZ149" s="192"/>
      <c r="IA149" s="389"/>
      <c r="IB149" s="390" t="str">
        <f t="shared" si="436"/>
        <v>2025//11//18</v>
      </c>
      <c r="IE149" s="390"/>
      <c r="IF149" s="391"/>
      <c r="IG149" s="192"/>
      <c r="IH149" s="192"/>
      <c r="II149" s="389"/>
      <c r="IJ149" s="390" t="str">
        <f t="shared" si="437"/>
        <v>2025//11//18</v>
      </c>
      <c r="IK149" s="390">
        <v>414396</v>
      </c>
      <c r="IL149" s="390">
        <v>416236</v>
      </c>
      <c r="IM149" s="414">
        <v>-1840</v>
      </c>
      <c r="IN149" s="415">
        <v>-0.0044</v>
      </c>
      <c r="IO149" s="192"/>
      <c r="IP149" s="192"/>
      <c r="IQ149" s="389"/>
      <c r="IR149" s="390" t="str">
        <f t="shared" si="438"/>
        <v>2025//11//18</v>
      </c>
      <c r="IS149" s="390">
        <v>122189</v>
      </c>
      <c r="IT149" s="390">
        <v>122689</v>
      </c>
      <c r="IU149" s="414">
        <v>-500</v>
      </c>
      <c r="IV149" s="415">
        <v>-0.0041</v>
      </c>
      <c r="IW149" s="192"/>
      <c r="IX149" s="192"/>
      <c r="IY149" s="389"/>
      <c r="IZ149" s="390" t="str">
        <f t="shared" si="439"/>
        <v>2025//11//18</v>
      </c>
      <c r="JA149" s="390">
        <v>5085229</v>
      </c>
      <c r="JB149" s="390">
        <v>5111529</v>
      </c>
      <c r="JC149" s="414">
        <v>-26300</v>
      </c>
      <c r="JD149" s="415">
        <v>-0.0051</v>
      </c>
      <c r="JE149" s="192"/>
      <c r="JF149" s="192"/>
      <c r="JG149" s="389"/>
      <c r="JH149" s="390" t="str">
        <f t="shared" si="440"/>
        <v>2025//11//18</v>
      </c>
      <c r="JI149" s="390">
        <v>2370808</v>
      </c>
      <c r="JJ149" s="390">
        <v>2410768</v>
      </c>
      <c r="JK149" s="414">
        <v>-39960</v>
      </c>
      <c r="JL149" s="415">
        <v>-0.0166</v>
      </c>
      <c r="JM149" s="192"/>
      <c r="JN149" s="192"/>
      <c r="JO149" s="192"/>
      <c r="JP149" s="390" t="str">
        <f t="shared" si="441"/>
        <v>2025//11//18</v>
      </c>
      <c r="JQ149" s="390">
        <v>1216790</v>
      </c>
      <c r="JR149" s="390">
        <v>1226690</v>
      </c>
      <c r="JS149" s="414">
        <v>-9900</v>
      </c>
      <c r="JT149" s="415">
        <v>-0.0081</v>
      </c>
      <c r="JU149" s="192"/>
      <c r="JV149" s="192"/>
      <c r="JW149" s="409"/>
      <c r="JX149" s="390" t="str">
        <f t="shared" si="442"/>
        <v>2025//11//18</v>
      </c>
      <c r="JY149" s="390">
        <v>1506949</v>
      </c>
      <c r="JZ149" s="390">
        <v>1506749</v>
      </c>
      <c r="KA149" s="416">
        <v>200</v>
      </c>
      <c r="KB149" s="417">
        <v>0.0001</v>
      </c>
      <c r="KC149" s="192"/>
      <c r="KD149" s="192"/>
      <c r="KE149" s="409"/>
      <c r="KF149" s="390" t="str">
        <f t="shared" si="443"/>
        <v>2025//11//18</v>
      </c>
      <c r="KG149" s="390">
        <v>926956</v>
      </c>
      <c r="KH149" s="390">
        <v>926756</v>
      </c>
      <c r="KI149" s="416">
        <v>200</v>
      </c>
      <c r="KJ149" s="417">
        <v>0.0002</v>
      </c>
      <c r="KK149" s="391"/>
      <c r="KL149" s="391"/>
      <c r="KM149" s="389"/>
      <c r="KN149" s="390" t="str">
        <f t="shared" si="444"/>
        <v>2025//11//18</v>
      </c>
      <c r="KO149" s="390">
        <v>6059876</v>
      </c>
      <c r="KP149" s="390">
        <v>5965276</v>
      </c>
      <c r="KQ149" s="416">
        <v>94600</v>
      </c>
      <c r="KR149" s="417">
        <v>0.0159</v>
      </c>
      <c r="KS149" s="192"/>
      <c r="KT149" s="192"/>
      <c r="KU149" s="389"/>
      <c r="KV149" s="390" t="str">
        <f t="shared" si="445"/>
        <v>2025//11//18</v>
      </c>
      <c r="KW149" s="390">
        <v>972973</v>
      </c>
      <c r="KX149" s="390">
        <v>972973</v>
      </c>
      <c r="KY149" s="390">
        <v>0</v>
      </c>
      <c r="KZ149" s="391">
        <v>0</v>
      </c>
      <c r="LA149" s="391"/>
      <c r="LB149" s="192"/>
      <c r="LC149" s="389"/>
      <c r="LD149" s="390" t="str">
        <f t="shared" si="446"/>
        <v>2025//11//18</v>
      </c>
      <c r="LE149" s="390">
        <v>507658</v>
      </c>
      <c r="LF149" s="390">
        <v>511108</v>
      </c>
      <c r="LG149" s="414">
        <v>-3450</v>
      </c>
      <c r="LH149" s="415">
        <v>-0.0068</v>
      </c>
      <c r="LI149" s="192"/>
      <c r="LJ149" s="192"/>
      <c r="LK149" s="389"/>
      <c r="LL149" s="390" t="str">
        <f t="shared" si="447"/>
        <v>2025//11//18</v>
      </c>
      <c r="LM149" s="392">
        <v>3654295</v>
      </c>
      <c r="LN149" s="390">
        <v>3650155</v>
      </c>
      <c r="LO149" s="416">
        <v>4140</v>
      </c>
      <c r="LP149" s="417">
        <v>0.0011</v>
      </c>
      <c r="LQ149" s="192"/>
      <c r="LR149" s="192"/>
      <c r="LS149" s="389"/>
      <c r="LT149" s="390" t="str">
        <f t="shared" si="448"/>
        <v>2025//11//18</v>
      </c>
      <c r="LU149" s="390">
        <v>2599463</v>
      </c>
      <c r="LV149" s="390">
        <v>2616663</v>
      </c>
      <c r="LW149" s="414">
        <v>-17200</v>
      </c>
      <c r="LX149" s="415">
        <v>-0.0066</v>
      </c>
      <c r="LY149" s="192"/>
      <c r="LZ149" s="192"/>
      <c r="MA149" s="389"/>
      <c r="MB149" s="390" t="str">
        <f t="shared" si="449"/>
        <v>2025//11//18</v>
      </c>
      <c r="MC149" s="390">
        <v>956368</v>
      </c>
      <c r="MD149" s="390">
        <v>956668</v>
      </c>
      <c r="ME149" s="414">
        <v>-300</v>
      </c>
      <c r="MF149" s="415">
        <v>-0.0003</v>
      </c>
      <c r="MG149" s="192"/>
      <c r="MH149" s="192"/>
      <c r="MI149" s="389"/>
      <c r="MJ149" s="389"/>
      <c r="MK149" s="390" t="str">
        <f t="shared" si="450"/>
        <v>2025//11//18</v>
      </c>
      <c r="ML149" s="389"/>
      <c r="MM149" s="203"/>
      <c r="MN149" s="389"/>
      <c r="MO149" s="391"/>
      <c r="MP149" s="391"/>
      <c r="MQ149" s="391"/>
      <c r="MR149" s="391"/>
      <c r="MS149" s="391"/>
      <c r="MT149" s="26" t="str">
        <f t="shared" si="451"/>
        <v>2025//11//18</v>
      </c>
      <c r="MX149" s="192"/>
      <c r="MY149" s="192"/>
      <c r="MZ149" s="192"/>
      <c r="NA149" s="192"/>
      <c r="NB149" s="192"/>
      <c r="NC149" s="8" t="str">
        <f t="shared" si="452"/>
        <v>2025//11//18</v>
      </c>
      <c r="NG149" s="192"/>
      <c r="NH149" s="192"/>
      <c r="NI149" s="192"/>
      <c r="NJ149" s="192"/>
      <c r="NK149" s="192"/>
      <c r="NL149" s="8"/>
      <c r="NM149" s="8" t="str">
        <f t="shared" si="453"/>
        <v>2025//11//18</v>
      </c>
      <c r="NQ149" s="192"/>
      <c r="NR149" s="192"/>
      <c r="NS149" s="8"/>
      <c r="NU149" s="8" t="str">
        <f t="shared" si="454"/>
        <v>2025//11//18</v>
      </c>
      <c r="NV149" s="389"/>
      <c r="NW149" s="389"/>
      <c r="NX149" s="389"/>
      <c r="NY149" s="391"/>
      <c r="NZ149" s="391"/>
      <c r="OA149" s="389"/>
      <c r="OB149" s="389"/>
      <c r="OC149" s="390" t="str">
        <f t="shared" si="455"/>
        <v>2025//11//18</v>
      </c>
      <c r="OD149" s="390">
        <v>17923</v>
      </c>
      <c r="OE149" s="390">
        <v>17679</v>
      </c>
      <c r="OF149" s="416">
        <v>244</v>
      </c>
      <c r="OG149" s="417">
        <v>0.0138</v>
      </c>
      <c r="OH149" s="192"/>
      <c r="OI149" s="192"/>
      <c r="OJ149" s="389"/>
      <c r="OK149" s="390" t="str">
        <f t="shared" si="456"/>
        <v>2025//11//18</v>
      </c>
      <c r="OO149" s="192"/>
      <c r="OP149" s="192"/>
      <c r="OQ149" s="192"/>
      <c r="OT149" s="26" t="str">
        <f t="shared" si="407"/>
        <v>2025//11//18</v>
      </c>
      <c r="OU149" s="206">
        <v>133272.4066</v>
      </c>
      <c r="OV149" s="8">
        <f t="shared" si="462"/>
        <v>133152.4066</v>
      </c>
      <c r="OW149" s="191">
        <f t="shared" si="463"/>
        <v>120</v>
      </c>
      <c r="OX149" s="192">
        <f t="shared" si="464"/>
        <v>0.000901222914884965</v>
      </c>
    </row>
    <row r="150" s="8" customFormat="1" ht="17" customHeight="1" spans="1:414">
      <c r="A150" s="15"/>
      <c r="B150" s="15"/>
      <c r="C150" s="385" t="s">
        <v>579</v>
      </c>
      <c r="D150" s="395">
        <v>8961079</v>
      </c>
      <c r="E150" s="395">
        <v>8925889</v>
      </c>
      <c r="F150" s="459">
        <v>35190</v>
      </c>
      <c r="G150" s="460">
        <v>0.0039</v>
      </c>
      <c r="H150" s="18"/>
      <c r="I150" s="453"/>
      <c r="J150" s="453"/>
      <c r="K150" s="386" t="str">
        <f t="shared" si="408"/>
        <v>2025//11//17</v>
      </c>
      <c r="L150" s="395">
        <v>6643684</v>
      </c>
      <c r="M150" s="395">
        <v>6644674</v>
      </c>
      <c r="N150" s="403">
        <v>-990</v>
      </c>
      <c r="O150" s="404">
        <v>-0.0001</v>
      </c>
      <c r="P150" s="18"/>
      <c r="Q150" s="453"/>
      <c r="R150" s="454"/>
      <c r="S150" s="386" t="str">
        <f t="shared" si="409"/>
        <v>2025//11//17</v>
      </c>
      <c r="T150" s="395">
        <v>5746657</v>
      </c>
      <c r="U150" s="395">
        <v>5709937</v>
      </c>
      <c r="V150" s="459">
        <v>36720</v>
      </c>
      <c r="W150" s="460">
        <v>0.0064</v>
      </c>
      <c r="X150" s="18"/>
      <c r="Y150" s="453"/>
      <c r="Z150" s="454"/>
      <c r="AA150" s="386" t="str">
        <f t="shared" si="410"/>
        <v>2025//11//17</v>
      </c>
      <c r="AB150" s="395">
        <v>1824497</v>
      </c>
      <c r="AC150" s="395">
        <v>1819097</v>
      </c>
      <c r="AD150" s="459">
        <v>5400</v>
      </c>
      <c r="AE150" s="460">
        <v>0.003</v>
      </c>
      <c r="AF150" s="18"/>
      <c r="AG150" s="453"/>
      <c r="AH150" s="454"/>
      <c r="AI150" s="386" t="str">
        <f t="shared" si="411"/>
        <v>2025//11//17</v>
      </c>
      <c r="AJ150" s="395">
        <v>2467722</v>
      </c>
      <c r="AK150" s="386">
        <v>2478722</v>
      </c>
      <c r="AL150" s="403">
        <v>-11000</v>
      </c>
      <c r="AM150" s="404">
        <v>-0.0044</v>
      </c>
      <c r="AN150" s="18"/>
      <c r="AO150" s="18"/>
      <c r="AP150" s="454"/>
      <c r="AQ150" s="386" t="str">
        <f t="shared" si="412"/>
        <v>2025//11//17</v>
      </c>
      <c r="AR150" s="418">
        <v>3256245</v>
      </c>
      <c r="AS150" s="395">
        <v>3241845</v>
      </c>
      <c r="AT150" s="459">
        <v>14400</v>
      </c>
      <c r="AU150" s="460">
        <v>0.0044</v>
      </c>
      <c r="AV150" s="18"/>
      <c r="AW150" s="18"/>
      <c r="AX150" s="17"/>
      <c r="AY150" s="17"/>
      <c r="AZ150" s="17" t="str">
        <f t="shared" si="413"/>
        <v>2025//11//17</v>
      </c>
      <c r="BA150" s="17"/>
      <c r="BB150" s="17"/>
      <c r="BC150" s="17"/>
      <c r="BD150" s="18"/>
      <c r="BE150" s="18"/>
      <c r="BF150" s="18"/>
      <c r="BG150" s="74"/>
      <c r="BH150" s="387" t="str">
        <f t="shared" si="414"/>
        <v>2025//11//17</v>
      </c>
      <c r="BI150" s="387">
        <v>130127</v>
      </c>
      <c r="BJ150" s="387">
        <v>128427</v>
      </c>
      <c r="BK150" s="421">
        <v>1700</v>
      </c>
      <c r="BL150" s="422">
        <v>0.0132</v>
      </c>
      <c r="BM150" s="197"/>
      <c r="BN150" s="192"/>
      <c r="BO150" s="389"/>
      <c r="BP150" s="390" t="str">
        <f t="shared" si="415"/>
        <v>2025//11//17</v>
      </c>
      <c r="BQ150" s="392">
        <v>621662</v>
      </c>
      <c r="BR150" s="390">
        <v>623962</v>
      </c>
      <c r="BS150" s="414">
        <v>-2300</v>
      </c>
      <c r="BT150" s="415">
        <v>-0.0037</v>
      </c>
      <c r="BU150" s="192"/>
      <c r="BV150" s="192"/>
      <c r="BW150" s="389"/>
      <c r="BX150" s="390" t="str">
        <f t="shared" si="416"/>
        <v>2025//11//17</v>
      </c>
      <c r="BY150" s="390">
        <v>2359261</v>
      </c>
      <c r="BZ150" s="390">
        <v>2421811</v>
      </c>
      <c r="CA150" s="414">
        <v>-62550</v>
      </c>
      <c r="CB150" s="415">
        <v>-0.0258</v>
      </c>
      <c r="CC150" s="192"/>
      <c r="CD150" s="409"/>
      <c r="CE150" s="514"/>
      <c r="CF150" s="410" t="str">
        <f t="shared" si="417"/>
        <v>2025//11//17</v>
      </c>
      <c r="CG150" s="200">
        <v>930603.9</v>
      </c>
      <c r="CH150" s="12">
        <f>CG151</f>
        <v>943303.9</v>
      </c>
      <c r="CI150" s="12">
        <f t="shared" si="457"/>
        <v>-12700</v>
      </c>
      <c r="CJ150" s="199">
        <f t="shared" si="458"/>
        <v>-0.0134633176010403</v>
      </c>
      <c r="CK150" s="192"/>
      <c r="CL150" s="391"/>
      <c r="CM150" s="389"/>
      <c r="CN150" s="390" t="str">
        <f t="shared" si="418"/>
        <v>2025//11//17</v>
      </c>
      <c r="CO150" s="390">
        <v>116046</v>
      </c>
      <c r="CP150" s="390">
        <v>110246</v>
      </c>
      <c r="CQ150" s="12">
        <f t="shared" si="459"/>
        <v>5800</v>
      </c>
      <c r="CR150" s="199">
        <f t="shared" si="460"/>
        <v>0.0526096184895597</v>
      </c>
      <c r="CS150" s="391"/>
      <c r="CT150" s="391"/>
      <c r="CU150" s="389"/>
      <c r="CV150" s="390" t="str">
        <f t="shared" si="419"/>
        <v>2025//11//17</v>
      </c>
      <c r="CW150" s="390">
        <v>706540</v>
      </c>
      <c r="CX150" s="390">
        <v>693940</v>
      </c>
      <c r="CY150" s="416">
        <v>12600</v>
      </c>
      <c r="CZ150" s="417">
        <v>0.0182</v>
      </c>
      <c r="DA150" s="192"/>
      <c r="DB150" s="192"/>
      <c r="DC150" s="277"/>
      <c r="DD150" s="390" t="str">
        <f t="shared" si="420"/>
        <v>2025//11//17</v>
      </c>
      <c r="DE150" s="390">
        <v>875318</v>
      </c>
      <c r="DF150" s="12">
        <f t="shared" si="461"/>
        <v>887518</v>
      </c>
      <c r="DG150" s="414">
        <v>-6100</v>
      </c>
      <c r="DH150" s="415">
        <v>-0.0137</v>
      </c>
      <c r="DI150" s="192"/>
      <c r="DJ150" s="192"/>
      <c r="DK150" s="389"/>
      <c r="DL150" s="390" t="str">
        <f t="shared" si="421"/>
        <v>2025//11//17</v>
      </c>
      <c r="DM150" s="390">
        <v>1559700</v>
      </c>
      <c r="DN150" s="390">
        <v>1553300</v>
      </c>
      <c r="DO150" s="416">
        <v>6400</v>
      </c>
      <c r="DP150" s="417">
        <v>0.0041</v>
      </c>
      <c r="DQ150" s="192"/>
      <c r="DR150" s="192"/>
      <c r="DS150" s="389"/>
      <c r="DT150" s="390" t="str">
        <f t="shared" si="422"/>
        <v>2025//11//17</v>
      </c>
      <c r="DU150" s="390">
        <v>1724489</v>
      </c>
      <c r="DV150" s="390">
        <v>1729889</v>
      </c>
      <c r="DW150" s="414">
        <v>-5400</v>
      </c>
      <c r="DX150" s="415">
        <v>-0.0031</v>
      </c>
      <c r="DY150" s="192"/>
      <c r="DZ150" s="192"/>
      <c r="EA150" s="389"/>
      <c r="EB150" s="390" t="str">
        <f t="shared" si="423"/>
        <v>2025//11//17</v>
      </c>
      <c r="EC150" s="390">
        <v>5082117</v>
      </c>
      <c r="ED150" s="390">
        <v>5073567</v>
      </c>
      <c r="EE150" s="416">
        <v>8550</v>
      </c>
      <c r="EF150" s="417">
        <v>0.0017</v>
      </c>
      <c r="EG150" s="192"/>
      <c r="EH150" s="192"/>
      <c r="EI150" s="389"/>
      <c r="EJ150" s="390" t="str">
        <f t="shared" si="424"/>
        <v>2025//11//17</v>
      </c>
      <c r="EK150" s="390">
        <v>1633123</v>
      </c>
      <c r="EL150" s="390">
        <v>1637723</v>
      </c>
      <c r="EM150" s="414">
        <v>-4600</v>
      </c>
      <c r="EN150" s="415">
        <v>-0.0028</v>
      </c>
      <c r="EO150" s="192"/>
      <c r="EP150" s="192"/>
      <c r="EQ150" s="192"/>
      <c r="ER150" s="8" t="str">
        <f t="shared" si="425"/>
        <v>2025//11//17</v>
      </c>
      <c r="ES150" s="192"/>
      <c r="ET150" s="192"/>
      <c r="EU150" s="192"/>
      <c r="EV150" s="192"/>
      <c r="EW150" s="192"/>
      <c r="EX150" s="192"/>
      <c r="EY150" s="389"/>
      <c r="EZ150" s="390" t="str">
        <f t="shared" si="426"/>
        <v>2025//11//17</v>
      </c>
      <c r="FA150" s="390">
        <v>1217208</v>
      </c>
      <c r="FB150" s="390">
        <v>1205008</v>
      </c>
      <c r="FC150" s="416">
        <v>12200</v>
      </c>
      <c r="FD150" s="417">
        <v>0.0101</v>
      </c>
      <c r="FE150" s="192"/>
      <c r="FF150" s="192"/>
      <c r="FG150" s="192"/>
      <c r="FH150" s="410" t="str">
        <f t="shared" si="427"/>
        <v>2025//11//17</v>
      </c>
      <c r="FI150" s="513">
        <v>123795.33</v>
      </c>
      <c r="FJ150" s="390">
        <f t="shared" si="465"/>
        <v>123995.33</v>
      </c>
      <c r="FK150" s="346">
        <f t="shared" si="466"/>
        <v>-200</v>
      </c>
      <c r="FL150" s="347">
        <f t="shared" si="467"/>
        <v>-0.00161296397211089</v>
      </c>
      <c r="FM150" s="192"/>
      <c r="FN150" s="192"/>
      <c r="FO150" s="389"/>
      <c r="FP150" s="390" t="str">
        <f t="shared" si="428"/>
        <v>2025//11//17</v>
      </c>
      <c r="FQ150" s="390">
        <v>2393969</v>
      </c>
      <c r="FR150" s="390">
        <v>2388869</v>
      </c>
      <c r="FS150" s="416">
        <v>5100</v>
      </c>
      <c r="FT150" s="417">
        <v>0.0021</v>
      </c>
      <c r="FU150" s="192"/>
      <c r="FV150" s="192"/>
      <c r="FW150" s="389"/>
      <c r="FX150" s="390" t="str">
        <f t="shared" si="429"/>
        <v>2025//11//17</v>
      </c>
      <c r="FY150" s="390">
        <v>7141682</v>
      </c>
      <c r="FZ150" s="390">
        <v>7063882</v>
      </c>
      <c r="GA150" s="416">
        <v>77800</v>
      </c>
      <c r="GB150" s="417">
        <v>0.011</v>
      </c>
      <c r="GC150" s="192"/>
      <c r="GD150" s="192"/>
      <c r="GE150" s="389"/>
      <c r="GF150" s="390" t="str">
        <f t="shared" si="430"/>
        <v>2025//11//17</v>
      </c>
      <c r="GG150" s="390">
        <v>4375269</v>
      </c>
      <c r="GH150" s="390">
        <v>4327069</v>
      </c>
      <c r="GI150" s="416">
        <v>48200</v>
      </c>
      <c r="GJ150" s="417">
        <v>0.0111</v>
      </c>
      <c r="GK150" s="192"/>
      <c r="GL150" s="192"/>
      <c r="GM150" s="389"/>
      <c r="GN150" s="390" t="str">
        <f t="shared" si="431"/>
        <v>2025//11//17</v>
      </c>
      <c r="GO150" s="390">
        <v>1530058</v>
      </c>
      <c r="GP150" s="390">
        <v>1506418</v>
      </c>
      <c r="GQ150" s="416">
        <v>23640</v>
      </c>
      <c r="GR150" s="417">
        <v>0.0157</v>
      </c>
      <c r="GS150" s="192"/>
      <c r="GT150" s="192"/>
      <c r="GU150" s="389"/>
      <c r="GV150" s="390" t="str">
        <f t="shared" si="432"/>
        <v>2025//11//17</v>
      </c>
      <c r="GW150" s="390">
        <v>1395149</v>
      </c>
      <c r="GX150" s="390">
        <v>1401949</v>
      </c>
      <c r="GY150" s="414">
        <v>-6800</v>
      </c>
      <c r="GZ150" s="415">
        <v>-0.0049</v>
      </c>
      <c r="HA150" s="192"/>
      <c r="HB150" s="192"/>
      <c r="HC150" s="389"/>
      <c r="HD150" s="390" t="str">
        <f t="shared" si="433"/>
        <v>2025//11//17</v>
      </c>
      <c r="HE150" s="390">
        <v>1431365</v>
      </c>
      <c r="HF150" s="390">
        <v>1399465</v>
      </c>
      <c r="HG150" s="416">
        <v>31900</v>
      </c>
      <c r="HH150" s="417">
        <v>0.0228</v>
      </c>
      <c r="HI150" s="391"/>
      <c r="HJ150" s="192"/>
      <c r="HK150" s="389"/>
      <c r="HL150" s="390" t="str">
        <f t="shared" si="434"/>
        <v>2025//11//17</v>
      </c>
      <c r="HM150" s="390">
        <v>210754</v>
      </c>
      <c r="HN150" s="390">
        <v>211054</v>
      </c>
      <c r="HO150" s="414">
        <v>-300</v>
      </c>
      <c r="HP150" s="415">
        <v>-0.0014</v>
      </c>
      <c r="HQ150" s="192"/>
      <c r="HR150" s="192"/>
      <c r="HS150" s="389"/>
      <c r="HT150" s="390" t="str">
        <f t="shared" si="435"/>
        <v>2025//11//17</v>
      </c>
      <c r="HU150" s="390">
        <v>159369</v>
      </c>
      <c r="HV150" s="390">
        <v>165569</v>
      </c>
      <c r="HW150" s="414">
        <v>-6200</v>
      </c>
      <c r="HX150" s="415">
        <v>-0.0374</v>
      </c>
      <c r="HY150" s="192"/>
      <c r="HZ150" s="192"/>
      <c r="IA150" s="389"/>
      <c r="IB150" s="390" t="str">
        <f t="shared" si="436"/>
        <v>2025//11//17</v>
      </c>
      <c r="IE150" s="390"/>
      <c r="IF150" s="391"/>
      <c r="IG150" s="192"/>
      <c r="IH150" s="192"/>
      <c r="II150" s="389"/>
      <c r="IJ150" s="390" t="str">
        <f t="shared" si="437"/>
        <v>2025//11//17</v>
      </c>
      <c r="IK150" s="390">
        <v>416236</v>
      </c>
      <c r="IL150" s="390">
        <v>431116</v>
      </c>
      <c r="IM150" s="414">
        <v>-14880</v>
      </c>
      <c r="IN150" s="415">
        <v>-0.0345</v>
      </c>
      <c r="IO150" s="192"/>
      <c r="IP150" s="192"/>
      <c r="IQ150" s="389"/>
      <c r="IR150" s="390" t="str">
        <f t="shared" si="438"/>
        <v>2025//11//17</v>
      </c>
      <c r="IS150" s="390">
        <v>122689</v>
      </c>
      <c r="IT150" s="390">
        <v>122389</v>
      </c>
      <c r="IU150" s="416">
        <v>300</v>
      </c>
      <c r="IV150" s="417">
        <v>0.0025</v>
      </c>
      <c r="IW150" s="192"/>
      <c r="IX150" s="192"/>
      <c r="IY150" s="389"/>
      <c r="IZ150" s="390" t="str">
        <f t="shared" si="439"/>
        <v>2025//11//17</v>
      </c>
      <c r="JA150" s="390">
        <v>5111529</v>
      </c>
      <c r="JB150" s="390">
        <v>5088129</v>
      </c>
      <c r="JC150" s="416">
        <v>23400</v>
      </c>
      <c r="JD150" s="417">
        <v>0.0046</v>
      </c>
      <c r="JE150" s="192"/>
      <c r="JF150" s="192"/>
      <c r="JG150" s="389"/>
      <c r="JH150" s="390" t="str">
        <f t="shared" si="440"/>
        <v>2025//11//17</v>
      </c>
      <c r="JI150" s="390">
        <v>2410768</v>
      </c>
      <c r="JJ150" s="390">
        <v>2412028</v>
      </c>
      <c r="JK150" s="414">
        <v>-1260</v>
      </c>
      <c r="JL150" s="415">
        <v>-0.0005</v>
      </c>
      <c r="JM150" s="192"/>
      <c r="JN150" s="192"/>
      <c r="JO150" s="192"/>
      <c r="JP150" s="390" t="str">
        <f t="shared" si="441"/>
        <v>2025//11//17</v>
      </c>
      <c r="JQ150" s="390">
        <v>1226690</v>
      </c>
      <c r="JR150" s="390">
        <v>1234090</v>
      </c>
      <c r="JS150" s="414">
        <v>-7400</v>
      </c>
      <c r="JT150" s="415">
        <v>-0.006</v>
      </c>
      <c r="JU150" s="192"/>
      <c r="JV150" s="192"/>
      <c r="JW150" s="409"/>
      <c r="JX150" s="390" t="str">
        <f t="shared" si="442"/>
        <v>2025//11//17</v>
      </c>
      <c r="JY150" s="390">
        <v>1506749</v>
      </c>
      <c r="JZ150" s="390">
        <v>1506549</v>
      </c>
      <c r="KA150" s="416">
        <v>200</v>
      </c>
      <c r="KB150" s="417">
        <v>0.0001</v>
      </c>
      <c r="KC150" s="192"/>
      <c r="KD150" s="192"/>
      <c r="KE150" s="409"/>
      <c r="KF150" s="390" t="str">
        <f t="shared" si="443"/>
        <v>2025//11//17</v>
      </c>
      <c r="KG150" s="390">
        <v>926756</v>
      </c>
      <c r="KH150" s="390">
        <v>926756</v>
      </c>
      <c r="KI150" s="410">
        <v>0</v>
      </c>
      <c r="KJ150" s="409">
        <v>0</v>
      </c>
      <c r="KK150" s="391"/>
      <c r="KL150" s="391"/>
      <c r="KM150" s="389"/>
      <c r="KN150" s="390" t="str">
        <f t="shared" si="444"/>
        <v>2025//11//17</v>
      </c>
      <c r="KO150" s="390">
        <v>5965276</v>
      </c>
      <c r="KP150" s="390">
        <v>5899276</v>
      </c>
      <c r="KQ150" s="416">
        <v>66000</v>
      </c>
      <c r="KR150" s="417">
        <v>0.0112</v>
      </c>
      <c r="KS150" s="192"/>
      <c r="KT150" s="192"/>
      <c r="KV150" s="8" t="str">
        <f t="shared" si="445"/>
        <v>2025//11//17</v>
      </c>
      <c r="KW150" s="390">
        <v>972973</v>
      </c>
      <c r="KX150" s="8"/>
      <c r="KY150" s="348">
        <v>700</v>
      </c>
      <c r="KZ150" s="349">
        <v>0.0007</v>
      </c>
      <c r="LA150" s="391"/>
      <c r="LB150" s="192"/>
      <c r="LC150" s="389"/>
      <c r="LD150" s="390" t="str">
        <f t="shared" si="446"/>
        <v>2025//11//17</v>
      </c>
      <c r="LE150" s="390">
        <v>511108</v>
      </c>
      <c r="LF150" s="390">
        <v>506058</v>
      </c>
      <c r="LG150" s="416">
        <v>5050</v>
      </c>
      <c r="LH150" s="417">
        <v>0.01</v>
      </c>
      <c r="LI150" s="192"/>
      <c r="LJ150" s="192"/>
      <c r="LK150" s="389"/>
      <c r="LL150" s="390" t="str">
        <f t="shared" si="447"/>
        <v>2025//11//17</v>
      </c>
      <c r="LM150" s="392">
        <v>3650155</v>
      </c>
      <c r="LN150" s="390">
        <v>3670135</v>
      </c>
      <c r="LO150" s="414">
        <v>-19980</v>
      </c>
      <c r="LP150" s="415">
        <v>-0.0054</v>
      </c>
      <c r="LQ150" s="192"/>
      <c r="LR150" s="192"/>
      <c r="LS150" s="389"/>
      <c r="LT150" s="390" t="str">
        <f t="shared" si="448"/>
        <v>2025//11//17</v>
      </c>
      <c r="LU150" s="390">
        <v>2616663</v>
      </c>
      <c r="LV150" s="390">
        <v>2622063</v>
      </c>
      <c r="LW150" s="414">
        <v>-5400</v>
      </c>
      <c r="LX150" s="415">
        <v>-0.0021</v>
      </c>
      <c r="LY150" s="192"/>
      <c r="LZ150" s="192"/>
      <c r="MA150" s="389"/>
      <c r="MB150" s="390" t="str">
        <f t="shared" si="449"/>
        <v>2025//11//17</v>
      </c>
      <c r="MC150" s="390">
        <v>956668</v>
      </c>
      <c r="MD150" s="390">
        <v>989168</v>
      </c>
      <c r="ME150" s="414">
        <v>-32500</v>
      </c>
      <c r="MF150" s="415">
        <v>-0.0329</v>
      </c>
      <c r="MG150" s="192"/>
      <c r="MH150" s="192"/>
      <c r="MI150" s="389"/>
      <c r="MJ150" s="389"/>
      <c r="MK150" s="390" t="str">
        <f t="shared" si="450"/>
        <v>2025//11//17</v>
      </c>
      <c r="ML150" s="389"/>
      <c r="MM150" s="203"/>
      <c r="MN150" s="389"/>
      <c r="MO150" s="391"/>
      <c r="MP150" s="391"/>
      <c r="MQ150" s="391"/>
      <c r="MR150" s="391"/>
      <c r="MS150" s="391"/>
      <c r="MT150" s="26" t="str">
        <f t="shared" si="451"/>
        <v>2025//11//17</v>
      </c>
      <c r="MX150" s="192"/>
      <c r="MY150" s="192"/>
      <c r="MZ150" s="192"/>
      <c r="NA150" s="192"/>
      <c r="NB150" s="192"/>
      <c r="NC150" s="8" t="str">
        <f t="shared" si="452"/>
        <v>2025//11//17</v>
      </c>
      <c r="NG150" s="192"/>
      <c r="NH150" s="192"/>
      <c r="NI150" s="192"/>
      <c r="NJ150" s="192"/>
      <c r="NK150" s="192"/>
      <c r="NL150" s="8"/>
      <c r="NM150" s="8" t="str">
        <f t="shared" si="453"/>
        <v>2025//11//17</v>
      </c>
      <c r="NQ150" s="192"/>
      <c r="NR150" s="192"/>
      <c r="NS150" s="8"/>
      <c r="NU150" s="8" t="str">
        <f t="shared" si="454"/>
        <v>2025//11//17</v>
      </c>
      <c r="NV150" s="389"/>
      <c r="NW150" s="389"/>
      <c r="NX150" s="389"/>
      <c r="NY150" s="391"/>
      <c r="NZ150" s="391"/>
      <c r="OA150" s="389"/>
      <c r="OB150" s="389"/>
      <c r="OC150" s="390" t="str">
        <f t="shared" si="455"/>
        <v>2025//11//17</v>
      </c>
      <c r="OD150" s="390">
        <v>17679</v>
      </c>
      <c r="OE150" s="390">
        <v>17489</v>
      </c>
      <c r="OF150" s="416">
        <v>190</v>
      </c>
      <c r="OG150" s="417">
        <v>0.0109</v>
      </c>
      <c r="OH150" s="192"/>
      <c r="OI150" s="192"/>
      <c r="OJ150" s="389"/>
      <c r="OK150" s="390" t="str">
        <f t="shared" si="456"/>
        <v>2025//11//17</v>
      </c>
      <c r="OO150" s="192"/>
      <c r="OP150" s="192"/>
      <c r="OQ150" s="192"/>
      <c r="OT150" s="26" t="str">
        <f t="shared" si="407"/>
        <v>2025//11//17</v>
      </c>
      <c r="OU150" s="206">
        <v>133152.4066</v>
      </c>
      <c r="OV150" s="8">
        <f t="shared" si="462"/>
        <v>133032.4066</v>
      </c>
      <c r="OW150" s="191">
        <f t="shared" si="463"/>
        <v>120</v>
      </c>
      <c r="OX150" s="192">
        <f t="shared" si="464"/>
        <v>0.00090203585026327</v>
      </c>
    </row>
    <row r="151" s="8" customFormat="1" ht="17" customHeight="1" spans="1:414">
      <c r="A151" s="15"/>
      <c r="B151" s="15"/>
      <c r="C151" s="385" t="s">
        <v>580</v>
      </c>
      <c r="D151" s="395">
        <v>8925889</v>
      </c>
      <c r="E151" s="395">
        <v>8913739</v>
      </c>
      <c r="F151" s="459">
        <v>12150</v>
      </c>
      <c r="G151" s="460">
        <v>0.0014</v>
      </c>
      <c r="H151" s="18"/>
      <c r="I151" s="453"/>
      <c r="J151" s="453"/>
      <c r="K151" s="386" t="str">
        <f t="shared" si="408"/>
        <v>2025//11//14</v>
      </c>
      <c r="L151" s="395">
        <v>6644674</v>
      </c>
      <c r="M151" s="395">
        <v>6648364</v>
      </c>
      <c r="N151" s="403">
        <v>-3690</v>
      </c>
      <c r="O151" s="404">
        <v>-0.0006</v>
      </c>
      <c r="P151" s="18"/>
      <c r="Q151" s="453"/>
      <c r="R151" s="454"/>
      <c r="S151" s="386" t="str">
        <f t="shared" si="409"/>
        <v>2025//11//14</v>
      </c>
      <c r="T151" s="395">
        <v>5709937</v>
      </c>
      <c r="U151" s="395">
        <v>5713177</v>
      </c>
      <c r="V151" s="403">
        <v>-3240</v>
      </c>
      <c r="W151" s="404">
        <v>-0.0006</v>
      </c>
      <c r="X151" s="18"/>
      <c r="Y151" s="453"/>
      <c r="Z151" s="454"/>
      <c r="AA151" s="386" t="str">
        <f t="shared" si="410"/>
        <v>2025//11//14</v>
      </c>
      <c r="AB151" s="395">
        <v>1819097</v>
      </c>
      <c r="AC151" s="395">
        <v>1817297</v>
      </c>
      <c r="AD151" s="459">
        <v>1800</v>
      </c>
      <c r="AE151" s="460">
        <v>0.001</v>
      </c>
      <c r="AF151" s="18"/>
      <c r="AG151" s="453"/>
      <c r="AH151" s="454"/>
      <c r="AI151" s="386" t="str">
        <f t="shared" si="411"/>
        <v>2025//11//14</v>
      </c>
      <c r="AJ151" s="395">
        <v>2478722</v>
      </c>
      <c r="AK151" s="386">
        <v>2489322</v>
      </c>
      <c r="AL151" s="403">
        <v>-10600</v>
      </c>
      <c r="AM151" s="404">
        <v>-0.0043</v>
      </c>
      <c r="AN151" s="18"/>
      <c r="AO151" s="18"/>
      <c r="AP151" s="454"/>
      <c r="AQ151" s="386" t="str">
        <f t="shared" si="412"/>
        <v>2025//11//14</v>
      </c>
      <c r="AR151" s="418">
        <v>3241845</v>
      </c>
      <c r="AS151" s="395">
        <v>3224045</v>
      </c>
      <c r="AT151" s="459">
        <v>17800</v>
      </c>
      <c r="AU151" s="460">
        <v>0.0055</v>
      </c>
      <c r="AV151" s="18"/>
      <c r="AW151" s="18"/>
      <c r="AX151" s="17"/>
      <c r="AY151" s="17"/>
      <c r="AZ151" s="17" t="str">
        <f t="shared" si="413"/>
        <v>2025//11//14</v>
      </c>
      <c r="BA151" s="17"/>
      <c r="BB151" s="17"/>
      <c r="BC151" s="17"/>
      <c r="BD151" s="18"/>
      <c r="BE151" s="18"/>
      <c r="BF151" s="18"/>
      <c r="BG151" s="74"/>
      <c r="BH151" s="387" t="str">
        <f t="shared" si="414"/>
        <v>2025//11//14</v>
      </c>
      <c r="BI151" s="387">
        <v>128427</v>
      </c>
      <c r="BJ151" s="387">
        <v>123727</v>
      </c>
      <c r="BK151" s="421">
        <v>4700</v>
      </c>
      <c r="BL151" s="422">
        <v>0.038</v>
      </c>
      <c r="BM151" s="197"/>
      <c r="BN151" s="192"/>
      <c r="BO151" s="389"/>
      <c r="BP151" s="390" t="str">
        <f t="shared" si="415"/>
        <v>2025//11//14</v>
      </c>
      <c r="BQ151" s="392">
        <v>623962</v>
      </c>
      <c r="BR151" s="390">
        <v>615862</v>
      </c>
      <c r="BS151" s="416">
        <v>8100</v>
      </c>
      <c r="BT151" s="417">
        <v>0.0132</v>
      </c>
      <c r="BU151" s="192"/>
      <c r="BV151" s="192"/>
      <c r="BW151" s="389"/>
      <c r="BX151" s="390" t="str">
        <f t="shared" si="416"/>
        <v>2025//11//14</v>
      </c>
      <c r="BY151" s="390">
        <v>2421811</v>
      </c>
      <c r="BZ151" s="390">
        <v>2410861</v>
      </c>
      <c r="CA151" s="416">
        <v>10950</v>
      </c>
      <c r="CB151" s="417">
        <v>0.0045</v>
      </c>
      <c r="CC151" s="192"/>
      <c r="CD151" s="409"/>
      <c r="CE151" s="514"/>
      <c r="CF151" s="410" t="str">
        <f t="shared" si="417"/>
        <v>2025//11//14</v>
      </c>
      <c r="CG151" s="200">
        <v>943303.9</v>
      </c>
      <c r="CH151" s="200">
        <v>933703.9</v>
      </c>
      <c r="CI151" s="12">
        <f t="shared" si="457"/>
        <v>9600</v>
      </c>
      <c r="CJ151" s="199">
        <f t="shared" si="458"/>
        <v>0.0102816321105652</v>
      </c>
      <c r="CK151" s="192"/>
      <c r="CL151" s="391"/>
      <c r="CM151" s="389"/>
      <c r="CN151" s="390" t="str">
        <f t="shared" si="418"/>
        <v>2025//11//14</v>
      </c>
      <c r="CO151" s="390">
        <v>110246</v>
      </c>
      <c r="CP151" s="390">
        <v>103946</v>
      </c>
      <c r="CQ151" s="12">
        <f t="shared" si="459"/>
        <v>6300</v>
      </c>
      <c r="CR151" s="199">
        <f t="shared" si="460"/>
        <v>0.0606083928193485</v>
      </c>
      <c r="CS151" s="391"/>
      <c r="CT151" s="391"/>
      <c r="CU151" s="389"/>
      <c r="CV151" s="390" t="str">
        <f t="shared" si="419"/>
        <v>2025//11//14</v>
      </c>
      <c r="CW151" s="390">
        <v>693940</v>
      </c>
      <c r="CX151" s="390">
        <v>683540</v>
      </c>
      <c r="CY151" s="416">
        <v>10400</v>
      </c>
      <c r="CZ151" s="417">
        <v>0.0152</v>
      </c>
      <c r="DA151" s="192"/>
      <c r="DB151" s="192"/>
      <c r="DC151" s="277"/>
      <c r="DD151" s="390" t="str">
        <f t="shared" si="420"/>
        <v>2025//11//14</v>
      </c>
      <c r="DE151" s="390">
        <v>887518</v>
      </c>
      <c r="DF151" s="12">
        <f t="shared" si="461"/>
        <v>904318</v>
      </c>
      <c r="DG151" s="414">
        <v>-8400</v>
      </c>
      <c r="DH151" s="415">
        <v>-0.0186</v>
      </c>
      <c r="DI151" s="192"/>
      <c r="DJ151" s="192"/>
      <c r="DK151" s="389"/>
      <c r="DL151" s="390" t="str">
        <f t="shared" si="421"/>
        <v>2025//11//14</v>
      </c>
      <c r="DM151" s="390">
        <v>1553300</v>
      </c>
      <c r="DN151" s="390">
        <v>1514500</v>
      </c>
      <c r="DO151" s="416">
        <v>38800</v>
      </c>
      <c r="DP151" s="417">
        <v>0.0256</v>
      </c>
      <c r="DQ151" s="192"/>
      <c r="DR151" s="192"/>
      <c r="DS151" s="389"/>
      <c r="DT151" s="390" t="str">
        <f t="shared" si="422"/>
        <v>2025//11//14</v>
      </c>
      <c r="DU151" s="390">
        <v>1729889</v>
      </c>
      <c r="DV151" s="390">
        <v>1698989</v>
      </c>
      <c r="DW151" s="416">
        <v>30900</v>
      </c>
      <c r="DX151" s="417">
        <v>0.0182</v>
      </c>
      <c r="DY151" s="192"/>
      <c r="DZ151" s="192"/>
      <c r="EA151" s="389"/>
      <c r="EB151" s="390" t="str">
        <f t="shared" si="423"/>
        <v>2025//11//14</v>
      </c>
      <c r="EC151" s="390">
        <v>5073567</v>
      </c>
      <c r="ED151" s="390">
        <v>5022717</v>
      </c>
      <c r="EE151" s="416">
        <v>50850</v>
      </c>
      <c r="EF151" s="417">
        <v>0.0101</v>
      </c>
      <c r="EG151" s="192"/>
      <c r="EH151" s="192"/>
      <c r="EI151" s="389"/>
      <c r="EJ151" s="390" t="str">
        <f t="shared" si="424"/>
        <v>2025//11//14</v>
      </c>
      <c r="EK151" s="390">
        <v>1637723</v>
      </c>
      <c r="EL151" s="390">
        <v>1629123</v>
      </c>
      <c r="EM151" s="416">
        <v>8600</v>
      </c>
      <c r="EN151" s="417">
        <v>0.0053</v>
      </c>
      <c r="EO151" s="192"/>
      <c r="EP151" s="192"/>
      <c r="EQ151" s="192"/>
      <c r="ER151" s="8" t="str">
        <f t="shared" si="425"/>
        <v>2025//11//14</v>
      </c>
      <c r="ES151" s="192"/>
      <c r="ET151" s="192"/>
      <c r="EU151" s="192"/>
      <c r="EV151" s="192"/>
      <c r="EW151" s="192"/>
      <c r="EX151" s="192"/>
      <c r="EY151" s="389"/>
      <c r="EZ151" s="390" t="str">
        <f t="shared" si="426"/>
        <v>2025//11//14</v>
      </c>
      <c r="FA151" s="390">
        <v>1205008</v>
      </c>
      <c r="FB151" s="390">
        <v>1201708</v>
      </c>
      <c r="FC151" s="416">
        <v>3300</v>
      </c>
      <c r="FD151" s="417">
        <v>0.0027</v>
      </c>
      <c r="FE151" s="192"/>
      <c r="FF151" s="192"/>
      <c r="FG151" s="192"/>
      <c r="FH151" s="410" t="str">
        <f t="shared" si="427"/>
        <v>2025//11//14</v>
      </c>
      <c r="FI151" s="513">
        <v>123995.33</v>
      </c>
      <c r="FJ151" s="390">
        <f t="shared" si="465"/>
        <v>124095.33</v>
      </c>
      <c r="FK151" s="346">
        <f t="shared" si="466"/>
        <v>-100</v>
      </c>
      <c r="FL151" s="347">
        <f t="shared" si="467"/>
        <v>-0.000805832096985438</v>
      </c>
      <c r="FM151" s="192"/>
      <c r="FN151" s="192"/>
      <c r="FO151" s="389"/>
      <c r="FP151" s="390" t="str">
        <f t="shared" si="428"/>
        <v>2025//11//14</v>
      </c>
      <c r="FQ151" s="390">
        <v>2388869</v>
      </c>
      <c r="FR151" s="390">
        <v>2391419</v>
      </c>
      <c r="FS151" s="414">
        <v>-2550</v>
      </c>
      <c r="FT151" s="415">
        <v>-0.0011</v>
      </c>
      <c r="FU151" s="192"/>
      <c r="FV151" s="192"/>
      <c r="FW151" s="389"/>
      <c r="FX151" s="390" t="str">
        <f t="shared" si="429"/>
        <v>2025//11//14</v>
      </c>
      <c r="FY151" s="390">
        <v>7063882</v>
      </c>
      <c r="FZ151" s="390">
        <v>7064182</v>
      </c>
      <c r="GA151" s="414">
        <v>-300</v>
      </c>
      <c r="GB151" s="409">
        <v>0</v>
      </c>
      <c r="GC151" s="192"/>
      <c r="GD151" s="192"/>
      <c r="GE151" s="389"/>
      <c r="GF151" s="390" t="str">
        <f t="shared" si="430"/>
        <v>2025//11//14</v>
      </c>
      <c r="GG151" s="390">
        <v>4327069</v>
      </c>
      <c r="GH151" s="390">
        <v>4325269</v>
      </c>
      <c r="GI151" s="416">
        <v>1800</v>
      </c>
      <c r="GJ151" s="417">
        <v>0.0004</v>
      </c>
      <c r="GK151" s="192"/>
      <c r="GL151" s="192"/>
      <c r="GM151" s="389"/>
      <c r="GN151" s="390" t="str">
        <f t="shared" si="431"/>
        <v>2025//11//14</v>
      </c>
      <c r="GO151" s="390">
        <v>1506418</v>
      </c>
      <c r="GP151" s="390">
        <v>1491538</v>
      </c>
      <c r="GQ151" s="416">
        <v>14880</v>
      </c>
      <c r="GR151" s="417">
        <v>0.01</v>
      </c>
      <c r="GS151" s="192"/>
      <c r="GT151" s="192"/>
      <c r="GU151" s="389"/>
      <c r="GV151" s="390" t="str">
        <f t="shared" si="432"/>
        <v>2025//11//14</v>
      </c>
      <c r="GW151" s="390">
        <v>1401949</v>
      </c>
      <c r="GX151" s="390">
        <v>1409749</v>
      </c>
      <c r="GY151" s="414">
        <v>-7800</v>
      </c>
      <c r="GZ151" s="415">
        <v>-0.0055</v>
      </c>
      <c r="HA151" s="192"/>
      <c r="HB151" s="192"/>
      <c r="HC151" s="389"/>
      <c r="HD151" s="390" t="str">
        <f t="shared" si="433"/>
        <v>2025//11//14</v>
      </c>
      <c r="HE151" s="390">
        <v>1399465</v>
      </c>
      <c r="HF151" s="390">
        <v>1372665</v>
      </c>
      <c r="HG151" s="416">
        <v>26800</v>
      </c>
      <c r="HH151" s="417">
        <v>0.0195</v>
      </c>
      <c r="HI151" s="391"/>
      <c r="HJ151" s="192"/>
      <c r="HK151" s="389"/>
      <c r="HL151" s="390" t="str">
        <f t="shared" si="434"/>
        <v>2025//11//14</v>
      </c>
      <c r="HM151" s="390">
        <v>211054</v>
      </c>
      <c r="HN151" s="390">
        <v>211604</v>
      </c>
      <c r="HO151" s="414">
        <v>-550</v>
      </c>
      <c r="HP151" s="415">
        <v>-0.0026</v>
      </c>
      <c r="HQ151" s="192"/>
      <c r="HR151" s="192"/>
      <c r="HS151" s="389"/>
      <c r="HT151" s="390" t="str">
        <f t="shared" si="435"/>
        <v>2025//11//14</v>
      </c>
      <c r="HU151" s="390">
        <v>165569</v>
      </c>
      <c r="HV151" s="390">
        <v>162469</v>
      </c>
      <c r="HW151" s="416">
        <v>3100</v>
      </c>
      <c r="HX151" s="417">
        <v>0.0191</v>
      </c>
      <c r="HY151" s="192"/>
      <c r="HZ151" s="192"/>
      <c r="IA151" s="389"/>
      <c r="IB151" s="390" t="str">
        <f t="shared" si="436"/>
        <v>2025//11//14</v>
      </c>
      <c r="IE151" s="390"/>
      <c r="IF151" s="391"/>
      <c r="IG151" s="192"/>
      <c r="IH151" s="192"/>
      <c r="II151" s="389"/>
      <c r="IJ151" s="390" t="str">
        <f t="shared" si="437"/>
        <v>2025//11//14</v>
      </c>
      <c r="IK151" s="390">
        <v>431116</v>
      </c>
      <c r="IL151" s="390">
        <v>431756</v>
      </c>
      <c r="IM151" s="414">
        <v>-640</v>
      </c>
      <c r="IN151" s="415">
        <v>-0.0015</v>
      </c>
      <c r="IO151" s="192"/>
      <c r="IP151" s="192"/>
      <c r="IQ151" s="389"/>
      <c r="IR151" s="390" t="str">
        <f t="shared" si="438"/>
        <v>2025//11//14</v>
      </c>
      <c r="IS151" s="390">
        <v>122389</v>
      </c>
      <c r="IT151" s="390">
        <v>121389</v>
      </c>
      <c r="IU151" s="416">
        <v>1000</v>
      </c>
      <c r="IV151" s="417">
        <v>0.0082</v>
      </c>
      <c r="IW151" s="192"/>
      <c r="IX151" s="192"/>
      <c r="IY151" s="389"/>
      <c r="IZ151" s="390" t="str">
        <f t="shared" si="439"/>
        <v>2025//11//14</v>
      </c>
      <c r="JA151" s="390">
        <v>5088129</v>
      </c>
      <c r="JB151" s="390">
        <v>5082729</v>
      </c>
      <c r="JC151" s="416">
        <v>5400</v>
      </c>
      <c r="JD151" s="417">
        <v>0.0011</v>
      </c>
      <c r="JE151" s="192"/>
      <c r="JF151" s="192"/>
      <c r="JG151" s="389"/>
      <c r="JH151" s="390" t="str">
        <f t="shared" si="440"/>
        <v>2025//11//14</v>
      </c>
      <c r="JI151" s="390">
        <v>2412028</v>
      </c>
      <c r="JJ151" s="390">
        <v>2434528</v>
      </c>
      <c r="JK151" s="414">
        <v>-22500</v>
      </c>
      <c r="JL151" s="415">
        <v>-0.0092</v>
      </c>
      <c r="JM151" s="192"/>
      <c r="JN151" s="192"/>
      <c r="JO151" s="192"/>
      <c r="JP151" s="390" t="str">
        <f t="shared" si="441"/>
        <v>2025//11//14</v>
      </c>
      <c r="JQ151" s="390">
        <v>1234090</v>
      </c>
      <c r="JR151" s="390">
        <v>1238290</v>
      </c>
      <c r="JS151" s="414">
        <v>-4200</v>
      </c>
      <c r="JT151" s="415">
        <v>-0.0034</v>
      </c>
      <c r="JU151" s="192"/>
      <c r="JV151" s="192"/>
      <c r="JW151" s="409"/>
      <c r="JX151" s="390" t="str">
        <f t="shared" si="442"/>
        <v>2025//11//14</v>
      </c>
      <c r="JY151" s="390">
        <v>1506549</v>
      </c>
      <c r="JZ151" s="390">
        <v>1506499</v>
      </c>
      <c r="KA151" s="416">
        <v>50</v>
      </c>
      <c r="KB151" s="409">
        <v>0</v>
      </c>
      <c r="KC151" s="192"/>
      <c r="KD151" s="192"/>
      <c r="KE151" s="409"/>
      <c r="KF151" s="390" t="str">
        <f t="shared" si="443"/>
        <v>2025//11//14</v>
      </c>
      <c r="KG151" s="390">
        <v>926756</v>
      </c>
      <c r="KH151" s="390">
        <v>929156</v>
      </c>
      <c r="KI151" s="414">
        <v>-2400</v>
      </c>
      <c r="KJ151" s="415">
        <v>-0.0026</v>
      </c>
      <c r="KK151" s="391"/>
      <c r="KL151" s="391"/>
      <c r="KM151" s="389"/>
      <c r="KN151" s="390" t="str">
        <f t="shared" si="444"/>
        <v>2025//11//14</v>
      </c>
      <c r="KO151" s="390">
        <v>5899276</v>
      </c>
      <c r="KP151" s="390">
        <v>5888476</v>
      </c>
      <c r="KQ151" s="416">
        <v>10800</v>
      </c>
      <c r="KR151" s="417">
        <v>0.0018</v>
      </c>
      <c r="KS151" s="192"/>
      <c r="KT151" s="192"/>
      <c r="KV151" s="8" t="str">
        <f t="shared" si="445"/>
        <v>2025//11//14</v>
      </c>
      <c r="KZ151" s="192"/>
      <c r="LA151" s="192"/>
      <c r="LB151" s="192"/>
      <c r="LC151" s="389"/>
      <c r="LD151" s="390" t="str">
        <f t="shared" si="446"/>
        <v>2025//11//14</v>
      </c>
      <c r="LE151" s="390">
        <v>506058</v>
      </c>
      <c r="LF151" s="390">
        <v>487458</v>
      </c>
      <c r="LG151" s="416">
        <v>18600</v>
      </c>
      <c r="LH151" s="417">
        <v>0.0382</v>
      </c>
      <c r="LI151" s="192"/>
      <c r="LJ151" s="192"/>
      <c r="LK151" s="389"/>
      <c r="LL151" s="390" t="str">
        <f t="shared" si="447"/>
        <v>2025//11//14</v>
      </c>
      <c r="LM151" s="392">
        <v>3670135</v>
      </c>
      <c r="LN151" s="390">
        <v>3588775</v>
      </c>
      <c r="LO151" s="416">
        <v>81360</v>
      </c>
      <c r="LP151" s="417">
        <v>0.0227</v>
      </c>
      <c r="LQ151" s="192"/>
      <c r="LR151" s="192"/>
      <c r="LS151" s="389"/>
      <c r="LT151" s="390" t="str">
        <f t="shared" si="448"/>
        <v>2025//11//14</v>
      </c>
      <c r="LU151" s="390">
        <v>2622063</v>
      </c>
      <c r="LV151" s="390">
        <v>2626863</v>
      </c>
      <c r="LW151" s="414">
        <v>-4800</v>
      </c>
      <c r="LX151" s="415">
        <v>-0.0018</v>
      </c>
      <c r="LY151" s="192"/>
      <c r="LZ151" s="192"/>
      <c r="MA151" s="389"/>
      <c r="MB151" s="390" t="str">
        <f t="shared" si="449"/>
        <v>2025//11//14</v>
      </c>
      <c r="MC151" s="390">
        <v>989168</v>
      </c>
      <c r="MD151" s="390">
        <v>1005518</v>
      </c>
      <c r="ME151" s="414">
        <v>-16350</v>
      </c>
      <c r="MF151" s="415">
        <v>-0.0163</v>
      </c>
      <c r="MG151" s="192"/>
      <c r="MH151" s="192"/>
      <c r="MI151" s="389"/>
      <c r="MJ151" s="389"/>
      <c r="MK151" s="390" t="str">
        <f t="shared" si="450"/>
        <v>2025//11//14</v>
      </c>
      <c r="ML151" s="389"/>
      <c r="MM151" s="203"/>
      <c r="MN151" s="389"/>
      <c r="MO151" s="391"/>
      <c r="MP151" s="391"/>
      <c r="MQ151" s="391"/>
      <c r="MR151" s="391"/>
      <c r="MS151" s="391"/>
      <c r="MT151" s="26" t="str">
        <f t="shared" si="451"/>
        <v>2025//11//14</v>
      </c>
      <c r="MX151" s="192"/>
      <c r="MY151" s="192"/>
      <c r="MZ151" s="192"/>
      <c r="NA151" s="192"/>
      <c r="NB151" s="192"/>
      <c r="NC151" s="8" t="str">
        <f t="shared" si="452"/>
        <v>2025//11//14</v>
      </c>
      <c r="NG151" s="192"/>
      <c r="NH151" s="192"/>
      <c r="NI151" s="192"/>
      <c r="NJ151" s="192"/>
      <c r="NK151" s="192"/>
      <c r="NL151" s="8"/>
      <c r="NM151" s="8" t="str">
        <f t="shared" si="453"/>
        <v>2025//11//14</v>
      </c>
      <c r="NQ151" s="192"/>
      <c r="NR151" s="192"/>
      <c r="NS151" s="8"/>
      <c r="NU151" s="8" t="str">
        <f t="shared" si="454"/>
        <v>2025//11//14</v>
      </c>
      <c r="NV151" s="389"/>
      <c r="NW151" s="389"/>
      <c r="NX151" s="389"/>
      <c r="NY151" s="391"/>
      <c r="NZ151" s="391"/>
      <c r="OA151" s="389"/>
      <c r="OB151" s="389"/>
      <c r="OC151" s="390" t="str">
        <f t="shared" si="455"/>
        <v>2025//11//14</v>
      </c>
      <c r="OD151" s="390">
        <v>17489</v>
      </c>
      <c r="OE151" s="390">
        <v>17062</v>
      </c>
      <c r="OF151" s="416">
        <v>427</v>
      </c>
      <c r="OG151" s="417">
        <v>0.025</v>
      </c>
      <c r="OH151" s="192"/>
      <c r="OI151" s="192"/>
      <c r="OJ151" s="389"/>
      <c r="OK151" s="390" t="str">
        <f t="shared" si="456"/>
        <v>2025//11//14</v>
      </c>
      <c r="OO151" s="192"/>
      <c r="OP151" s="192"/>
      <c r="OQ151" s="192"/>
      <c r="OT151" s="26" t="str">
        <f t="shared" si="407"/>
        <v>2025//11//14</v>
      </c>
      <c r="OU151" s="206">
        <v>133032.4066</v>
      </c>
      <c r="OV151" s="8">
        <f t="shared" si="462"/>
        <v>132912.4066</v>
      </c>
      <c r="OW151" s="191">
        <f t="shared" si="463"/>
        <v>120</v>
      </c>
      <c r="OX151" s="192">
        <f t="shared" si="464"/>
        <v>0.0009028502535594</v>
      </c>
    </row>
    <row r="152" s="8" customFormat="1" ht="17" customHeight="1" spans="1:414">
      <c r="A152" s="15"/>
      <c r="B152" s="15"/>
      <c r="C152" s="385" t="s">
        <v>581</v>
      </c>
      <c r="D152" s="395">
        <v>8913739</v>
      </c>
      <c r="E152" s="395">
        <v>8922199</v>
      </c>
      <c r="F152" s="403">
        <v>-8460</v>
      </c>
      <c r="G152" s="404">
        <v>-0.0009</v>
      </c>
      <c r="H152" s="18"/>
      <c r="I152" s="453"/>
      <c r="J152" s="453"/>
      <c r="K152" s="386" t="str">
        <f t="shared" si="408"/>
        <v>2025//11//13</v>
      </c>
      <c r="L152" s="395">
        <v>6648364</v>
      </c>
      <c r="M152" s="395">
        <v>6656824</v>
      </c>
      <c r="N152" s="403">
        <v>-8460</v>
      </c>
      <c r="O152" s="404">
        <v>-0.0013</v>
      </c>
      <c r="P152" s="18"/>
      <c r="Q152" s="453"/>
      <c r="R152" s="454"/>
      <c r="S152" s="386" t="str">
        <f t="shared" si="409"/>
        <v>2025//11//13</v>
      </c>
      <c r="T152" s="395">
        <v>5713177</v>
      </c>
      <c r="U152" s="395">
        <v>5703187</v>
      </c>
      <c r="V152" s="459">
        <v>9990</v>
      </c>
      <c r="W152" s="460">
        <v>0.0018</v>
      </c>
      <c r="X152" s="18"/>
      <c r="Y152" s="453"/>
      <c r="Z152" s="454"/>
      <c r="AA152" s="386" t="str">
        <f t="shared" si="410"/>
        <v>2025//11//13</v>
      </c>
      <c r="AB152" s="395">
        <v>1817297</v>
      </c>
      <c r="AC152" s="395">
        <v>1813537</v>
      </c>
      <c r="AD152" s="459">
        <v>3760</v>
      </c>
      <c r="AE152" s="460">
        <v>0.0021</v>
      </c>
      <c r="AF152" s="18"/>
      <c r="AG152" s="453"/>
      <c r="AH152" s="454"/>
      <c r="AI152" s="386" t="str">
        <f t="shared" si="411"/>
        <v>2025//11//13</v>
      </c>
      <c r="AJ152" s="395">
        <v>2489322</v>
      </c>
      <c r="AK152" s="386">
        <v>2478722</v>
      </c>
      <c r="AL152" s="459">
        <v>10600</v>
      </c>
      <c r="AM152" s="460">
        <v>0.0043</v>
      </c>
      <c r="AN152" s="18"/>
      <c r="AO152" s="18"/>
      <c r="AP152" s="454"/>
      <c r="AQ152" s="386" t="str">
        <f t="shared" si="412"/>
        <v>2025//11//13</v>
      </c>
      <c r="AR152" s="418">
        <v>3224045</v>
      </c>
      <c r="AS152" s="395">
        <v>3266845</v>
      </c>
      <c r="AT152" s="403">
        <v>-42800</v>
      </c>
      <c r="AU152" s="404">
        <v>-0.0131</v>
      </c>
      <c r="AV152" s="18"/>
      <c r="AW152" s="18"/>
      <c r="AX152" s="17"/>
      <c r="AY152" s="17"/>
      <c r="AZ152" s="17" t="str">
        <f t="shared" si="413"/>
        <v>2025//11//13</v>
      </c>
      <c r="BA152" s="17"/>
      <c r="BB152" s="17"/>
      <c r="BC152" s="17"/>
      <c r="BD152" s="18"/>
      <c r="BE152" s="18"/>
      <c r="BF152" s="18"/>
      <c r="BG152" s="74"/>
      <c r="BH152" s="387" t="str">
        <f t="shared" si="414"/>
        <v>2025//11//13</v>
      </c>
      <c r="BI152" s="387">
        <v>123727</v>
      </c>
      <c r="BJ152" s="387">
        <v>114027</v>
      </c>
      <c r="BK152" s="421">
        <v>9700</v>
      </c>
      <c r="BL152" s="422">
        <v>0.0851</v>
      </c>
      <c r="BM152" s="197"/>
      <c r="BN152" s="192"/>
      <c r="BO152" s="389"/>
      <c r="BP152" s="390" t="str">
        <f t="shared" si="415"/>
        <v>2025//11//13</v>
      </c>
      <c r="BQ152" s="392">
        <v>615862</v>
      </c>
      <c r="BR152" s="390">
        <v>614662</v>
      </c>
      <c r="BS152" s="416">
        <v>1200</v>
      </c>
      <c r="BT152" s="417">
        <v>0.002</v>
      </c>
      <c r="BU152" s="192"/>
      <c r="BV152" s="192"/>
      <c r="BW152" s="389"/>
      <c r="BX152" s="390" t="str">
        <f t="shared" si="416"/>
        <v>2025//11//13</v>
      </c>
      <c r="BY152" s="390">
        <v>2410861</v>
      </c>
      <c r="BZ152" s="390">
        <v>2416611</v>
      </c>
      <c r="CA152" s="414">
        <v>-5750</v>
      </c>
      <c r="CB152" s="415">
        <v>-0.0024</v>
      </c>
      <c r="CC152" s="192"/>
      <c r="CD152" s="409"/>
      <c r="CE152" s="514"/>
      <c r="CF152" s="410" t="str">
        <f t="shared" si="417"/>
        <v>2025//11//13</v>
      </c>
      <c r="CG152" s="200">
        <v>933703.9</v>
      </c>
      <c r="CH152" s="200">
        <v>966303.9</v>
      </c>
      <c r="CI152" s="12">
        <f t="shared" si="457"/>
        <v>-32600</v>
      </c>
      <c r="CJ152" s="199">
        <f t="shared" si="458"/>
        <v>-0.033736798537189</v>
      </c>
      <c r="CK152" s="192"/>
      <c r="CL152" s="391"/>
      <c r="CM152" s="389"/>
      <c r="CN152" s="390" t="str">
        <f t="shared" si="418"/>
        <v>2025//11//13</v>
      </c>
      <c r="CO152" s="390">
        <v>103946</v>
      </c>
      <c r="CP152" s="390">
        <v>107546</v>
      </c>
      <c r="CQ152" s="12">
        <f t="shared" si="459"/>
        <v>-3600</v>
      </c>
      <c r="CR152" s="199">
        <f t="shared" si="460"/>
        <v>-0.0334740483142097</v>
      </c>
      <c r="CS152" s="391"/>
      <c r="CT152" s="391"/>
      <c r="CU152" s="389"/>
      <c r="CV152" s="390" t="str">
        <f t="shared" si="419"/>
        <v>2025//11//13</v>
      </c>
      <c r="CW152" s="390">
        <v>683540</v>
      </c>
      <c r="CX152" s="390">
        <v>683440</v>
      </c>
      <c r="CY152" s="416">
        <v>100</v>
      </c>
      <c r="CZ152" s="417">
        <v>0.0001</v>
      </c>
      <c r="DA152" s="192"/>
      <c r="DB152" s="192"/>
      <c r="DC152" s="277"/>
      <c r="DD152" s="390" t="str">
        <f t="shared" si="420"/>
        <v>2025//11//13</v>
      </c>
      <c r="DE152" s="390">
        <v>904318</v>
      </c>
      <c r="DF152" s="12">
        <f t="shared" si="461"/>
        <v>897518</v>
      </c>
      <c r="DG152" s="416">
        <v>3400</v>
      </c>
      <c r="DH152" s="417">
        <v>0.0076</v>
      </c>
      <c r="DI152" s="192"/>
      <c r="DJ152" s="192"/>
      <c r="DK152" s="389"/>
      <c r="DL152" s="390" t="str">
        <f t="shared" si="421"/>
        <v>2025//11//13</v>
      </c>
      <c r="DM152" s="390">
        <v>1514500</v>
      </c>
      <c r="DN152" s="390">
        <v>1529300</v>
      </c>
      <c r="DO152" s="414">
        <v>-14800</v>
      </c>
      <c r="DP152" s="415">
        <v>-0.0097</v>
      </c>
      <c r="DQ152" s="192"/>
      <c r="DR152" s="192"/>
      <c r="DS152" s="389"/>
      <c r="DT152" s="390" t="str">
        <f t="shared" si="422"/>
        <v>2025//11//13</v>
      </c>
      <c r="DU152" s="390">
        <v>1698989</v>
      </c>
      <c r="DV152" s="390">
        <v>1703789</v>
      </c>
      <c r="DW152" s="414">
        <v>-4800</v>
      </c>
      <c r="DX152" s="415">
        <v>-0.0028</v>
      </c>
      <c r="DY152" s="192"/>
      <c r="DZ152" s="192"/>
      <c r="EA152" s="389"/>
      <c r="EB152" s="390" t="str">
        <f t="shared" si="423"/>
        <v>2025//11//13</v>
      </c>
      <c r="EC152" s="390">
        <v>5022717</v>
      </c>
      <c r="ED152" s="390">
        <v>5035767</v>
      </c>
      <c r="EE152" s="414">
        <v>-13050</v>
      </c>
      <c r="EF152" s="415">
        <v>-0.0026</v>
      </c>
      <c r="EG152" s="192"/>
      <c r="EH152" s="192"/>
      <c r="EI152" s="389"/>
      <c r="EJ152" s="390" t="str">
        <f t="shared" si="424"/>
        <v>2025//11//13</v>
      </c>
      <c r="EK152" s="390">
        <v>1629123</v>
      </c>
      <c r="EL152" s="390">
        <v>1633723</v>
      </c>
      <c r="EM152" s="414">
        <v>-4600</v>
      </c>
      <c r="EN152" s="415">
        <v>-0.0028</v>
      </c>
      <c r="EO152" s="192"/>
      <c r="EP152" s="192"/>
      <c r="EQ152" s="192"/>
      <c r="ER152" s="8" t="str">
        <f t="shared" si="425"/>
        <v>2025//11//13</v>
      </c>
      <c r="ES152" s="192"/>
      <c r="ET152" s="192"/>
      <c r="EU152" s="192"/>
      <c r="EV152" s="192"/>
      <c r="EW152" s="192"/>
      <c r="EX152" s="192"/>
      <c r="EY152" s="389"/>
      <c r="EZ152" s="390" t="str">
        <f t="shared" si="426"/>
        <v>2025//11//13</v>
      </c>
      <c r="FA152" s="390">
        <v>1201708</v>
      </c>
      <c r="FB152" s="390">
        <v>1214108</v>
      </c>
      <c r="FC152" s="414">
        <v>-12400</v>
      </c>
      <c r="FD152" s="415">
        <v>-0.0102</v>
      </c>
      <c r="FE152" s="192"/>
      <c r="FF152" s="192"/>
      <c r="FG152" s="192"/>
      <c r="FH152" s="410" t="str">
        <f t="shared" si="427"/>
        <v>2025//11//13</v>
      </c>
      <c r="FI152" s="513">
        <v>124095.33</v>
      </c>
      <c r="FJ152" s="390">
        <f t="shared" si="465"/>
        <v>123895.33</v>
      </c>
      <c r="FK152" s="348">
        <f t="shared" si="466"/>
        <v>200</v>
      </c>
      <c r="FL152" s="349">
        <f t="shared" si="467"/>
        <v>0.00161426584843836</v>
      </c>
      <c r="FM152" s="192"/>
      <c r="FN152" s="192"/>
      <c r="FO152" s="389"/>
      <c r="FP152" s="390" t="str">
        <f t="shared" si="428"/>
        <v>2025//11//13</v>
      </c>
      <c r="FQ152" s="390">
        <v>2391419</v>
      </c>
      <c r="FR152" s="390">
        <v>2383769</v>
      </c>
      <c r="FS152" s="416">
        <v>7650</v>
      </c>
      <c r="FT152" s="417">
        <v>0.0032</v>
      </c>
      <c r="FU152" s="192"/>
      <c r="FV152" s="192"/>
      <c r="FW152" s="389"/>
      <c r="FX152" s="390" t="str">
        <f t="shared" si="429"/>
        <v>2025//11//13</v>
      </c>
      <c r="FY152" s="390">
        <v>7064182</v>
      </c>
      <c r="FZ152" s="390">
        <v>7057482</v>
      </c>
      <c r="GA152" s="416">
        <v>6700</v>
      </c>
      <c r="GB152" s="417">
        <v>0.0009</v>
      </c>
      <c r="GC152" s="192"/>
      <c r="GD152" s="192"/>
      <c r="GE152" s="389"/>
      <c r="GF152" s="390" t="str">
        <f t="shared" si="430"/>
        <v>2025//11//13</v>
      </c>
      <c r="GG152" s="390">
        <v>4325269</v>
      </c>
      <c r="GH152" s="390">
        <v>4341769</v>
      </c>
      <c r="GI152" s="414">
        <v>-16500</v>
      </c>
      <c r="GJ152" s="415">
        <v>-0.0038</v>
      </c>
      <c r="GK152" s="192"/>
      <c r="GL152" s="192"/>
      <c r="GM152" s="389"/>
      <c r="GN152" s="390" t="str">
        <f t="shared" si="431"/>
        <v>2025//11//13</v>
      </c>
      <c r="GO152" s="390">
        <v>1491538</v>
      </c>
      <c r="GP152" s="390">
        <v>1485178</v>
      </c>
      <c r="GQ152" s="416">
        <v>6360</v>
      </c>
      <c r="GR152" s="417">
        <v>0.0043</v>
      </c>
      <c r="GS152" s="192"/>
      <c r="GT152" s="192"/>
      <c r="GU152" s="389"/>
      <c r="GV152" s="390" t="str">
        <f t="shared" si="432"/>
        <v>2025//11//13</v>
      </c>
      <c r="GW152" s="390">
        <v>1409749</v>
      </c>
      <c r="GX152" s="390">
        <v>1411349</v>
      </c>
      <c r="GY152" s="414">
        <v>-1600</v>
      </c>
      <c r="GZ152" s="415">
        <v>-0.0011</v>
      </c>
      <c r="HA152" s="192"/>
      <c r="HB152" s="192"/>
      <c r="HC152" s="389"/>
      <c r="HD152" s="390" t="str">
        <f t="shared" si="433"/>
        <v>2025//11//13</v>
      </c>
      <c r="HE152" s="390">
        <v>1372665</v>
      </c>
      <c r="HF152" s="390">
        <v>1400365</v>
      </c>
      <c r="HG152" s="414">
        <v>-27700</v>
      </c>
      <c r="HH152" s="415">
        <v>-0.0198</v>
      </c>
      <c r="HI152" s="391"/>
      <c r="HJ152" s="192"/>
      <c r="HK152" s="389"/>
      <c r="HL152" s="390" t="str">
        <f t="shared" si="434"/>
        <v>2025//11//13</v>
      </c>
      <c r="HM152" s="390">
        <v>211604</v>
      </c>
      <c r="HN152" s="390">
        <v>211754</v>
      </c>
      <c r="HO152" s="414">
        <v>-150</v>
      </c>
      <c r="HP152" s="415">
        <v>-0.0007</v>
      </c>
      <c r="HQ152" s="192"/>
      <c r="HR152" s="192"/>
      <c r="HS152" s="389"/>
      <c r="HT152" s="390" t="str">
        <f t="shared" si="435"/>
        <v>2025//11//13</v>
      </c>
      <c r="HU152" s="390">
        <v>162469</v>
      </c>
      <c r="HV152" s="390">
        <v>161969</v>
      </c>
      <c r="HW152" s="416">
        <v>500</v>
      </c>
      <c r="HX152" s="417">
        <v>0.0031</v>
      </c>
      <c r="HY152" s="192"/>
      <c r="HZ152" s="192"/>
      <c r="IA152" s="389"/>
      <c r="IB152" s="390" t="str">
        <f t="shared" si="436"/>
        <v>2025//11//13</v>
      </c>
      <c r="IE152" s="390"/>
      <c r="IF152" s="391"/>
      <c r="IG152" s="192"/>
      <c r="IH152" s="192"/>
      <c r="II152" s="389"/>
      <c r="IJ152" s="390" t="str">
        <f t="shared" si="437"/>
        <v>2025//11//13</v>
      </c>
      <c r="IK152" s="390">
        <v>431756</v>
      </c>
      <c r="IL152" s="390">
        <v>432156</v>
      </c>
      <c r="IM152" s="414">
        <v>-400</v>
      </c>
      <c r="IN152" s="415">
        <v>-0.0009</v>
      </c>
      <c r="IO152" s="192"/>
      <c r="IP152" s="192"/>
      <c r="IQ152" s="389"/>
      <c r="IR152" s="390" t="str">
        <f t="shared" si="438"/>
        <v>2025//11//13</v>
      </c>
      <c r="IS152" s="390">
        <v>121389</v>
      </c>
      <c r="IT152" s="390">
        <v>120789</v>
      </c>
      <c r="IU152" s="416">
        <v>600</v>
      </c>
      <c r="IV152" s="417">
        <v>0.005</v>
      </c>
      <c r="IW152" s="192"/>
      <c r="IX152" s="192"/>
      <c r="IY152" s="389"/>
      <c r="IZ152" s="390" t="str">
        <f t="shared" si="439"/>
        <v>2025//11//13</v>
      </c>
      <c r="JA152" s="390">
        <v>5082729</v>
      </c>
      <c r="JB152" s="390">
        <v>5088329</v>
      </c>
      <c r="JC152" s="414">
        <v>-5600</v>
      </c>
      <c r="JD152" s="415">
        <v>-0.0011</v>
      </c>
      <c r="JE152" s="192"/>
      <c r="JF152" s="192"/>
      <c r="JG152" s="389"/>
      <c r="JH152" s="390" t="str">
        <f t="shared" si="440"/>
        <v>2025//11//13</v>
      </c>
      <c r="JI152" s="390">
        <v>2434528</v>
      </c>
      <c r="JJ152" s="390">
        <v>2431228</v>
      </c>
      <c r="JK152" s="416">
        <v>3300</v>
      </c>
      <c r="JL152" s="417">
        <v>0.0014</v>
      </c>
      <c r="JM152" s="192"/>
      <c r="JN152" s="192"/>
      <c r="JO152" s="192"/>
      <c r="JP152" s="390" t="str">
        <f t="shared" si="441"/>
        <v>2025//11//13</v>
      </c>
      <c r="JQ152" s="390">
        <v>1238290</v>
      </c>
      <c r="JR152" s="390">
        <v>1252790</v>
      </c>
      <c r="JS152" s="414">
        <v>-14500</v>
      </c>
      <c r="JT152" s="415">
        <v>-0.0116</v>
      </c>
      <c r="JU152" s="192"/>
      <c r="JV152" s="192"/>
      <c r="JW152" s="409"/>
      <c r="JX152" s="390" t="str">
        <f t="shared" si="442"/>
        <v>2025//11//13</v>
      </c>
      <c r="JY152" s="390">
        <v>1506499</v>
      </c>
      <c r="JZ152" s="390">
        <v>1508749</v>
      </c>
      <c r="KA152" s="414">
        <v>-2250</v>
      </c>
      <c r="KB152" s="415">
        <v>-0.0015</v>
      </c>
      <c r="KC152" s="192"/>
      <c r="KD152" s="192"/>
      <c r="KE152" s="409"/>
      <c r="KF152" s="390" t="str">
        <f t="shared" si="443"/>
        <v>2025//11//13</v>
      </c>
      <c r="KG152" s="390">
        <v>929156</v>
      </c>
      <c r="KH152" s="390">
        <v>933156</v>
      </c>
      <c r="KI152" s="414">
        <v>-4000</v>
      </c>
      <c r="KJ152" s="415">
        <v>-0.0043</v>
      </c>
      <c r="KK152" s="391"/>
      <c r="KL152" s="391"/>
      <c r="KM152" s="389"/>
      <c r="KN152" s="390" t="str">
        <f t="shared" si="444"/>
        <v>2025//11//13</v>
      </c>
      <c r="KO152" s="390">
        <v>5888476</v>
      </c>
      <c r="KP152" s="390">
        <v>5888276</v>
      </c>
      <c r="KQ152" s="416">
        <v>200</v>
      </c>
      <c r="KR152" s="409">
        <v>0</v>
      </c>
      <c r="KS152" s="192"/>
      <c r="KT152" s="192"/>
      <c r="KV152" s="8" t="str">
        <f t="shared" si="445"/>
        <v>2025//11//13</v>
      </c>
      <c r="KZ152" s="192"/>
      <c r="LA152" s="192"/>
      <c r="LB152" s="192"/>
      <c r="LC152" s="389"/>
      <c r="LD152" s="390" t="str">
        <f t="shared" si="446"/>
        <v>2025//11//13</v>
      </c>
      <c r="LE152" s="390">
        <v>487458</v>
      </c>
      <c r="LF152" s="390">
        <v>490958</v>
      </c>
      <c r="LG152" s="414">
        <v>-3500</v>
      </c>
      <c r="LH152" s="415">
        <v>-0.0071</v>
      </c>
      <c r="LI152" s="192"/>
      <c r="LJ152" s="192"/>
      <c r="LK152" s="389"/>
      <c r="LL152" s="390" t="str">
        <f t="shared" si="447"/>
        <v>2025//11//13</v>
      </c>
      <c r="LM152" s="392">
        <v>3588775</v>
      </c>
      <c r="LN152" s="390">
        <v>3536575</v>
      </c>
      <c r="LO152" s="416">
        <v>52200</v>
      </c>
      <c r="LP152" s="417">
        <v>0.0148</v>
      </c>
      <c r="LQ152" s="192"/>
      <c r="LR152" s="192"/>
      <c r="LS152" s="389"/>
      <c r="LT152" s="390" t="str">
        <f t="shared" si="448"/>
        <v>2025//11//13</v>
      </c>
      <c r="LU152" s="390">
        <v>2626863</v>
      </c>
      <c r="LV152" s="390">
        <v>2635863</v>
      </c>
      <c r="LW152" s="414">
        <v>-9000</v>
      </c>
      <c r="LX152" s="415">
        <v>-0.0034</v>
      </c>
      <c r="LY152" s="192"/>
      <c r="LZ152" s="192"/>
      <c r="MA152" s="389"/>
      <c r="MB152" s="390" t="str">
        <f t="shared" si="449"/>
        <v>2025//11//13</v>
      </c>
      <c r="MC152" s="390">
        <v>1005518</v>
      </c>
      <c r="MD152" s="390">
        <v>1025218</v>
      </c>
      <c r="ME152" s="414">
        <v>-19700</v>
      </c>
      <c r="MF152" s="415">
        <v>-0.0192</v>
      </c>
      <c r="MG152" s="192"/>
      <c r="MH152" s="192"/>
      <c r="MI152" s="389"/>
      <c r="MJ152" s="389"/>
      <c r="MK152" s="390" t="str">
        <f t="shared" si="450"/>
        <v>2025//11//13</v>
      </c>
      <c r="ML152" s="389"/>
      <c r="MM152" s="203"/>
      <c r="MN152" s="389"/>
      <c r="MO152" s="391"/>
      <c r="MP152" s="391"/>
      <c r="MQ152" s="391"/>
      <c r="MR152" s="391"/>
      <c r="MS152" s="391"/>
      <c r="MT152" s="26" t="str">
        <f t="shared" si="451"/>
        <v>2025//11//13</v>
      </c>
      <c r="MX152" s="192"/>
      <c r="MY152" s="192"/>
      <c r="MZ152" s="192"/>
      <c r="NA152" s="192"/>
      <c r="NB152" s="192"/>
      <c r="NC152" s="8" t="str">
        <f t="shared" si="452"/>
        <v>2025//11//13</v>
      </c>
      <c r="NG152" s="192"/>
      <c r="NH152" s="192"/>
      <c r="NI152" s="192"/>
      <c r="NJ152" s="192"/>
      <c r="NK152" s="192"/>
      <c r="NL152" s="8"/>
      <c r="NM152" s="8" t="str">
        <f t="shared" si="453"/>
        <v>2025//11//13</v>
      </c>
      <c r="NQ152" s="192"/>
      <c r="NR152" s="192"/>
      <c r="NS152" s="8"/>
      <c r="NU152" s="8" t="str">
        <f t="shared" si="454"/>
        <v>2025//11//13</v>
      </c>
      <c r="NV152" s="389"/>
      <c r="NW152" s="389"/>
      <c r="NX152" s="389"/>
      <c r="NY152" s="391"/>
      <c r="NZ152" s="391"/>
      <c r="OA152" s="389"/>
      <c r="OB152" s="389"/>
      <c r="OC152" s="390" t="str">
        <f t="shared" si="455"/>
        <v>2025//11//13</v>
      </c>
      <c r="OD152" s="390">
        <v>17062</v>
      </c>
      <c r="OE152" s="390">
        <v>17126</v>
      </c>
      <c r="OF152" s="414">
        <v>-64</v>
      </c>
      <c r="OG152" s="415">
        <v>-0.0037</v>
      </c>
      <c r="OH152" s="192"/>
      <c r="OI152" s="192"/>
      <c r="OJ152" s="389"/>
      <c r="OK152" s="390" t="str">
        <f t="shared" si="456"/>
        <v>2025//11//13</v>
      </c>
      <c r="OO152" s="192"/>
      <c r="OP152" s="192"/>
      <c r="OQ152" s="192"/>
      <c r="OT152" s="26" t="str">
        <f t="shared" si="407"/>
        <v>2025//11//13</v>
      </c>
      <c r="OU152" s="206">
        <v>132912.4066</v>
      </c>
      <c r="OV152" s="8">
        <f t="shared" si="462"/>
        <v>132792.4066</v>
      </c>
      <c r="OW152" s="191">
        <f t="shared" si="463"/>
        <v>120</v>
      </c>
      <c r="OX152" s="192">
        <f t="shared" si="464"/>
        <v>0.000903666128752877</v>
      </c>
    </row>
    <row r="153" s="8" customFormat="1" ht="17" customHeight="1" spans="1:414">
      <c r="A153" s="15"/>
      <c r="B153" s="15"/>
      <c r="C153" s="385" t="s">
        <v>582</v>
      </c>
      <c r="D153" s="395">
        <v>8922199</v>
      </c>
      <c r="E153" s="395">
        <v>8920579</v>
      </c>
      <c r="F153" s="459">
        <v>1620</v>
      </c>
      <c r="G153" s="460">
        <v>0.0002</v>
      </c>
      <c r="H153" s="18"/>
      <c r="I153" s="453"/>
      <c r="J153" s="453"/>
      <c r="K153" s="386" t="str">
        <f t="shared" si="408"/>
        <v>2025//11//12</v>
      </c>
      <c r="L153" s="395">
        <v>6656824</v>
      </c>
      <c r="M153" s="395">
        <v>6661774</v>
      </c>
      <c r="N153" s="403">
        <v>-4950</v>
      </c>
      <c r="O153" s="404">
        <v>-0.0007</v>
      </c>
      <c r="P153" s="18"/>
      <c r="Q153" s="453"/>
      <c r="R153" s="454"/>
      <c r="S153" s="386" t="str">
        <f t="shared" si="409"/>
        <v>2025//11//12</v>
      </c>
      <c r="T153" s="395">
        <v>5703187</v>
      </c>
      <c r="U153" s="395">
        <v>5729377</v>
      </c>
      <c r="V153" s="403">
        <v>-26190</v>
      </c>
      <c r="W153" s="404">
        <v>-0.0046</v>
      </c>
      <c r="X153" s="18"/>
      <c r="Y153" s="453"/>
      <c r="Z153" s="454"/>
      <c r="AA153" s="386" t="str">
        <f t="shared" si="410"/>
        <v>2025//11//12</v>
      </c>
      <c r="AB153" s="395">
        <v>1813537</v>
      </c>
      <c r="AC153" s="395">
        <v>1809897</v>
      </c>
      <c r="AD153" s="459">
        <v>3640</v>
      </c>
      <c r="AE153" s="460">
        <v>0.002</v>
      </c>
      <c r="AF153" s="18"/>
      <c r="AG153" s="453"/>
      <c r="AH153" s="454"/>
      <c r="AI153" s="386" t="str">
        <f t="shared" si="411"/>
        <v>2025//11//12</v>
      </c>
      <c r="AJ153" s="395">
        <v>2478722</v>
      </c>
      <c r="AK153" s="386">
        <v>2466522</v>
      </c>
      <c r="AL153" s="459">
        <v>12200</v>
      </c>
      <c r="AM153" s="460">
        <v>0.0049</v>
      </c>
      <c r="AN153" s="18"/>
      <c r="AO153" s="18"/>
      <c r="AP153" s="454"/>
      <c r="AQ153" s="386" t="str">
        <f t="shared" si="412"/>
        <v>2025//11//12</v>
      </c>
      <c r="AR153" s="418">
        <v>3266845</v>
      </c>
      <c r="AS153" s="395">
        <v>3255045</v>
      </c>
      <c r="AT153" s="459">
        <v>11800</v>
      </c>
      <c r="AU153" s="460">
        <v>0.0036</v>
      </c>
      <c r="AV153" s="18"/>
      <c r="AW153" s="18"/>
      <c r="AX153" s="17"/>
      <c r="AY153" s="17"/>
      <c r="AZ153" s="17" t="str">
        <f t="shared" si="413"/>
        <v>2025//11//12</v>
      </c>
      <c r="BA153" s="17"/>
      <c r="BB153" s="17"/>
      <c r="BC153" s="17"/>
      <c r="BD153" s="18"/>
      <c r="BE153" s="18"/>
      <c r="BF153" s="18"/>
      <c r="BG153" s="74"/>
      <c r="BH153" s="387" t="str">
        <f t="shared" si="414"/>
        <v>2025//11//12</v>
      </c>
      <c r="BI153" s="387">
        <v>114027</v>
      </c>
      <c r="BJ153" s="387">
        <v>114627</v>
      </c>
      <c r="BK153" s="462">
        <v>-600</v>
      </c>
      <c r="BL153" s="463">
        <v>-0.0052</v>
      </c>
      <c r="BM153" s="197"/>
      <c r="BN153" s="192"/>
      <c r="BO153" s="389"/>
      <c r="BP153" s="390" t="str">
        <f t="shared" si="415"/>
        <v>2025//11//12</v>
      </c>
      <c r="BQ153" s="392">
        <v>614662</v>
      </c>
      <c r="BR153" s="390">
        <v>599662</v>
      </c>
      <c r="BS153" s="416">
        <v>15000</v>
      </c>
      <c r="BT153" s="417">
        <v>0.025</v>
      </c>
      <c r="BU153" s="192"/>
      <c r="BV153" s="192"/>
      <c r="BW153" s="389"/>
      <c r="BX153" s="390" t="str">
        <f t="shared" si="416"/>
        <v>2025//11//12</v>
      </c>
      <c r="BY153" s="390">
        <v>2416611</v>
      </c>
      <c r="BZ153" s="390">
        <v>2358611</v>
      </c>
      <c r="CA153" s="416">
        <v>58000</v>
      </c>
      <c r="CB153" s="417">
        <v>0.0246</v>
      </c>
      <c r="CC153" s="192"/>
      <c r="CD153" s="409"/>
      <c r="CE153" s="514"/>
      <c r="CF153" s="410" t="str">
        <f t="shared" si="417"/>
        <v>2025//11//12</v>
      </c>
      <c r="CG153" s="200">
        <v>966303.9</v>
      </c>
      <c r="CH153" s="200">
        <v>963703.9</v>
      </c>
      <c r="CI153" s="12">
        <f t="shared" si="457"/>
        <v>2600</v>
      </c>
      <c r="CJ153" s="199">
        <f t="shared" si="458"/>
        <v>0.00269792412378948</v>
      </c>
      <c r="CK153" s="192"/>
      <c r="CL153" s="391"/>
      <c r="CM153" s="389"/>
      <c r="CN153" s="390" t="str">
        <f t="shared" si="418"/>
        <v>2025//11//12</v>
      </c>
      <c r="CO153" s="390">
        <v>107546</v>
      </c>
      <c r="CP153" s="390">
        <v>108246</v>
      </c>
      <c r="CQ153" s="12">
        <f t="shared" si="459"/>
        <v>-700</v>
      </c>
      <c r="CR153" s="199">
        <f t="shared" si="460"/>
        <v>-0.00646675165825989</v>
      </c>
      <c r="CS153" s="391"/>
      <c r="CT153" s="391"/>
      <c r="CU153" s="389"/>
      <c r="CV153" s="390" t="str">
        <f t="shared" si="419"/>
        <v>2025//11//12</v>
      </c>
      <c r="CW153" s="390">
        <v>683440</v>
      </c>
      <c r="CX153" s="390">
        <v>683440</v>
      </c>
      <c r="CY153" s="410">
        <v>0</v>
      </c>
      <c r="CZ153" s="409">
        <v>0</v>
      </c>
      <c r="DA153" s="192"/>
      <c r="DB153" s="192"/>
      <c r="DC153" s="277"/>
      <c r="DD153" s="390" t="str">
        <f t="shared" si="420"/>
        <v>2025//11//12</v>
      </c>
      <c r="DE153" s="390">
        <v>897518</v>
      </c>
      <c r="DF153" s="12">
        <f t="shared" si="461"/>
        <v>916118</v>
      </c>
      <c r="DG153" s="414">
        <v>-9300</v>
      </c>
      <c r="DH153" s="415">
        <v>-0.0203</v>
      </c>
      <c r="DI153" s="192"/>
      <c r="DJ153" s="192"/>
      <c r="DK153" s="389"/>
      <c r="DL153" s="390" t="str">
        <f t="shared" si="421"/>
        <v>2025//11//12</v>
      </c>
      <c r="DM153" s="390">
        <v>1529300</v>
      </c>
      <c r="DN153" s="390">
        <v>1529700</v>
      </c>
      <c r="DO153" s="414">
        <v>-400</v>
      </c>
      <c r="DP153" s="415">
        <v>-0.0003</v>
      </c>
      <c r="DQ153" s="192"/>
      <c r="DR153" s="192"/>
      <c r="DS153" s="389"/>
      <c r="DT153" s="390" t="str">
        <f t="shared" si="422"/>
        <v>2025//11//12</v>
      </c>
      <c r="DU153" s="390">
        <v>1703789</v>
      </c>
      <c r="DV153" s="390">
        <v>1683989</v>
      </c>
      <c r="DW153" s="416">
        <v>19800</v>
      </c>
      <c r="DX153" s="417">
        <v>0.0118</v>
      </c>
      <c r="DY153" s="192"/>
      <c r="DZ153" s="192"/>
      <c r="EA153" s="389"/>
      <c r="EB153" s="390" t="str">
        <f t="shared" si="423"/>
        <v>2025//11//12</v>
      </c>
      <c r="EC153" s="390">
        <v>5035767</v>
      </c>
      <c r="ED153" s="390">
        <v>4946667</v>
      </c>
      <c r="EE153" s="416">
        <v>89100</v>
      </c>
      <c r="EF153" s="417">
        <v>0.018</v>
      </c>
      <c r="EG153" s="192"/>
      <c r="EH153" s="192"/>
      <c r="EI153" s="389"/>
      <c r="EJ153" s="390" t="str">
        <f t="shared" si="424"/>
        <v>2025//11//12</v>
      </c>
      <c r="EK153" s="390">
        <v>1633723</v>
      </c>
      <c r="EL153" s="390">
        <v>1629523</v>
      </c>
      <c r="EM153" s="416">
        <v>4200</v>
      </c>
      <c r="EN153" s="417">
        <v>0.0026</v>
      </c>
      <c r="EO153" s="192"/>
      <c r="EP153" s="192"/>
      <c r="EQ153" s="192"/>
      <c r="ER153" s="8" t="str">
        <f t="shared" si="425"/>
        <v>2025//11//12</v>
      </c>
      <c r="ES153" s="192"/>
      <c r="ET153" s="192"/>
      <c r="EU153" s="192"/>
      <c r="EV153" s="192"/>
      <c r="EW153" s="192"/>
      <c r="EX153" s="192"/>
      <c r="EY153" s="389"/>
      <c r="EZ153" s="390" t="str">
        <f t="shared" si="426"/>
        <v>2025//11//12</v>
      </c>
      <c r="FA153" s="390">
        <v>1214108</v>
      </c>
      <c r="FB153" s="390">
        <v>1200808</v>
      </c>
      <c r="FC153" s="416">
        <v>13300</v>
      </c>
      <c r="FD153" s="417">
        <v>0.0111</v>
      </c>
      <c r="FE153" s="192"/>
      <c r="FF153" s="192"/>
      <c r="FG153" s="192"/>
      <c r="FH153" s="410" t="str">
        <f t="shared" si="427"/>
        <v>2025//11//12</v>
      </c>
      <c r="FI153" s="513">
        <v>123895.33</v>
      </c>
      <c r="FJ153" s="390">
        <f t="shared" si="465"/>
        <v>123395.33</v>
      </c>
      <c r="FK153" s="348">
        <f t="shared" si="466"/>
        <v>500</v>
      </c>
      <c r="FL153" s="349">
        <f t="shared" si="467"/>
        <v>0.0040520172035684</v>
      </c>
      <c r="FM153" s="515"/>
      <c r="FN153" s="515"/>
      <c r="FO153" s="389"/>
      <c r="FP153" s="390" t="str">
        <f t="shared" si="428"/>
        <v>2025//11//12</v>
      </c>
      <c r="FQ153" s="390">
        <v>2383769</v>
      </c>
      <c r="FR153" s="390">
        <v>2384219</v>
      </c>
      <c r="FS153" s="414">
        <v>-450</v>
      </c>
      <c r="FT153" s="415">
        <v>-0.0002</v>
      </c>
      <c r="FU153" s="192"/>
      <c r="FV153" s="192"/>
      <c r="FW153" s="389"/>
      <c r="FX153" s="390" t="str">
        <f t="shared" si="429"/>
        <v>2025//11//12</v>
      </c>
      <c r="FY153" s="390">
        <v>7057482</v>
      </c>
      <c r="FZ153" s="390">
        <v>7057882</v>
      </c>
      <c r="GA153" s="414">
        <v>-400</v>
      </c>
      <c r="GB153" s="415">
        <v>-0.0001</v>
      </c>
      <c r="GC153" s="192"/>
      <c r="GD153" s="192"/>
      <c r="GE153" s="389"/>
      <c r="GF153" s="390" t="str">
        <f t="shared" si="430"/>
        <v>2025//11//12</v>
      </c>
      <c r="GG153" s="390">
        <v>4341769</v>
      </c>
      <c r="GH153" s="390">
        <v>4328669</v>
      </c>
      <c r="GI153" s="416">
        <v>13100</v>
      </c>
      <c r="GJ153" s="417">
        <v>0.003</v>
      </c>
      <c r="GK153" s="192"/>
      <c r="GL153" s="192"/>
      <c r="GM153" s="389"/>
      <c r="GN153" s="390" t="str">
        <f t="shared" si="431"/>
        <v>2025//11//12</v>
      </c>
      <c r="GO153" s="390">
        <v>1485178</v>
      </c>
      <c r="GP153" s="390">
        <v>1487578</v>
      </c>
      <c r="GQ153" s="414">
        <v>-2400</v>
      </c>
      <c r="GR153" s="415">
        <v>-0.0016</v>
      </c>
      <c r="GS153" s="192"/>
      <c r="GT153" s="192"/>
      <c r="GU153" s="389"/>
      <c r="GV153" s="390" t="str">
        <f t="shared" si="432"/>
        <v>2025//11//12</v>
      </c>
      <c r="GW153" s="390">
        <v>1411349</v>
      </c>
      <c r="GX153" s="390">
        <v>1413549</v>
      </c>
      <c r="GY153" s="414">
        <v>-2200</v>
      </c>
      <c r="GZ153" s="415">
        <v>-0.0016</v>
      </c>
      <c r="HA153" s="192"/>
      <c r="HB153" s="192"/>
      <c r="HC153" s="389"/>
      <c r="HD153" s="390" t="str">
        <f t="shared" si="433"/>
        <v>2025//11//12</v>
      </c>
      <c r="HE153" s="390">
        <v>1400365</v>
      </c>
      <c r="HF153" s="390">
        <v>1405765</v>
      </c>
      <c r="HG153" s="414">
        <v>-5400</v>
      </c>
      <c r="HH153" s="415">
        <v>-0.0038</v>
      </c>
      <c r="HI153" s="391"/>
      <c r="HJ153" s="192"/>
      <c r="HK153" s="389"/>
      <c r="HL153" s="390" t="str">
        <f t="shared" si="434"/>
        <v>2025//11//12</v>
      </c>
      <c r="HM153" s="390">
        <v>211754</v>
      </c>
      <c r="HN153" s="390">
        <v>211754</v>
      </c>
      <c r="HO153" s="410">
        <v>0</v>
      </c>
      <c r="HP153" s="409">
        <v>0</v>
      </c>
      <c r="HQ153" s="192"/>
      <c r="HR153" s="192"/>
      <c r="HS153" s="389"/>
      <c r="HT153" s="390" t="str">
        <f t="shared" si="435"/>
        <v>2025//11//12</v>
      </c>
      <c r="HU153" s="390">
        <v>161969</v>
      </c>
      <c r="HV153" s="390">
        <v>164069</v>
      </c>
      <c r="HW153" s="414">
        <v>-2100</v>
      </c>
      <c r="HX153" s="415">
        <v>-0.0128</v>
      </c>
      <c r="HY153" s="192"/>
      <c r="HZ153" s="192"/>
      <c r="IA153" s="389"/>
      <c r="IB153" s="390" t="str">
        <f t="shared" si="436"/>
        <v>2025//11//12</v>
      </c>
      <c r="IE153" s="390"/>
      <c r="IF153" s="391"/>
      <c r="IG153" s="192"/>
      <c r="IH153" s="192"/>
      <c r="II153" s="389"/>
      <c r="IJ153" s="390" t="str">
        <f t="shared" si="437"/>
        <v>2025//11//12</v>
      </c>
      <c r="IK153" s="390">
        <v>432156</v>
      </c>
      <c r="IL153" s="390">
        <v>435436</v>
      </c>
      <c r="IM153" s="414">
        <v>-3280</v>
      </c>
      <c r="IN153" s="415">
        <v>-0.0075</v>
      </c>
      <c r="IO153" s="192"/>
      <c r="IP153" s="192"/>
      <c r="IQ153" s="389"/>
      <c r="IR153" s="390" t="str">
        <f t="shared" si="438"/>
        <v>2025//11//12</v>
      </c>
      <c r="IS153" s="390">
        <v>120789</v>
      </c>
      <c r="IT153" s="390">
        <v>121689</v>
      </c>
      <c r="IU153" s="414">
        <v>-900</v>
      </c>
      <c r="IV153" s="415">
        <v>-0.0074</v>
      </c>
      <c r="IW153" s="192"/>
      <c r="IX153" s="192"/>
      <c r="IY153" s="389"/>
      <c r="IZ153" s="390" t="str">
        <f t="shared" si="439"/>
        <v>2025//11//12</v>
      </c>
      <c r="JA153" s="390">
        <v>5088329</v>
      </c>
      <c r="JB153" s="390">
        <v>5041729</v>
      </c>
      <c r="JC153" s="416">
        <v>46600</v>
      </c>
      <c r="JD153" s="417">
        <v>0.0092</v>
      </c>
      <c r="JE153" s="192"/>
      <c r="JF153" s="192"/>
      <c r="JG153" s="389"/>
      <c r="JH153" s="390" t="str">
        <f t="shared" si="440"/>
        <v>2025//11//12</v>
      </c>
      <c r="JI153" s="390">
        <v>2431228</v>
      </c>
      <c r="JJ153" s="390">
        <v>2446828</v>
      </c>
      <c r="JK153" s="414">
        <v>-15600</v>
      </c>
      <c r="JL153" s="415">
        <v>-0.0064</v>
      </c>
      <c r="JM153" s="192"/>
      <c r="JN153" s="192"/>
      <c r="JO153" s="192"/>
      <c r="JP153" s="390" t="str">
        <f t="shared" si="441"/>
        <v>2025//11//12</v>
      </c>
      <c r="JQ153" s="390">
        <v>1252790</v>
      </c>
      <c r="JR153" s="390">
        <v>1247290</v>
      </c>
      <c r="JS153" s="416">
        <v>5500</v>
      </c>
      <c r="JT153" s="417">
        <v>0.0044</v>
      </c>
      <c r="JU153" s="192"/>
      <c r="JV153" s="192"/>
      <c r="JW153" s="409"/>
      <c r="JX153" s="390" t="str">
        <f t="shared" si="442"/>
        <v>2025//11//12</v>
      </c>
      <c r="JY153" s="390">
        <v>1508749</v>
      </c>
      <c r="JZ153" s="390">
        <v>1511749</v>
      </c>
      <c r="KA153" s="414">
        <v>-3000</v>
      </c>
      <c r="KB153" s="415">
        <v>-0.002</v>
      </c>
      <c r="KC153" s="192"/>
      <c r="KD153" s="192"/>
      <c r="KE153" s="409"/>
      <c r="KF153" s="390" t="str">
        <f t="shared" si="443"/>
        <v>2025//11//12</v>
      </c>
      <c r="KG153" s="390">
        <v>933156</v>
      </c>
      <c r="KH153" s="390">
        <v>935556</v>
      </c>
      <c r="KI153" s="414">
        <v>-2400</v>
      </c>
      <c r="KJ153" s="415">
        <v>-0.0026</v>
      </c>
      <c r="KK153" s="391"/>
      <c r="KL153" s="391"/>
      <c r="KM153" s="389"/>
      <c r="KN153" s="390" t="str">
        <f t="shared" si="444"/>
        <v>2025//11//12</v>
      </c>
      <c r="KO153" s="390">
        <v>5888276</v>
      </c>
      <c r="KP153" s="390">
        <v>5888076</v>
      </c>
      <c r="KQ153" s="416">
        <v>200</v>
      </c>
      <c r="KR153" s="409">
        <v>0</v>
      </c>
      <c r="KS153" s="192"/>
      <c r="KT153" s="192"/>
      <c r="KV153" s="8" t="str">
        <f t="shared" si="445"/>
        <v>2025//11//12</v>
      </c>
      <c r="KZ153" s="192"/>
      <c r="LA153" s="192"/>
      <c r="LB153" s="192"/>
      <c r="LC153" s="389"/>
      <c r="LD153" s="390" t="str">
        <f t="shared" si="446"/>
        <v>2025//11//12</v>
      </c>
      <c r="LE153" s="390">
        <v>490958</v>
      </c>
      <c r="LF153" s="390">
        <v>495958</v>
      </c>
      <c r="LG153" s="414">
        <v>-5000</v>
      </c>
      <c r="LH153" s="415">
        <v>-0.0101</v>
      </c>
      <c r="LI153" s="192"/>
      <c r="LJ153" s="192"/>
      <c r="LK153" s="389"/>
      <c r="LL153" s="390" t="str">
        <f t="shared" si="447"/>
        <v>2025//11//12</v>
      </c>
      <c r="LM153" s="392">
        <v>3536575</v>
      </c>
      <c r="LN153" s="390">
        <v>3509575</v>
      </c>
      <c r="LO153" s="416">
        <v>27000</v>
      </c>
      <c r="LP153" s="417">
        <v>0.0077</v>
      </c>
      <c r="LQ153" s="192"/>
      <c r="LR153" s="192"/>
      <c r="LS153" s="389"/>
      <c r="LT153" s="390" t="str">
        <f t="shared" si="448"/>
        <v>2025//11//12</v>
      </c>
      <c r="LU153" s="390">
        <v>2635863</v>
      </c>
      <c r="LV153" s="390">
        <v>2639063</v>
      </c>
      <c r="LW153" s="414">
        <v>-3200</v>
      </c>
      <c r="LX153" s="415">
        <v>-0.0012</v>
      </c>
      <c r="LY153" s="192"/>
      <c r="LZ153" s="192"/>
      <c r="MA153" s="389"/>
      <c r="MB153" s="390" t="str">
        <f t="shared" si="449"/>
        <v>2025//11//12</v>
      </c>
      <c r="MC153" s="390">
        <v>1025218</v>
      </c>
      <c r="MD153" s="390">
        <v>1052868</v>
      </c>
      <c r="ME153" s="414">
        <v>-27650</v>
      </c>
      <c r="MF153" s="415">
        <v>-0.0263</v>
      </c>
      <c r="MG153" s="192"/>
      <c r="MH153" s="192"/>
      <c r="MI153" s="389"/>
      <c r="MJ153" s="389"/>
      <c r="MK153" s="390" t="str">
        <f t="shared" si="450"/>
        <v>2025//11//12</v>
      </c>
      <c r="ML153" s="389"/>
      <c r="MM153" s="203"/>
      <c r="MN153" s="389"/>
      <c r="MO153" s="391"/>
      <c r="MP153" s="391"/>
      <c r="MQ153" s="391"/>
      <c r="MR153" s="391"/>
      <c r="MS153" s="391"/>
      <c r="MT153" s="26" t="str">
        <f t="shared" si="451"/>
        <v>2025//11//12</v>
      </c>
      <c r="MX153" s="192"/>
      <c r="MY153" s="192"/>
      <c r="MZ153" s="192"/>
      <c r="NA153" s="192"/>
      <c r="NB153" s="192"/>
      <c r="NC153" s="8" t="str">
        <f t="shared" si="452"/>
        <v>2025//11//12</v>
      </c>
      <c r="NG153" s="192"/>
      <c r="NH153" s="192"/>
      <c r="NI153" s="192"/>
      <c r="NJ153" s="192"/>
      <c r="NK153" s="192"/>
      <c r="NL153" s="8"/>
      <c r="NM153" s="8" t="str">
        <f t="shared" si="453"/>
        <v>2025//11//12</v>
      </c>
      <c r="NQ153" s="192"/>
      <c r="NR153" s="192"/>
      <c r="NS153" s="8"/>
      <c r="NU153" s="8" t="str">
        <f t="shared" si="454"/>
        <v>2025//11//12</v>
      </c>
      <c r="NV153" s="389"/>
      <c r="NW153" s="389"/>
      <c r="NX153" s="389"/>
      <c r="NY153" s="391"/>
      <c r="NZ153" s="391"/>
      <c r="OA153" s="389"/>
      <c r="OB153" s="389"/>
      <c r="OC153" s="390" t="str">
        <f t="shared" si="455"/>
        <v>2025//11//12</v>
      </c>
      <c r="OD153" s="390">
        <v>17126</v>
      </c>
      <c r="OE153" s="390">
        <v>17099</v>
      </c>
      <c r="OF153" s="416">
        <v>27</v>
      </c>
      <c r="OG153" s="417">
        <v>0.0016</v>
      </c>
      <c r="OH153" s="192"/>
      <c r="OI153" s="192"/>
      <c r="OJ153" s="389"/>
      <c r="OK153" s="390" t="str">
        <f t="shared" si="456"/>
        <v>2025//11//12</v>
      </c>
      <c r="OO153" s="192"/>
      <c r="OP153" s="192"/>
      <c r="OQ153" s="192"/>
      <c r="OT153" s="26" t="str">
        <f t="shared" si="407"/>
        <v>2025//11//12</v>
      </c>
      <c r="OU153" s="206">
        <v>132792.4066</v>
      </c>
      <c r="OV153" s="8">
        <f t="shared" si="462"/>
        <v>132672.4066</v>
      </c>
      <c r="OW153" s="191">
        <f t="shared" si="463"/>
        <v>120</v>
      </c>
      <c r="OX153" s="192">
        <f t="shared" si="464"/>
        <v>0.000904483479837623</v>
      </c>
    </row>
    <row r="154" s="8" customFormat="1" ht="17" customHeight="1" spans="1:414">
      <c r="A154" s="15"/>
      <c r="B154" s="15"/>
      <c r="C154" s="385" t="s">
        <v>583</v>
      </c>
      <c r="D154" s="395">
        <v>8920579</v>
      </c>
      <c r="E154" s="395">
        <v>8920219</v>
      </c>
      <c r="F154" s="459">
        <v>360</v>
      </c>
      <c r="G154" s="507">
        <v>0</v>
      </c>
      <c r="H154" s="18"/>
      <c r="I154" s="453"/>
      <c r="J154" s="453"/>
      <c r="K154" s="386" t="str">
        <f t="shared" si="408"/>
        <v>2025//11//11</v>
      </c>
      <c r="L154" s="395">
        <v>6661774</v>
      </c>
      <c r="M154" s="395">
        <v>6665374</v>
      </c>
      <c r="N154" s="403">
        <v>-3600</v>
      </c>
      <c r="O154" s="404">
        <v>-0.0005</v>
      </c>
      <c r="P154" s="18"/>
      <c r="Q154" s="453"/>
      <c r="R154" s="454"/>
      <c r="S154" s="386" t="str">
        <f t="shared" si="409"/>
        <v>2025//11//11</v>
      </c>
      <c r="T154" s="395">
        <v>5729377</v>
      </c>
      <c r="U154" s="395">
        <v>5738107</v>
      </c>
      <c r="V154" s="403">
        <v>-8730</v>
      </c>
      <c r="W154" s="404">
        <v>-0.0015</v>
      </c>
      <c r="X154" s="18"/>
      <c r="Y154" s="453"/>
      <c r="Z154" s="454"/>
      <c r="AA154" s="386" t="str">
        <f t="shared" si="410"/>
        <v>2025//11//11</v>
      </c>
      <c r="AB154" s="395">
        <v>1809897</v>
      </c>
      <c r="AC154" s="395">
        <v>1812097</v>
      </c>
      <c r="AD154" s="403">
        <v>-2200</v>
      </c>
      <c r="AE154" s="404">
        <v>-0.0012</v>
      </c>
      <c r="AF154" s="18"/>
      <c r="AG154" s="453"/>
      <c r="AH154" s="454"/>
      <c r="AI154" s="386" t="str">
        <f t="shared" si="411"/>
        <v>2025//11//11</v>
      </c>
      <c r="AJ154" s="395">
        <v>2466522</v>
      </c>
      <c r="AK154" s="386">
        <v>2469922</v>
      </c>
      <c r="AL154" s="403">
        <v>-3400</v>
      </c>
      <c r="AM154" s="404">
        <v>-0.0014</v>
      </c>
      <c r="AN154" s="18"/>
      <c r="AO154" s="18"/>
      <c r="AP154" s="454"/>
      <c r="AQ154" s="386" t="str">
        <f t="shared" si="412"/>
        <v>2025//11//11</v>
      </c>
      <c r="AR154" s="418">
        <v>3255045</v>
      </c>
      <c r="AS154" s="395">
        <v>3256445</v>
      </c>
      <c r="AT154" s="403">
        <v>-1400</v>
      </c>
      <c r="AU154" s="404">
        <v>-0.0004</v>
      </c>
      <c r="AV154" s="18"/>
      <c r="AW154" s="18"/>
      <c r="AX154" s="17"/>
      <c r="AY154" s="17"/>
      <c r="AZ154" s="17" t="str">
        <f t="shared" si="413"/>
        <v>2025//11//11</v>
      </c>
      <c r="BA154" s="17"/>
      <c r="BB154" s="17"/>
      <c r="BC154" s="17"/>
      <c r="BD154" s="18"/>
      <c r="BE154" s="18"/>
      <c r="BF154" s="18"/>
      <c r="BG154" s="74"/>
      <c r="BH154" s="387" t="str">
        <f t="shared" si="414"/>
        <v>2025//11//11</v>
      </c>
      <c r="BI154" s="387">
        <v>114627</v>
      </c>
      <c r="BJ154" s="387">
        <v>113527</v>
      </c>
      <c r="BK154" s="421">
        <v>1100</v>
      </c>
      <c r="BL154" s="422">
        <v>0.0097</v>
      </c>
      <c r="BM154" s="197"/>
      <c r="BN154" s="192"/>
      <c r="BO154" s="389"/>
      <c r="BP154" s="390" t="str">
        <f t="shared" si="415"/>
        <v>2025//11//11</v>
      </c>
      <c r="BQ154" s="392">
        <v>599662</v>
      </c>
      <c r="BR154" s="390">
        <v>594662</v>
      </c>
      <c r="BS154" s="416">
        <v>5000</v>
      </c>
      <c r="BT154" s="417">
        <v>0.0084</v>
      </c>
      <c r="BU154" s="192"/>
      <c r="BV154" s="192"/>
      <c r="BW154" s="389"/>
      <c r="BX154" s="390" t="str">
        <f t="shared" si="416"/>
        <v>2025//11//11</v>
      </c>
      <c r="BY154" s="390">
        <v>2358611</v>
      </c>
      <c r="BZ154" s="390">
        <v>2348111</v>
      </c>
      <c r="CA154" s="416">
        <v>10500</v>
      </c>
      <c r="CB154" s="417">
        <v>0.0045</v>
      </c>
      <c r="CC154" s="192"/>
      <c r="CD154" s="409"/>
      <c r="CE154" s="514"/>
      <c r="CF154" s="410" t="str">
        <f t="shared" si="417"/>
        <v>2025//11//11</v>
      </c>
      <c r="CG154" s="200">
        <v>963703.9</v>
      </c>
      <c r="CH154" s="200">
        <v>963303.9</v>
      </c>
      <c r="CI154" s="12">
        <f t="shared" si="457"/>
        <v>400</v>
      </c>
      <c r="CJ154" s="199">
        <f t="shared" si="458"/>
        <v>0.000415237600512154</v>
      </c>
      <c r="CK154" s="192"/>
      <c r="CL154" s="391"/>
      <c r="CM154" s="389"/>
      <c r="CN154" s="390" t="str">
        <f t="shared" si="418"/>
        <v>2025//11//11</v>
      </c>
      <c r="CO154" s="390">
        <v>108246</v>
      </c>
      <c r="CP154" s="390">
        <v>108646</v>
      </c>
      <c r="CQ154" s="12">
        <f t="shared" si="459"/>
        <v>-400</v>
      </c>
      <c r="CR154" s="199">
        <f t="shared" si="460"/>
        <v>-0.0036816817922427</v>
      </c>
      <c r="CS154" s="391"/>
      <c r="CT154" s="391"/>
      <c r="CU154" s="389"/>
      <c r="CV154" s="390" t="str">
        <f t="shared" si="419"/>
        <v>2025//11//11</v>
      </c>
      <c r="CW154" s="390">
        <v>683440</v>
      </c>
      <c r="CX154" s="390">
        <v>679740</v>
      </c>
      <c r="CY154" s="416">
        <v>3700</v>
      </c>
      <c r="CZ154" s="417">
        <v>0.0054</v>
      </c>
      <c r="DA154" s="192"/>
      <c r="DB154" s="192"/>
      <c r="DC154" s="277"/>
      <c r="DD154" s="390" t="str">
        <f t="shared" si="420"/>
        <v>2025//11//11</v>
      </c>
      <c r="DE154" s="390">
        <v>916118</v>
      </c>
      <c r="DF154" s="12">
        <f t="shared" si="461"/>
        <v>928518</v>
      </c>
      <c r="DG154" s="414">
        <v>-6200</v>
      </c>
      <c r="DH154" s="415">
        <v>-0.0134</v>
      </c>
      <c r="DI154" s="192"/>
      <c r="DJ154" s="192"/>
      <c r="DK154" s="389"/>
      <c r="DL154" s="390" t="str">
        <f t="shared" si="421"/>
        <v>2025//11//11</v>
      </c>
      <c r="DM154" s="390">
        <v>1529700</v>
      </c>
      <c r="DN154" s="390">
        <v>1535100</v>
      </c>
      <c r="DO154" s="414">
        <v>-5400</v>
      </c>
      <c r="DP154" s="415">
        <v>-0.0035</v>
      </c>
      <c r="DQ154" s="192"/>
      <c r="DR154" s="192"/>
      <c r="DS154" s="389"/>
      <c r="DT154" s="390" t="str">
        <f t="shared" si="422"/>
        <v>2025//11//11</v>
      </c>
      <c r="DU154" s="390">
        <v>1683989</v>
      </c>
      <c r="DV154" s="390">
        <v>1682189</v>
      </c>
      <c r="DW154" s="416">
        <v>1800</v>
      </c>
      <c r="DX154" s="417">
        <v>0.0011</v>
      </c>
      <c r="DY154" s="192"/>
      <c r="DZ154" s="192"/>
      <c r="EA154" s="389"/>
      <c r="EB154" s="390" t="str">
        <f t="shared" si="423"/>
        <v>2025//11//11</v>
      </c>
      <c r="EC154" s="390">
        <v>4946667</v>
      </c>
      <c r="ED154" s="390">
        <v>4933617</v>
      </c>
      <c r="EE154" s="416">
        <v>13050</v>
      </c>
      <c r="EF154" s="417">
        <v>0.0026</v>
      </c>
      <c r="EG154" s="192"/>
      <c r="EH154" s="192"/>
      <c r="EI154" s="389"/>
      <c r="EJ154" s="390" t="str">
        <f t="shared" si="424"/>
        <v>2025//11//11</v>
      </c>
      <c r="EK154" s="390">
        <v>1629523</v>
      </c>
      <c r="EL154" s="390">
        <v>1613723</v>
      </c>
      <c r="EM154" s="416">
        <v>15800</v>
      </c>
      <c r="EN154" s="417">
        <v>0.0098</v>
      </c>
      <c r="EO154" s="192"/>
      <c r="EP154" s="192"/>
      <c r="EQ154" s="192"/>
      <c r="ER154" s="8" t="str">
        <f t="shared" si="425"/>
        <v>2025//11//11</v>
      </c>
      <c r="ES154" s="192"/>
      <c r="ET154" s="192"/>
      <c r="EU154" s="192"/>
      <c r="EV154" s="192"/>
      <c r="EW154" s="192"/>
      <c r="EX154" s="192"/>
      <c r="EY154" s="389"/>
      <c r="EZ154" s="390" t="str">
        <f t="shared" si="426"/>
        <v>2025//11//11</v>
      </c>
      <c r="FA154" s="390">
        <v>1200808</v>
      </c>
      <c r="FB154" s="390">
        <v>1188008</v>
      </c>
      <c r="FC154" s="416">
        <v>12800</v>
      </c>
      <c r="FD154" s="417">
        <v>0.0108</v>
      </c>
      <c r="FE154" s="192"/>
      <c r="FF154" s="192"/>
      <c r="FG154" s="192"/>
      <c r="FH154" s="410" t="str">
        <f t="shared" si="427"/>
        <v>2025//11//11</v>
      </c>
      <c r="FI154" s="513">
        <v>123395.33</v>
      </c>
      <c r="FJ154" s="390">
        <f t="shared" si="465"/>
        <v>124195.33</v>
      </c>
      <c r="FK154" s="346">
        <f t="shared" si="466"/>
        <v>-800</v>
      </c>
      <c r="FL154" s="347">
        <f t="shared" si="467"/>
        <v>-0.00644146603580022</v>
      </c>
      <c r="FM154" s="516"/>
      <c r="FN154" s="516"/>
      <c r="FO154" s="389"/>
      <c r="FP154" s="390" t="str">
        <f t="shared" si="428"/>
        <v>2025//11//11</v>
      </c>
      <c r="FQ154" s="390">
        <v>2384219</v>
      </c>
      <c r="FR154" s="390">
        <v>2360369</v>
      </c>
      <c r="FS154" s="416">
        <v>23850</v>
      </c>
      <c r="FT154" s="417">
        <v>0.0101</v>
      </c>
      <c r="FU154" s="192"/>
      <c r="FV154" s="192"/>
      <c r="FW154" s="389"/>
      <c r="FX154" s="390" t="str">
        <f t="shared" si="429"/>
        <v>2025//11//11</v>
      </c>
      <c r="FY154" s="390">
        <v>7057882</v>
      </c>
      <c r="FZ154" s="390">
        <v>7039882</v>
      </c>
      <c r="GA154" s="416">
        <v>18000</v>
      </c>
      <c r="GB154" s="417">
        <v>0.0026</v>
      </c>
      <c r="GC154" s="192"/>
      <c r="GD154" s="192"/>
      <c r="GE154" s="389"/>
      <c r="GF154" s="390" t="str">
        <f t="shared" si="430"/>
        <v>2025//11//11</v>
      </c>
      <c r="GG154" s="390">
        <v>4328669</v>
      </c>
      <c r="GH154" s="390">
        <v>4294969</v>
      </c>
      <c r="GI154" s="416">
        <v>33700</v>
      </c>
      <c r="GJ154" s="417">
        <v>0.0078</v>
      </c>
      <c r="GK154" s="192"/>
      <c r="GL154" s="192"/>
      <c r="GM154" s="389"/>
      <c r="GN154" s="390" t="str">
        <f t="shared" si="431"/>
        <v>2025//11//11</v>
      </c>
      <c r="GO154" s="390">
        <v>1487578</v>
      </c>
      <c r="GP154" s="390">
        <v>1486978</v>
      </c>
      <c r="GQ154" s="416">
        <v>600</v>
      </c>
      <c r="GR154" s="417">
        <v>0.0004</v>
      </c>
      <c r="GS154" s="192"/>
      <c r="GT154" s="192"/>
      <c r="GU154" s="389"/>
      <c r="GV154" s="390" t="str">
        <f t="shared" si="432"/>
        <v>2025//11//11</v>
      </c>
      <c r="GW154" s="390">
        <v>1413549</v>
      </c>
      <c r="GX154" s="390">
        <v>1423149</v>
      </c>
      <c r="GY154" s="414">
        <v>-9600</v>
      </c>
      <c r="GZ154" s="415">
        <v>-0.0067</v>
      </c>
      <c r="HA154" s="192"/>
      <c r="HB154" s="192"/>
      <c r="HC154" s="389"/>
      <c r="HD154" s="390" t="str">
        <f t="shared" si="433"/>
        <v>2025//11//11</v>
      </c>
      <c r="HE154" s="390">
        <v>1405765</v>
      </c>
      <c r="HF154" s="390">
        <v>1410865</v>
      </c>
      <c r="HG154" s="414">
        <v>-5100</v>
      </c>
      <c r="HH154" s="415">
        <v>-0.0036</v>
      </c>
      <c r="HI154" s="391"/>
      <c r="HJ154" s="192"/>
      <c r="HK154" s="389"/>
      <c r="HL154" s="390" t="str">
        <f t="shared" si="434"/>
        <v>2025//11//11</v>
      </c>
      <c r="HM154" s="390">
        <v>211754</v>
      </c>
      <c r="HN154" s="390">
        <v>212904</v>
      </c>
      <c r="HO154" s="414">
        <v>-1150</v>
      </c>
      <c r="HP154" s="415">
        <v>-0.0054</v>
      </c>
      <c r="HQ154" s="192"/>
      <c r="HR154" s="192"/>
      <c r="HS154" s="389"/>
      <c r="HT154" s="390" t="str">
        <f t="shared" si="435"/>
        <v>2025//11//11</v>
      </c>
      <c r="HU154" s="390">
        <v>164069</v>
      </c>
      <c r="HV154" s="390">
        <v>164969</v>
      </c>
      <c r="HW154" s="414">
        <v>-900</v>
      </c>
      <c r="HX154" s="415">
        <v>-0.0055</v>
      </c>
      <c r="HY154" s="192"/>
      <c r="HZ154" s="192"/>
      <c r="IA154" s="389"/>
      <c r="IB154" s="390" t="str">
        <f t="shared" si="436"/>
        <v>2025//11//11</v>
      </c>
      <c r="IE154" s="390"/>
      <c r="IF154" s="391"/>
      <c r="IG154" s="192"/>
      <c r="IH154" s="192"/>
      <c r="II154" s="389"/>
      <c r="IJ154" s="390" t="str">
        <f t="shared" si="437"/>
        <v>2025//11//11</v>
      </c>
      <c r="IK154" s="390">
        <v>435436</v>
      </c>
      <c r="IL154" s="390">
        <v>439996</v>
      </c>
      <c r="IM154" s="414">
        <v>-4560</v>
      </c>
      <c r="IN154" s="415">
        <v>-0.0104</v>
      </c>
      <c r="IO154" s="192"/>
      <c r="IP154" s="192"/>
      <c r="IQ154" s="389"/>
      <c r="IR154" s="390" t="str">
        <f t="shared" si="438"/>
        <v>2025//11//11</v>
      </c>
      <c r="IS154" s="390">
        <v>121689</v>
      </c>
      <c r="IT154" s="390">
        <v>121689</v>
      </c>
      <c r="IU154" s="410">
        <v>0</v>
      </c>
      <c r="IV154" s="409">
        <v>0</v>
      </c>
      <c r="IW154" s="192"/>
      <c r="IX154" s="192"/>
      <c r="IY154" s="389"/>
      <c r="IZ154" s="390" t="str">
        <f t="shared" si="439"/>
        <v>2025//11//11</v>
      </c>
      <c r="JA154" s="390">
        <v>5041729</v>
      </c>
      <c r="JB154" s="390">
        <v>4996629</v>
      </c>
      <c r="JC154" s="416">
        <v>45100</v>
      </c>
      <c r="JD154" s="417">
        <v>0.009</v>
      </c>
      <c r="JE154" s="192"/>
      <c r="JF154" s="192"/>
      <c r="JG154" s="389"/>
      <c r="JH154" s="390" t="str">
        <f t="shared" si="440"/>
        <v>2025//11//11</v>
      </c>
      <c r="JI154" s="390">
        <v>2446828</v>
      </c>
      <c r="JJ154" s="390">
        <v>2441428</v>
      </c>
      <c r="JK154" s="416">
        <v>5400</v>
      </c>
      <c r="JL154" s="417">
        <v>0.0022</v>
      </c>
      <c r="JM154" s="192"/>
      <c r="JN154" s="192"/>
      <c r="JO154" s="192"/>
      <c r="JP154" s="390" t="str">
        <f t="shared" si="441"/>
        <v>2025//11//11</v>
      </c>
      <c r="JQ154" s="390">
        <v>1247290</v>
      </c>
      <c r="JR154" s="390">
        <v>1240890</v>
      </c>
      <c r="JS154" s="416">
        <v>6400</v>
      </c>
      <c r="JT154" s="417">
        <v>0.0052</v>
      </c>
      <c r="JU154" s="192"/>
      <c r="JV154" s="192"/>
      <c r="JW154" s="409"/>
      <c r="JX154" s="390" t="str">
        <f t="shared" si="442"/>
        <v>2025//11//11</v>
      </c>
      <c r="JY154" s="390">
        <v>1511749</v>
      </c>
      <c r="JZ154" s="390">
        <v>1511649</v>
      </c>
      <c r="KA154" s="416">
        <v>100</v>
      </c>
      <c r="KB154" s="417">
        <v>0.0001</v>
      </c>
      <c r="KC154" s="192"/>
      <c r="KD154" s="192"/>
      <c r="KE154" s="409"/>
      <c r="KF154" s="390" t="str">
        <f t="shared" si="443"/>
        <v>2025//11//11</v>
      </c>
      <c r="KG154" s="390">
        <v>935556</v>
      </c>
      <c r="KH154" s="390">
        <v>935556</v>
      </c>
      <c r="KI154" s="410">
        <v>0</v>
      </c>
      <c r="KJ154" s="409">
        <v>0</v>
      </c>
      <c r="KK154" s="391"/>
      <c r="KL154" s="391"/>
      <c r="KM154" s="389"/>
      <c r="KN154" s="390" t="str">
        <f t="shared" si="444"/>
        <v>2025//11//11</v>
      </c>
      <c r="KO154" s="390">
        <v>5888076</v>
      </c>
      <c r="KP154" s="390">
        <v>5887876</v>
      </c>
      <c r="KQ154" s="416">
        <v>200</v>
      </c>
      <c r="KR154" s="409">
        <v>0</v>
      </c>
      <c r="KS154" s="192"/>
      <c r="KT154" s="192"/>
      <c r="KV154" s="8" t="str">
        <f t="shared" si="445"/>
        <v>2025//11//11</v>
      </c>
      <c r="KZ154" s="192"/>
      <c r="LA154" s="192"/>
      <c r="LB154" s="192"/>
      <c r="LC154" s="389"/>
      <c r="LD154" s="390" t="str">
        <f t="shared" si="446"/>
        <v>2025//11//11</v>
      </c>
      <c r="LE154" s="390">
        <v>495958</v>
      </c>
      <c r="LF154" s="390">
        <v>498608</v>
      </c>
      <c r="LG154" s="414">
        <v>-2650</v>
      </c>
      <c r="LH154" s="415">
        <v>-0.0053</v>
      </c>
      <c r="LI154" s="192"/>
      <c r="LJ154" s="192"/>
      <c r="LK154" s="389"/>
      <c r="LL154" s="390" t="str">
        <f t="shared" si="447"/>
        <v>2025//11//11</v>
      </c>
      <c r="LM154" s="392">
        <v>3509575</v>
      </c>
      <c r="LN154" s="390">
        <v>3468535</v>
      </c>
      <c r="LO154" s="416">
        <v>41040</v>
      </c>
      <c r="LP154" s="417">
        <v>0.0118</v>
      </c>
      <c r="LQ154" s="192"/>
      <c r="LR154" s="192"/>
      <c r="LS154" s="389"/>
      <c r="LT154" s="390" t="str">
        <f t="shared" si="448"/>
        <v>2025//11//11</v>
      </c>
      <c r="LU154" s="390">
        <v>2639063</v>
      </c>
      <c r="LV154" s="390">
        <v>2607863</v>
      </c>
      <c r="LW154" s="416">
        <v>31200</v>
      </c>
      <c r="LX154" s="417">
        <v>0.012</v>
      </c>
      <c r="LY154" s="192"/>
      <c r="LZ154" s="192"/>
      <c r="MA154" s="389"/>
      <c r="MB154" s="390" t="str">
        <f t="shared" si="449"/>
        <v>2025//11//11</v>
      </c>
      <c r="MC154" s="390">
        <v>1052868</v>
      </c>
      <c r="MD154" s="390">
        <v>1057868</v>
      </c>
      <c r="ME154" s="414">
        <v>-5000</v>
      </c>
      <c r="MF154" s="415">
        <v>-0.0047</v>
      </c>
      <c r="MG154" s="192"/>
      <c r="MH154" s="192"/>
      <c r="MI154" s="389"/>
      <c r="MJ154" s="389"/>
      <c r="MK154" s="390" t="str">
        <f t="shared" si="450"/>
        <v>2025//11//11</v>
      </c>
      <c r="ML154" s="389"/>
      <c r="MM154" s="203"/>
      <c r="MN154" s="389"/>
      <c r="MO154" s="391"/>
      <c r="MP154" s="391"/>
      <c r="MQ154" s="391"/>
      <c r="MR154" s="391"/>
      <c r="MS154" s="391"/>
      <c r="MT154" s="26" t="str">
        <f t="shared" si="451"/>
        <v>2025//11//11</v>
      </c>
      <c r="MX154" s="192"/>
      <c r="MY154" s="192"/>
      <c r="MZ154" s="192"/>
      <c r="NA154" s="192"/>
      <c r="NB154" s="192"/>
      <c r="NC154" s="8" t="str">
        <f t="shared" si="452"/>
        <v>2025//11//11</v>
      </c>
      <c r="NG154" s="192"/>
      <c r="NH154" s="192"/>
      <c r="NI154" s="192"/>
      <c r="NJ154" s="192"/>
      <c r="NK154" s="192"/>
      <c r="NL154" s="8"/>
      <c r="NM154" s="8" t="str">
        <f t="shared" si="453"/>
        <v>2025//11//11</v>
      </c>
      <c r="NQ154" s="192"/>
      <c r="NR154" s="192"/>
      <c r="NS154" s="8"/>
      <c r="NU154" s="8" t="str">
        <f t="shared" si="454"/>
        <v>2025//11//11</v>
      </c>
      <c r="NV154" s="389"/>
      <c r="NW154" s="389"/>
      <c r="NX154" s="389"/>
      <c r="NY154" s="391"/>
      <c r="NZ154" s="391"/>
      <c r="OA154" s="389"/>
      <c r="OB154" s="389"/>
      <c r="OC154" s="390" t="str">
        <f t="shared" si="455"/>
        <v>2025//11//11</v>
      </c>
      <c r="OD154" s="390">
        <v>17099</v>
      </c>
      <c r="OE154" s="390">
        <v>17256</v>
      </c>
      <c r="OF154" s="414">
        <v>-157</v>
      </c>
      <c r="OG154" s="415">
        <v>-0.0091</v>
      </c>
      <c r="OH154" s="192"/>
      <c r="OI154" s="192"/>
      <c r="OJ154" s="389"/>
      <c r="OK154" s="390" t="str">
        <f t="shared" si="456"/>
        <v>2025//11//11</v>
      </c>
      <c r="OO154" s="192"/>
      <c r="OP154" s="192"/>
      <c r="OQ154" s="192"/>
      <c r="OT154" s="26" t="str">
        <f t="shared" si="407"/>
        <v>2025//11//11</v>
      </c>
      <c r="OU154" s="206">
        <v>132672.4066</v>
      </c>
      <c r="OV154" s="8">
        <f t="shared" si="462"/>
        <v>132552.4066</v>
      </c>
      <c r="OW154" s="191">
        <f t="shared" si="463"/>
        <v>120</v>
      </c>
      <c r="OX154" s="192">
        <f t="shared" si="464"/>
        <v>0.00090530231082202</v>
      </c>
    </row>
    <row r="155" s="8" customFormat="1" ht="17" customHeight="1" spans="1:414">
      <c r="A155" s="15"/>
      <c r="B155" s="15"/>
      <c r="C155" s="385" t="s">
        <v>584</v>
      </c>
      <c r="D155" s="395">
        <v>8920219</v>
      </c>
      <c r="E155" s="395">
        <v>8920129</v>
      </c>
      <c r="F155" s="459">
        <v>90</v>
      </c>
      <c r="G155" s="507">
        <v>0</v>
      </c>
      <c r="H155" s="18"/>
      <c r="I155" s="453"/>
      <c r="J155" s="453"/>
      <c r="K155" s="386" t="str">
        <f t="shared" si="408"/>
        <v>2025//11//10</v>
      </c>
      <c r="L155" s="395">
        <v>6665374</v>
      </c>
      <c r="M155" s="395">
        <v>6666544</v>
      </c>
      <c r="N155" s="403">
        <v>-1170</v>
      </c>
      <c r="O155" s="404">
        <v>-0.0002</v>
      </c>
      <c r="P155" s="18"/>
      <c r="Q155" s="453"/>
      <c r="R155" s="454"/>
      <c r="S155" s="386" t="str">
        <f t="shared" si="409"/>
        <v>2025//11//10</v>
      </c>
      <c r="T155" s="395">
        <v>5738107</v>
      </c>
      <c r="U155" s="395">
        <v>5739007</v>
      </c>
      <c r="V155" s="403">
        <v>-900</v>
      </c>
      <c r="W155" s="404">
        <v>-0.0002</v>
      </c>
      <c r="X155" s="18"/>
      <c r="Y155" s="453"/>
      <c r="Z155" s="454"/>
      <c r="AA155" s="386" t="str">
        <f t="shared" si="410"/>
        <v>2025//11//10</v>
      </c>
      <c r="AB155" s="395">
        <v>1812097</v>
      </c>
      <c r="AC155" s="395">
        <v>1813017</v>
      </c>
      <c r="AD155" s="403">
        <v>-920</v>
      </c>
      <c r="AE155" s="404">
        <v>-0.0005</v>
      </c>
      <c r="AF155" s="18"/>
      <c r="AG155" s="453"/>
      <c r="AH155" s="454"/>
      <c r="AI155" s="386" t="str">
        <f t="shared" si="411"/>
        <v>2025//11//10</v>
      </c>
      <c r="AJ155" s="395">
        <v>2469922</v>
      </c>
      <c r="AK155" s="386">
        <v>2472322</v>
      </c>
      <c r="AL155" s="403">
        <v>-2400</v>
      </c>
      <c r="AM155" s="404">
        <v>-0.001</v>
      </c>
      <c r="AN155" s="18"/>
      <c r="AO155" s="18"/>
      <c r="AP155" s="454"/>
      <c r="AQ155" s="386" t="str">
        <f t="shared" si="412"/>
        <v>2025//11//10</v>
      </c>
      <c r="AR155" s="418">
        <v>3256445</v>
      </c>
      <c r="AS155" s="395">
        <v>3227745</v>
      </c>
      <c r="AT155" s="459">
        <v>28700</v>
      </c>
      <c r="AU155" s="460">
        <v>0.0089</v>
      </c>
      <c r="AV155" s="18"/>
      <c r="AW155" s="18"/>
      <c r="AX155" s="17"/>
      <c r="AY155" s="17"/>
      <c r="AZ155" s="17" t="str">
        <f t="shared" si="413"/>
        <v>2025//11//10</v>
      </c>
      <c r="BA155" s="17"/>
      <c r="BB155" s="17"/>
      <c r="BC155" s="17"/>
      <c r="BD155" s="18"/>
      <c r="BE155" s="18"/>
      <c r="BF155" s="18"/>
      <c r="BG155" s="74"/>
      <c r="BH155" s="387" t="str">
        <f t="shared" si="414"/>
        <v>2025//11//10</v>
      </c>
      <c r="BI155" s="387">
        <v>113527</v>
      </c>
      <c r="BJ155" s="387">
        <v>108127</v>
      </c>
      <c r="BK155" s="421">
        <v>5400</v>
      </c>
      <c r="BL155" s="422">
        <v>0.0499</v>
      </c>
      <c r="BM155" s="197"/>
      <c r="BN155" s="192"/>
      <c r="BO155" s="389"/>
      <c r="BP155" s="390" t="str">
        <f t="shared" si="415"/>
        <v>2025//11//10</v>
      </c>
      <c r="BQ155" s="392">
        <v>594662</v>
      </c>
      <c r="BR155" s="390">
        <v>604962</v>
      </c>
      <c r="BS155" s="414">
        <v>-10300</v>
      </c>
      <c r="BT155" s="415">
        <v>-0.017</v>
      </c>
      <c r="BU155" s="192"/>
      <c r="BV155" s="192"/>
      <c r="BW155" s="389"/>
      <c r="BX155" s="390" t="str">
        <f t="shared" si="416"/>
        <v>2025//11//10</v>
      </c>
      <c r="BY155" s="390">
        <v>2348111</v>
      </c>
      <c r="BZ155" s="390">
        <v>2291511</v>
      </c>
      <c r="CA155" s="416">
        <v>56600</v>
      </c>
      <c r="CB155" s="417">
        <v>0.0247</v>
      </c>
      <c r="CC155" s="192"/>
      <c r="CD155" s="409"/>
      <c r="CE155" s="514"/>
      <c r="CF155" s="410" t="str">
        <f t="shared" si="417"/>
        <v>2025//11//10</v>
      </c>
      <c r="CG155" s="200">
        <v>963303.9</v>
      </c>
      <c r="CH155" s="200">
        <v>969553.9</v>
      </c>
      <c r="CI155" s="12">
        <f t="shared" si="457"/>
        <v>-6250</v>
      </c>
      <c r="CJ155" s="199">
        <f t="shared" si="458"/>
        <v>-0.00644626358575836</v>
      </c>
      <c r="CK155" s="192"/>
      <c r="CL155" s="391"/>
      <c r="CM155" s="389"/>
      <c r="CN155" s="390" t="str">
        <f t="shared" si="418"/>
        <v>2025//11//10</v>
      </c>
      <c r="CO155" s="390">
        <v>108646</v>
      </c>
      <c r="CP155" s="390">
        <v>110446</v>
      </c>
      <c r="CQ155" s="12">
        <f t="shared" si="459"/>
        <v>-1800</v>
      </c>
      <c r="CR155" s="199">
        <f t="shared" si="460"/>
        <v>-0.0162975571772631</v>
      </c>
      <c r="CS155" s="391"/>
      <c r="CT155" s="391"/>
      <c r="CU155" s="389"/>
      <c r="CV155" s="390" t="str">
        <f t="shared" si="419"/>
        <v>2025//11//10</v>
      </c>
      <c r="CW155" s="390">
        <v>679740</v>
      </c>
      <c r="CX155" s="390">
        <v>679240</v>
      </c>
      <c r="CY155" s="416">
        <v>500</v>
      </c>
      <c r="CZ155" s="417">
        <v>0.0007</v>
      </c>
      <c r="DA155" s="192"/>
      <c r="DB155" s="192"/>
      <c r="DC155" s="277"/>
      <c r="DD155" s="390" t="str">
        <f t="shared" si="420"/>
        <v>2025//11//10</v>
      </c>
      <c r="DE155" s="390">
        <v>928518</v>
      </c>
      <c r="DF155" s="12">
        <f t="shared" si="461"/>
        <v>962718</v>
      </c>
      <c r="DG155" s="414">
        <v>-17100</v>
      </c>
      <c r="DH155" s="415">
        <v>-0.0355</v>
      </c>
      <c r="DI155" s="192"/>
      <c r="DJ155" s="192"/>
      <c r="DK155" s="389"/>
      <c r="DL155" s="390" t="str">
        <f t="shared" si="421"/>
        <v>2025//11//10</v>
      </c>
      <c r="DM155" s="390">
        <v>1535100</v>
      </c>
      <c r="DN155" s="390">
        <v>1533300</v>
      </c>
      <c r="DO155" s="416">
        <v>1800</v>
      </c>
      <c r="DP155" s="417">
        <v>0.0012</v>
      </c>
      <c r="DQ155" s="192"/>
      <c r="DR155" s="192"/>
      <c r="DS155" s="389"/>
      <c r="DT155" s="390" t="str">
        <f t="shared" si="422"/>
        <v>2025//11//10</v>
      </c>
      <c r="DU155" s="390">
        <v>1682189</v>
      </c>
      <c r="DV155" s="390">
        <v>1683989</v>
      </c>
      <c r="DW155" s="414">
        <v>-1800</v>
      </c>
      <c r="DX155" s="415">
        <v>-0.0011</v>
      </c>
      <c r="DY155" s="192"/>
      <c r="DZ155" s="192"/>
      <c r="EA155" s="389"/>
      <c r="EB155" s="390" t="str">
        <f t="shared" si="423"/>
        <v>2025//11//10</v>
      </c>
      <c r="EC155" s="390">
        <v>4933617</v>
      </c>
      <c r="ED155" s="390">
        <v>4901217</v>
      </c>
      <c r="EE155" s="416">
        <v>32400</v>
      </c>
      <c r="EF155" s="417">
        <v>0.0066</v>
      </c>
      <c r="EG155" s="192"/>
      <c r="EH155" s="192"/>
      <c r="EI155" s="389"/>
      <c r="EJ155" s="390" t="str">
        <f t="shared" si="424"/>
        <v>2025//11//10</v>
      </c>
      <c r="EK155" s="390">
        <v>1613723</v>
      </c>
      <c r="EL155" s="390">
        <v>1598923</v>
      </c>
      <c r="EM155" s="416">
        <v>14800</v>
      </c>
      <c r="EN155" s="417">
        <v>0.0093</v>
      </c>
      <c r="EO155" s="192"/>
      <c r="EP155" s="192"/>
      <c r="EQ155" s="192"/>
      <c r="ER155" s="8" t="str">
        <f t="shared" si="425"/>
        <v>2025//11//10</v>
      </c>
      <c r="ES155" s="192"/>
      <c r="ET155" s="192"/>
      <c r="EU155" s="192"/>
      <c r="EV155" s="192"/>
      <c r="EW155" s="192"/>
      <c r="EX155" s="192"/>
      <c r="EY155" s="389"/>
      <c r="EZ155" s="390" t="str">
        <f t="shared" si="426"/>
        <v>2025//11//10</v>
      </c>
      <c r="FA155" s="390">
        <v>1188008</v>
      </c>
      <c r="FB155" s="390">
        <v>1190008</v>
      </c>
      <c r="FC155" s="414">
        <v>-2000</v>
      </c>
      <c r="FD155" s="415">
        <v>-0.0017</v>
      </c>
      <c r="FE155" s="192"/>
      <c r="FF155" s="192"/>
      <c r="FG155" s="192"/>
      <c r="FH155" s="410" t="str">
        <f t="shared" si="427"/>
        <v>2025//11//10</v>
      </c>
      <c r="FI155" s="513">
        <v>124195.33</v>
      </c>
      <c r="FJ155" s="390">
        <f t="shared" si="465"/>
        <v>124195.33</v>
      </c>
      <c r="FK155" s="8">
        <f t="shared" si="466"/>
        <v>0</v>
      </c>
      <c r="FL155" s="192">
        <f t="shared" si="467"/>
        <v>0</v>
      </c>
      <c r="FM155" s="516"/>
      <c r="FN155" s="516"/>
      <c r="FO155" s="389"/>
      <c r="FP155" s="390" t="str">
        <f t="shared" si="428"/>
        <v>2025//11//10</v>
      </c>
      <c r="FQ155" s="390">
        <v>2360369</v>
      </c>
      <c r="FR155" s="390">
        <v>2323319</v>
      </c>
      <c r="FS155" s="416">
        <v>37050</v>
      </c>
      <c r="FT155" s="417">
        <v>0.0159</v>
      </c>
      <c r="FU155" s="192"/>
      <c r="FV155" s="192"/>
      <c r="FW155" s="389"/>
      <c r="FX155" s="390" t="str">
        <f t="shared" si="429"/>
        <v>2025//11//10</v>
      </c>
      <c r="FY155" s="390">
        <v>7039882</v>
      </c>
      <c r="FZ155" s="390">
        <v>7053682</v>
      </c>
      <c r="GA155" s="414">
        <v>-13800</v>
      </c>
      <c r="GB155" s="415">
        <v>-0.002</v>
      </c>
      <c r="GC155" s="192"/>
      <c r="GD155" s="192"/>
      <c r="GE155" s="389"/>
      <c r="GF155" s="390" t="str">
        <f t="shared" si="430"/>
        <v>2025//11//10</v>
      </c>
      <c r="GG155" s="390">
        <v>4294969</v>
      </c>
      <c r="GH155" s="390">
        <v>4274269</v>
      </c>
      <c r="GI155" s="416">
        <v>20700</v>
      </c>
      <c r="GJ155" s="417">
        <v>0.0048</v>
      </c>
      <c r="GK155" s="192"/>
      <c r="GL155" s="192"/>
      <c r="GM155" s="389"/>
      <c r="GN155" s="390" t="str">
        <f t="shared" si="431"/>
        <v>2025//11//10</v>
      </c>
      <c r="GO155" s="390">
        <v>1486978</v>
      </c>
      <c r="GP155" s="390">
        <v>1480438</v>
      </c>
      <c r="GQ155" s="416">
        <v>6540</v>
      </c>
      <c r="GR155" s="417">
        <v>0.0044</v>
      </c>
      <c r="GS155" s="192"/>
      <c r="GT155" s="192"/>
      <c r="GU155" s="389"/>
      <c r="GV155" s="390" t="str">
        <f t="shared" si="432"/>
        <v>2025//11//10</v>
      </c>
      <c r="GW155" s="390">
        <v>1423149</v>
      </c>
      <c r="GX155" s="390">
        <v>1404749</v>
      </c>
      <c r="GY155" s="416">
        <v>18400</v>
      </c>
      <c r="GZ155" s="417">
        <v>0.0131</v>
      </c>
      <c r="HA155" s="192"/>
      <c r="HB155" s="192"/>
      <c r="HC155" s="389"/>
      <c r="HD155" s="390" t="str">
        <f t="shared" si="433"/>
        <v>2025//11//10</v>
      </c>
      <c r="HE155" s="390">
        <v>1410865</v>
      </c>
      <c r="HF155" s="390">
        <v>1477565</v>
      </c>
      <c r="HG155" s="414">
        <v>-66700</v>
      </c>
      <c r="HH155" s="415">
        <v>-0.0451</v>
      </c>
      <c r="HI155" s="391"/>
      <c r="HJ155" s="192"/>
      <c r="HK155" s="389"/>
      <c r="HL155" s="390" t="str">
        <f t="shared" si="434"/>
        <v>2025//11//10</v>
      </c>
      <c r="HM155" s="390">
        <v>212904</v>
      </c>
      <c r="HN155" s="390">
        <v>212804</v>
      </c>
      <c r="HO155" s="416">
        <v>100</v>
      </c>
      <c r="HP155" s="417">
        <v>0.0005</v>
      </c>
      <c r="HQ155" s="192"/>
      <c r="HR155" s="192"/>
      <c r="HS155" s="389"/>
      <c r="HT155" s="390" t="str">
        <f t="shared" si="435"/>
        <v>2025//11//10</v>
      </c>
      <c r="HU155" s="390">
        <v>164969</v>
      </c>
      <c r="HV155" s="390">
        <v>164969</v>
      </c>
      <c r="HW155" s="410">
        <v>0</v>
      </c>
      <c r="HX155" s="409">
        <v>0</v>
      </c>
      <c r="HY155" s="192"/>
      <c r="HZ155" s="192"/>
      <c r="IA155" s="389"/>
      <c r="IB155" s="390" t="str">
        <f t="shared" si="436"/>
        <v>2025//11//10</v>
      </c>
      <c r="IE155" s="390"/>
      <c r="IF155" s="391"/>
      <c r="IG155" s="192"/>
      <c r="IH155" s="192"/>
      <c r="II155" s="389"/>
      <c r="IJ155" s="390" t="str">
        <f t="shared" si="437"/>
        <v>2025//11//10</v>
      </c>
      <c r="IK155" s="390">
        <v>439996</v>
      </c>
      <c r="IL155" s="390">
        <v>439436</v>
      </c>
      <c r="IM155" s="416">
        <v>560</v>
      </c>
      <c r="IN155" s="417">
        <v>0.0013</v>
      </c>
      <c r="IO155" s="192"/>
      <c r="IP155" s="192"/>
      <c r="IQ155" s="389"/>
      <c r="IR155" s="390" t="str">
        <f t="shared" si="438"/>
        <v>2025//11//10</v>
      </c>
      <c r="IS155" s="390">
        <v>121689</v>
      </c>
      <c r="IT155" s="390">
        <v>122489</v>
      </c>
      <c r="IU155" s="414">
        <v>-800</v>
      </c>
      <c r="IV155" s="415">
        <v>-0.0065</v>
      </c>
      <c r="IW155" s="192"/>
      <c r="IX155" s="192"/>
      <c r="IY155" s="389"/>
      <c r="IZ155" s="390" t="str">
        <f t="shared" si="439"/>
        <v>2025//11//10</v>
      </c>
      <c r="JA155" s="390">
        <v>4996629</v>
      </c>
      <c r="JB155" s="390">
        <v>5128029</v>
      </c>
      <c r="JC155" s="414">
        <v>-131400</v>
      </c>
      <c r="JD155" s="415">
        <v>-0.0256</v>
      </c>
      <c r="JE155" s="192"/>
      <c r="JF155" s="192"/>
      <c r="JG155" s="389"/>
      <c r="JH155" s="390" t="str">
        <f t="shared" si="440"/>
        <v>2025//11//10</v>
      </c>
      <c r="JI155" s="390">
        <v>2441428</v>
      </c>
      <c r="JJ155" s="390">
        <v>2461888</v>
      </c>
      <c r="JK155" s="414">
        <v>-20460</v>
      </c>
      <c r="JL155" s="415">
        <v>-0.0083</v>
      </c>
      <c r="JM155" s="192"/>
      <c r="JN155" s="192"/>
      <c r="JO155" s="192"/>
      <c r="JP155" s="390" t="str">
        <f t="shared" si="441"/>
        <v>2025//11//10</v>
      </c>
      <c r="JQ155" s="390">
        <v>1240890</v>
      </c>
      <c r="JR155" s="390">
        <v>1249090</v>
      </c>
      <c r="JS155" s="414">
        <v>-8200</v>
      </c>
      <c r="JT155" s="415">
        <v>-0.0066</v>
      </c>
      <c r="JU155" s="192"/>
      <c r="JV155" s="192"/>
      <c r="JW155" s="409"/>
      <c r="JX155" s="390" t="str">
        <f t="shared" si="442"/>
        <v>2025//11//10</v>
      </c>
      <c r="JY155" s="390">
        <v>1511649</v>
      </c>
      <c r="JZ155" s="390">
        <v>1513099</v>
      </c>
      <c r="KA155" s="414">
        <v>-1450</v>
      </c>
      <c r="KB155" s="415">
        <v>-0.001</v>
      </c>
      <c r="KC155" s="192"/>
      <c r="KD155" s="192"/>
      <c r="KE155" s="409"/>
      <c r="KF155" s="390" t="str">
        <f t="shared" si="443"/>
        <v>2025//11//10</v>
      </c>
      <c r="KG155" s="390">
        <v>935556</v>
      </c>
      <c r="KH155" s="390">
        <v>935756</v>
      </c>
      <c r="KI155" s="414">
        <v>-200</v>
      </c>
      <c r="KJ155" s="415">
        <v>-0.0002</v>
      </c>
      <c r="KK155" s="391"/>
      <c r="KL155" s="391"/>
      <c r="KM155" s="389"/>
      <c r="KN155" s="390" t="str">
        <f t="shared" si="444"/>
        <v>2025//11//10</v>
      </c>
      <c r="KO155" s="390">
        <v>5887876</v>
      </c>
      <c r="KP155" s="390">
        <v>5887776</v>
      </c>
      <c r="KQ155" s="416">
        <v>100</v>
      </c>
      <c r="KR155" s="409">
        <v>0</v>
      </c>
      <c r="KS155" s="192"/>
      <c r="KT155" s="192"/>
      <c r="KV155" s="8" t="str">
        <f t="shared" si="445"/>
        <v>2025//11//10</v>
      </c>
      <c r="KZ155" s="192"/>
      <c r="LA155" s="192"/>
      <c r="LB155" s="192"/>
      <c r="LC155" s="389"/>
      <c r="LD155" s="390" t="str">
        <f t="shared" si="446"/>
        <v>2025//11//10</v>
      </c>
      <c r="LE155" s="390">
        <v>498608</v>
      </c>
      <c r="LF155" s="390">
        <v>502658</v>
      </c>
      <c r="LG155" s="414">
        <v>-4050</v>
      </c>
      <c r="LH155" s="415">
        <v>-0.0081</v>
      </c>
      <c r="LI155" s="192"/>
      <c r="LJ155" s="192"/>
      <c r="LK155" s="389"/>
      <c r="LL155" s="390" t="str">
        <f t="shared" si="447"/>
        <v>2025//11//10</v>
      </c>
      <c r="LM155" s="392">
        <v>3468535</v>
      </c>
      <c r="LN155" s="390">
        <v>3639355</v>
      </c>
      <c r="LO155" s="414">
        <v>-170820</v>
      </c>
      <c r="LP155" s="415">
        <v>-0.0469</v>
      </c>
      <c r="LQ155" s="192"/>
      <c r="LR155" s="192"/>
      <c r="LS155" s="389"/>
      <c r="LT155" s="390" t="str">
        <f t="shared" si="448"/>
        <v>2025//11//10</v>
      </c>
      <c r="LU155" s="390">
        <v>2607863</v>
      </c>
      <c r="LV155" s="390">
        <v>2545063</v>
      </c>
      <c r="LW155" s="416">
        <v>62800</v>
      </c>
      <c r="LX155" s="417">
        <v>0.0247</v>
      </c>
      <c r="LY155" s="192"/>
      <c r="LZ155" s="192"/>
      <c r="MA155" s="389"/>
      <c r="MB155" s="390" t="str">
        <f t="shared" si="449"/>
        <v>2025//11//10</v>
      </c>
      <c r="MC155" s="390">
        <v>1057868</v>
      </c>
      <c r="MD155" s="390">
        <v>1059718</v>
      </c>
      <c r="ME155" s="414">
        <v>-1850</v>
      </c>
      <c r="MF155" s="415">
        <v>-0.0017</v>
      </c>
      <c r="MG155" s="192"/>
      <c r="MH155" s="192"/>
      <c r="MI155" s="389"/>
      <c r="MJ155" s="389"/>
      <c r="MK155" s="390" t="str">
        <f t="shared" si="450"/>
        <v>2025//11//10</v>
      </c>
      <c r="ML155" s="389"/>
      <c r="MM155" s="203"/>
      <c r="MN155" s="389"/>
      <c r="MO155" s="391"/>
      <c r="MP155" s="391"/>
      <c r="MQ155" s="391"/>
      <c r="MR155" s="391"/>
      <c r="MS155" s="391"/>
      <c r="MT155" s="26" t="str">
        <f t="shared" si="451"/>
        <v>2025//11//10</v>
      </c>
      <c r="MX155" s="192"/>
      <c r="MY155" s="192"/>
      <c r="MZ155" s="192"/>
      <c r="NA155" s="192"/>
      <c r="NB155" s="192"/>
      <c r="NC155" s="8" t="str">
        <f t="shared" si="452"/>
        <v>2025//11//10</v>
      </c>
      <c r="NG155" s="192"/>
      <c r="NH155" s="192"/>
      <c r="NI155" s="192"/>
      <c r="NJ155" s="192"/>
      <c r="NK155" s="192"/>
      <c r="NL155" s="8"/>
      <c r="NM155" s="8" t="str">
        <f t="shared" si="453"/>
        <v>2025//11//10</v>
      </c>
      <c r="NQ155" s="192"/>
      <c r="NR155" s="192"/>
      <c r="NS155" s="8"/>
      <c r="NU155" s="8" t="str">
        <f t="shared" si="454"/>
        <v>2025//11//10</v>
      </c>
      <c r="NV155" s="389"/>
      <c r="NW155" s="389"/>
      <c r="NX155" s="389"/>
      <c r="NY155" s="391"/>
      <c r="NZ155" s="391"/>
      <c r="OA155" s="389"/>
      <c r="OB155" s="389"/>
      <c r="OC155" s="390" t="str">
        <f t="shared" si="455"/>
        <v>2025//11//10</v>
      </c>
      <c r="OD155" s="390">
        <v>17256</v>
      </c>
      <c r="OE155" s="390">
        <v>17328</v>
      </c>
      <c r="OF155" s="414">
        <v>-72</v>
      </c>
      <c r="OG155" s="415">
        <v>-0.0042</v>
      </c>
      <c r="OH155" s="192"/>
      <c r="OI155" s="192"/>
      <c r="OJ155" s="389"/>
      <c r="OK155" s="390" t="str">
        <f t="shared" si="456"/>
        <v>2025//11//10</v>
      </c>
      <c r="OO155" s="192"/>
      <c r="OP155" s="192"/>
      <c r="OQ155" s="192"/>
      <c r="OT155" s="26" t="str">
        <f t="shared" si="407"/>
        <v>2025//11//10</v>
      </c>
      <c r="OU155" s="206">
        <v>132552.4066</v>
      </c>
      <c r="OV155" s="8">
        <f t="shared" si="462"/>
        <v>132432.4066</v>
      </c>
      <c r="OW155" s="191">
        <f t="shared" si="463"/>
        <v>120</v>
      </c>
      <c r="OX155" s="192">
        <f t="shared" si="464"/>
        <v>0.000906122625728981</v>
      </c>
    </row>
    <row r="156" s="8" customFormat="1" ht="17" customHeight="1" spans="1:414">
      <c r="A156" s="15"/>
      <c r="B156" s="15"/>
      <c r="C156" s="385" t="s">
        <v>585</v>
      </c>
      <c r="D156" s="395">
        <v>8920129</v>
      </c>
      <c r="E156" s="395">
        <v>8936599</v>
      </c>
      <c r="F156" s="403">
        <v>-16470</v>
      </c>
      <c r="G156" s="404">
        <v>-0.0018</v>
      </c>
      <c r="H156" s="18"/>
      <c r="I156" s="453"/>
      <c r="J156" s="453"/>
      <c r="K156" s="386" t="str">
        <f t="shared" si="408"/>
        <v>2025//11//7</v>
      </c>
      <c r="L156" s="395">
        <v>6666544</v>
      </c>
      <c r="M156" s="395">
        <v>6668074</v>
      </c>
      <c r="N156" s="403">
        <v>-1530</v>
      </c>
      <c r="O156" s="404">
        <v>-0.0002</v>
      </c>
      <c r="P156" s="18"/>
      <c r="Q156" s="453"/>
      <c r="R156" s="454"/>
      <c r="S156" s="386" t="str">
        <f t="shared" si="409"/>
        <v>2025//11//7</v>
      </c>
      <c r="T156" s="395">
        <v>5739007</v>
      </c>
      <c r="U156" s="395">
        <v>5742067</v>
      </c>
      <c r="V156" s="403">
        <v>-3060</v>
      </c>
      <c r="W156" s="404">
        <v>-0.0005</v>
      </c>
      <c r="X156" s="18"/>
      <c r="Y156" s="453"/>
      <c r="Z156" s="454"/>
      <c r="AA156" s="386" t="str">
        <f t="shared" si="410"/>
        <v>2025//11//7</v>
      </c>
      <c r="AB156" s="395">
        <v>1813017</v>
      </c>
      <c r="AC156" s="395">
        <v>1815817</v>
      </c>
      <c r="AD156" s="403">
        <v>-2800</v>
      </c>
      <c r="AE156" s="404">
        <v>-0.0015</v>
      </c>
      <c r="AF156" s="18"/>
      <c r="AG156" s="453"/>
      <c r="AH156" s="454"/>
      <c r="AI156" s="386" t="str">
        <f t="shared" si="411"/>
        <v>2025//11//7</v>
      </c>
      <c r="AJ156" s="395">
        <v>2472322</v>
      </c>
      <c r="AK156" s="386">
        <v>2471522</v>
      </c>
      <c r="AL156" s="459">
        <v>800</v>
      </c>
      <c r="AM156" s="460">
        <v>0.0003</v>
      </c>
      <c r="AN156" s="18"/>
      <c r="AO156" s="18"/>
      <c r="AP156" s="454"/>
      <c r="AQ156" s="386" t="str">
        <f t="shared" si="412"/>
        <v>2025//11//7</v>
      </c>
      <c r="AR156" s="418">
        <v>3227745</v>
      </c>
      <c r="AS156" s="395">
        <v>3236845</v>
      </c>
      <c r="AT156" s="403">
        <v>-9100</v>
      </c>
      <c r="AU156" s="404">
        <v>-0.0028</v>
      </c>
      <c r="AV156" s="18"/>
      <c r="AW156" s="18"/>
      <c r="AX156" s="17"/>
      <c r="AY156" s="17"/>
      <c r="AZ156" s="17" t="str">
        <f t="shared" si="413"/>
        <v>2025//11//7</v>
      </c>
      <c r="BA156" s="17"/>
      <c r="BB156" s="17"/>
      <c r="BC156" s="17"/>
      <c r="BD156" s="18"/>
      <c r="BE156" s="18"/>
      <c r="BF156" s="18"/>
      <c r="BG156" s="74"/>
      <c r="BH156" s="387" t="str">
        <f t="shared" si="414"/>
        <v>2025//11//7</v>
      </c>
      <c r="BI156" s="387">
        <v>108127</v>
      </c>
      <c r="BJ156" s="387">
        <v>101027</v>
      </c>
      <c r="BK156" s="421">
        <v>7100</v>
      </c>
      <c r="BL156" s="422">
        <v>0.0703</v>
      </c>
      <c r="BM156" s="197"/>
      <c r="BN156" s="192"/>
      <c r="BO156" s="389"/>
      <c r="BP156" s="390" t="str">
        <f t="shared" si="415"/>
        <v>2025//11//7</v>
      </c>
      <c r="BQ156" s="392">
        <v>604962</v>
      </c>
      <c r="BR156" s="390">
        <v>605462</v>
      </c>
      <c r="BS156" s="414">
        <v>-500</v>
      </c>
      <c r="BT156" s="415">
        <v>-0.0008</v>
      </c>
      <c r="BU156" s="192"/>
      <c r="BV156" s="192"/>
      <c r="BW156" s="389"/>
      <c r="BX156" s="390" t="str">
        <f t="shared" si="416"/>
        <v>2025//11//7</v>
      </c>
      <c r="BY156" s="390">
        <v>2291511</v>
      </c>
      <c r="BZ156" s="390">
        <v>2325361</v>
      </c>
      <c r="CA156" s="414">
        <v>-33850</v>
      </c>
      <c r="CB156" s="415">
        <v>-0.0146</v>
      </c>
      <c r="CC156" s="192"/>
      <c r="CD156" s="409"/>
      <c r="CE156" s="514"/>
      <c r="CF156" s="410" t="str">
        <f t="shared" si="417"/>
        <v>2025//11//7</v>
      </c>
      <c r="CG156" s="200">
        <v>969553.9</v>
      </c>
      <c r="CH156" s="200">
        <v>974103.9</v>
      </c>
      <c r="CI156" s="12">
        <f t="shared" si="457"/>
        <v>-4550</v>
      </c>
      <c r="CJ156" s="199">
        <f t="shared" si="458"/>
        <v>-0.00467095963787846</v>
      </c>
      <c r="CK156" s="192"/>
      <c r="CL156" s="391"/>
      <c r="CM156" s="389"/>
      <c r="CN156" s="390" t="str">
        <f t="shared" si="418"/>
        <v>2025//11//7</v>
      </c>
      <c r="CO156" s="390">
        <v>110446</v>
      </c>
      <c r="CP156" s="390">
        <v>109846</v>
      </c>
      <c r="CQ156" s="12">
        <f t="shared" si="459"/>
        <v>600</v>
      </c>
      <c r="CR156" s="199">
        <f t="shared" si="460"/>
        <v>0.00546219252407917</v>
      </c>
      <c r="CS156" s="391"/>
      <c r="CT156" s="391"/>
      <c r="CU156" s="389"/>
      <c r="CV156" s="390" t="str">
        <f t="shared" si="419"/>
        <v>2025//11//7</v>
      </c>
      <c r="CW156" s="390">
        <v>679240</v>
      </c>
      <c r="CX156" s="390">
        <v>686140</v>
      </c>
      <c r="CY156" s="414">
        <v>-6900</v>
      </c>
      <c r="CZ156" s="415">
        <v>-0.0101</v>
      </c>
      <c r="DA156" s="192"/>
      <c r="DB156" s="192"/>
      <c r="DC156" s="277"/>
      <c r="DD156" s="390" t="str">
        <f t="shared" si="420"/>
        <v>2025//11//7</v>
      </c>
      <c r="DE156" s="390">
        <v>962718</v>
      </c>
      <c r="DF156" s="12">
        <f t="shared" si="461"/>
        <v>977918</v>
      </c>
      <c r="DG156" s="414">
        <v>-7600</v>
      </c>
      <c r="DH156" s="415">
        <v>-0.0155</v>
      </c>
      <c r="DI156" s="192"/>
      <c r="DJ156" s="192"/>
      <c r="DK156" s="389"/>
      <c r="DL156" s="390" t="str">
        <f t="shared" si="421"/>
        <v>2025//11//7</v>
      </c>
      <c r="DM156" s="390">
        <v>1533300</v>
      </c>
      <c r="DN156" s="390">
        <v>1529100</v>
      </c>
      <c r="DO156" s="416">
        <v>4200</v>
      </c>
      <c r="DP156" s="417">
        <v>0.0027</v>
      </c>
      <c r="DQ156" s="192"/>
      <c r="DR156" s="192"/>
      <c r="DS156" s="389"/>
      <c r="DT156" s="390" t="str">
        <f t="shared" si="422"/>
        <v>2025//11//7</v>
      </c>
      <c r="DU156" s="390">
        <v>1683989</v>
      </c>
      <c r="DV156" s="390">
        <v>1678289</v>
      </c>
      <c r="DW156" s="416">
        <v>5700</v>
      </c>
      <c r="DX156" s="417">
        <v>0.0034</v>
      </c>
      <c r="DY156" s="192"/>
      <c r="DZ156" s="192"/>
      <c r="EA156" s="389"/>
      <c r="EB156" s="390" t="str">
        <f t="shared" si="423"/>
        <v>2025//11//7</v>
      </c>
      <c r="EC156" s="390">
        <v>4901217</v>
      </c>
      <c r="ED156" s="390">
        <v>4900317</v>
      </c>
      <c r="EE156" s="416">
        <v>900</v>
      </c>
      <c r="EF156" s="417">
        <v>0.0002</v>
      </c>
      <c r="EG156" s="192"/>
      <c r="EH156" s="192"/>
      <c r="EI156" s="389"/>
      <c r="EJ156" s="390" t="str">
        <f t="shared" si="424"/>
        <v>2025//11//7</v>
      </c>
      <c r="EK156" s="390">
        <v>1598923</v>
      </c>
      <c r="EL156" s="390">
        <v>1595323</v>
      </c>
      <c r="EM156" s="416">
        <v>3600</v>
      </c>
      <c r="EN156" s="417">
        <v>0.0023</v>
      </c>
      <c r="EO156" s="192"/>
      <c r="EP156" s="192"/>
      <c r="EQ156" s="192"/>
      <c r="ER156" s="8" t="str">
        <f t="shared" si="425"/>
        <v>2025//11//7</v>
      </c>
      <c r="ES156" s="192"/>
      <c r="ET156" s="192"/>
      <c r="EU156" s="192"/>
      <c r="EV156" s="192"/>
      <c r="EW156" s="192"/>
      <c r="EX156" s="192"/>
      <c r="EY156" s="389"/>
      <c r="EZ156" s="390" t="str">
        <f t="shared" si="426"/>
        <v>2025//11//7</v>
      </c>
      <c r="FA156" s="390">
        <v>1190008</v>
      </c>
      <c r="FB156" s="390">
        <v>1197308</v>
      </c>
      <c r="FC156" s="414">
        <v>-7300</v>
      </c>
      <c r="FD156" s="415">
        <v>-0.0061</v>
      </c>
      <c r="FE156" s="192"/>
      <c r="FF156" s="192"/>
      <c r="FG156" s="192"/>
      <c r="FH156" s="410" t="str">
        <f t="shared" si="427"/>
        <v>2025//11//7</v>
      </c>
      <c r="FI156" s="513">
        <v>124195.33</v>
      </c>
      <c r="FJ156" s="390">
        <f t="shared" si="465"/>
        <v>122195.33</v>
      </c>
      <c r="FK156" s="348">
        <f t="shared" si="466"/>
        <v>2000</v>
      </c>
      <c r="FL156" s="349">
        <f t="shared" si="467"/>
        <v>0.0163672376022881</v>
      </c>
      <c r="FM156" s="516"/>
      <c r="FN156" s="516"/>
      <c r="FO156" s="389"/>
      <c r="FP156" s="390" t="str">
        <f t="shared" si="428"/>
        <v>2025//11//7</v>
      </c>
      <c r="FQ156" s="390">
        <v>2323319</v>
      </c>
      <c r="FR156" s="390">
        <v>2300069</v>
      </c>
      <c r="FS156" s="416">
        <v>23250</v>
      </c>
      <c r="FT156" s="417">
        <v>0.0101</v>
      </c>
      <c r="FU156" s="192"/>
      <c r="FV156" s="192"/>
      <c r="FW156" s="389"/>
      <c r="FX156" s="390" t="str">
        <f t="shared" si="429"/>
        <v>2025//11//7</v>
      </c>
      <c r="FY156" s="390">
        <v>7053682</v>
      </c>
      <c r="FZ156" s="390">
        <v>7034682</v>
      </c>
      <c r="GA156" s="416">
        <v>19000</v>
      </c>
      <c r="GB156" s="417">
        <v>0.0027</v>
      </c>
      <c r="GC156" s="192"/>
      <c r="GD156" s="192"/>
      <c r="GE156" s="389"/>
      <c r="GF156" s="390" t="str">
        <f t="shared" si="430"/>
        <v>2025//11//7</v>
      </c>
      <c r="GG156" s="390">
        <v>4274269</v>
      </c>
      <c r="GH156" s="390">
        <v>4270169</v>
      </c>
      <c r="GI156" s="416">
        <v>4100</v>
      </c>
      <c r="GJ156" s="417">
        <v>0.001</v>
      </c>
      <c r="GK156" s="192"/>
      <c r="GL156" s="192"/>
      <c r="GM156" s="389"/>
      <c r="GN156" s="390" t="str">
        <f t="shared" si="431"/>
        <v>2025//11//7</v>
      </c>
      <c r="GO156" s="390">
        <v>1480438</v>
      </c>
      <c r="GP156" s="390">
        <v>1474258</v>
      </c>
      <c r="GQ156" s="416">
        <v>6180</v>
      </c>
      <c r="GR156" s="417">
        <v>0.0042</v>
      </c>
      <c r="GS156" s="192"/>
      <c r="GT156" s="192"/>
      <c r="GU156" s="389"/>
      <c r="GV156" s="390" t="str">
        <f t="shared" si="432"/>
        <v>2025//11//7</v>
      </c>
      <c r="GW156" s="390">
        <v>1404749</v>
      </c>
      <c r="GX156" s="390">
        <v>1412549</v>
      </c>
      <c r="GY156" s="414">
        <v>-7800</v>
      </c>
      <c r="GZ156" s="415">
        <v>-0.0055</v>
      </c>
      <c r="HA156" s="192"/>
      <c r="HB156" s="192"/>
      <c r="HC156" s="389"/>
      <c r="HD156" s="390" t="str">
        <f t="shared" si="433"/>
        <v>2025//11//7</v>
      </c>
      <c r="HE156" s="390">
        <v>1477565</v>
      </c>
      <c r="HF156" s="390">
        <v>1481265</v>
      </c>
      <c r="HG156" s="414">
        <v>-3700</v>
      </c>
      <c r="HH156" s="415">
        <v>-0.0025</v>
      </c>
      <c r="HI156" s="391"/>
      <c r="HJ156" s="192"/>
      <c r="HK156" s="389"/>
      <c r="HL156" s="390" t="str">
        <f t="shared" si="434"/>
        <v>2025//11//7</v>
      </c>
      <c r="HM156" s="390">
        <v>212804</v>
      </c>
      <c r="HN156" s="390">
        <v>213804</v>
      </c>
      <c r="HO156" s="414">
        <v>-1000</v>
      </c>
      <c r="HP156" s="415">
        <v>-0.0047</v>
      </c>
      <c r="HQ156" s="192"/>
      <c r="HR156" s="192"/>
      <c r="HS156" s="389"/>
      <c r="HT156" s="390" t="str">
        <f t="shared" si="435"/>
        <v>2025//11//7</v>
      </c>
      <c r="HU156" s="390">
        <v>164969</v>
      </c>
      <c r="HV156" s="390">
        <v>160769</v>
      </c>
      <c r="HW156" s="416">
        <v>4200</v>
      </c>
      <c r="HX156" s="417">
        <v>0.0261</v>
      </c>
      <c r="HY156" s="192"/>
      <c r="HZ156" s="192"/>
      <c r="IA156" s="389"/>
      <c r="IB156" s="390" t="str">
        <f t="shared" si="436"/>
        <v>2025//11//7</v>
      </c>
      <c r="IE156" s="390"/>
      <c r="IF156" s="391"/>
      <c r="IG156" s="192"/>
      <c r="IH156" s="192"/>
      <c r="II156" s="389"/>
      <c r="IJ156" s="390" t="str">
        <f t="shared" si="437"/>
        <v>2025//11//7</v>
      </c>
      <c r="IK156" s="390">
        <v>439436</v>
      </c>
      <c r="IL156" s="390">
        <v>431516</v>
      </c>
      <c r="IM156" s="416">
        <v>7920</v>
      </c>
      <c r="IN156" s="417">
        <v>0.0184</v>
      </c>
      <c r="IO156" s="192"/>
      <c r="IP156" s="192"/>
      <c r="IQ156" s="389"/>
      <c r="IR156" s="390" t="str">
        <f t="shared" si="438"/>
        <v>2025//11//7</v>
      </c>
      <c r="IS156" s="390">
        <v>122489</v>
      </c>
      <c r="IT156" s="390">
        <v>123589</v>
      </c>
      <c r="IU156" s="414">
        <v>-1100</v>
      </c>
      <c r="IV156" s="415">
        <v>-0.0089</v>
      </c>
      <c r="IW156" s="192"/>
      <c r="IX156" s="192"/>
      <c r="IY156" s="389"/>
      <c r="IZ156" s="390" t="str">
        <f t="shared" si="439"/>
        <v>2025//11//7</v>
      </c>
      <c r="JA156" s="390">
        <v>5128029</v>
      </c>
      <c r="JB156" s="390">
        <v>5095929</v>
      </c>
      <c r="JC156" s="416">
        <v>32100</v>
      </c>
      <c r="JD156" s="417">
        <v>0.0063</v>
      </c>
      <c r="JE156" s="192"/>
      <c r="JF156" s="192"/>
      <c r="JG156" s="389"/>
      <c r="JH156" s="390" t="str">
        <f t="shared" si="440"/>
        <v>2025//11//7</v>
      </c>
      <c r="JI156" s="390">
        <v>2461888</v>
      </c>
      <c r="JJ156" s="390">
        <v>2455768</v>
      </c>
      <c r="JK156" s="416">
        <v>6120</v>
      </c>
      <c r="JL156" s="417">
        <v>0.0025</v>
      </c>
      <c r="JM156" s="192"/>
      <c r="JN156" s="192"/>
      <c r="JO156" s="192"/>
      <c r="JP156" s="390" t="str">
        <f t="shared" si="441"/>
        <v>2025//11//7</v>
      </c>
      <c r="JQ156" s="390">
        <v>1249090</v>
      </c>
      <c r="JR156" s="390">
        <v>1232190</v>
      </c>
      <c r="JS156" s="416">
        <v>16900</v>
      </c>
      <c r="JT156" s="417">
        <v>0.0137</v>
      </c>
      <c r="JU156" s="192"/>
      <c r="JV156" s="192"/>
      <c r="JW156" s="409"/>
      <c r="JX156" s="390" t="str">
        <f t="shared" si="442"/>
        <v>2025//11//7</v>
      </c>
      <c r="JY156" s="390">
        <v>1513099</v>
      </c>
      <c r="JZ156" s="390">
        <v>1513199</v>
      </c>
      <c r="KA156" s="414">
        <v>-100</v>
      </c>
      <c r="KB156" s="415">
        <v>-0.0001</v>
      </c>
      <c r="KC156" s="192"/>
      <c r="KD156" s="192"/>
      <c r="KE156" s="409"/>
      <c r="KF156" s="390" t="str">
        <f t="shared" si="443"/>
        <v>2025//11//7</v>
      </c>
      <c r="KG156" s="390">
        <v>935756</v>
      </c>
      <c r="KH156" s="390">
        <v>939356</v>
      </c>
      <c r="KI156" s="414">
        <v>-3600</v>
      </c>
      <c r="KJ156" s="415">
        <v>-0.0038</v>
      </c>
      <c r="KK156" s="391"/>
      <c r="KL156" s="391"/>
      <c r="KM156" s="389"/>
      <c r="KN156" s="390" t="str">
        <f t="shared" si="444"/>
        <v>2025//11//7</v>
      </c>
      <c r="KO156" s="390">
        <v>5887776</v>
      </c>
      <c r="KP156" s="390">
        <v>5882676</v>
      </c>
      <c r="KQ156" s="416">
        <v>5100</v>
      </c>
      <c r="KR156" s="417">
        <v>0.0009</v>
      </c>
      <c r="KS156" s="192"/>
      <c r="KT156" s="192"/>
      <c r="KV156" s="8" t="str">
        <f t="shared" si="445"/>
        <v>2025//11//7</v>
      </c>
      <c r="KZ156" s="192"/>
      <c r="LA156" s="192"/>
      <c r="LB156" s="192"/>
      <c r="LC156" s="389"/>
      <c r="LD156" s="390" t="str">
        <f t="shared" si="446"/>
        <v>2025//11//7</v>
      </c>
      <c r="LE156" s="390">
        <v>502658</v>
      </c>
      <c r="LF156" s="390">
        <v>510708</v>
      </c>
      <c r="LG156" s="414">
        <v>-8050</v>
      </c>
      <c r="LH156" s="415">
        <v>-0.0158</v>
      </c>
      <c r="LI156" s="192"/>
      <c r="LJ156" s="192"/>
      <c r="LK156" s="389"/>
      <c r="LL156" s="390" t="str">
        <f t="shared" si="447"/>
        <v>2025//11//7</v>
      </c>
      <c r="LM156" s="392">
        <v>3639355</v>
      </c>
      <c r="LN156" s="390">
        <v>3618835</v>
      </c>
      <c r="LO156" s="416">
        <v>20520</v>
      </c>
      <c r="LP156" s="417">
        <v>0.0057</v>
      </c>
      <c r="LQ156" s="192"/>
      <c r="LR156" s="192"/>
      <c r="LS156" s="389"/>
      <c r="LT156" s="390" t="str">
        <f t="shared" si="448"/>
        <v>2025//11//7</v>
      </c>
      <c r="LU156" s="390">
        <v>2545063</v>
      </c>
      <c r="LV156" s="390">
        <v>2544263</v>
      </c>
      <c r="LW156" s="416">
        <v>800</v>
      </c>
      <c r="LX156" s="417">
        <v>0.0003</v>
      </c>
      <c r="LY156" s="192"/>
      <c r="LZ156" s="192"/>
      <c r="MA156" s="389"/>
      <c r="MB156" s="390" t="str">
        <f t="shared" si="449"/>
        <v>2025//11//7</v>
      </c>
      <c r="MC156" s="390">
        <v>1059718</v>
      </c>
      <c r="MD156" s="390">
        <v>1064818</v>
      </c>
      <c r="ME156" s="414">
        <v>-5100</v>
      </c>
      <c r="MF156" s="415">
        <v>-0.0048</v>
      </c>
      <c r="MG156" s="192"/>
      <c r="MH156" s="192"/>
      <c r="MI156" s="389"/>
      <c r="MJ156" s="389"/>
      <c r="MK156" s="390" t="str">
        <f t="shared" si="450"/>
        <v>2025//11//7</v>
      </c>
      <c r="ML156" s="389"/>
      <c r="MM156" s="203"/>
      <c r="MN156" s="389"/>
      <c r="MO156" s="391"/>
      <c r="MP156" s="391"/>
      <c r="MQ156" s="391"/>
      <c r="MR156" s="391"/>
      <c r="MS156" s="391"/>
      <c r="MT156" s="26" t="str">
        <f t="shared" si="451"/>
        <v>2025//11//7</v>
      </c>
      <c r="MX156" s="192"/>
      <c r="MY156" s="192"/>
      <c r="MZ156" s="192"/>
      <c r="NA156" s="192"/>
      <c r="NB156" s="192"/>
      <c r="NC156" s="8" t="str">
        <f t="shared" si="452"/>
        <v>2025//11//7</v>
      </c>
      <c r="NG156" s="192"/>
      <c r="NH156" s="192"/>
      <c r="NI156" s="192"/>
      <c r="NJ156" s="192"/>
      <c r="NK156" s="192"/>
      <c r="NL156" s="8"/>
      <c r="NM156" s="8" t="str">
        <f t="shared" si="453"/>
        <v>2025//11//7</v>
      </c>
      <c r="NQ156" s="192"/>
      <c r="NR156" s="192"/>
      <c r="NS156" s="8"/>
      <c r="NU156" s="8" t="str">
        <f t="shared" si="454"/>
        <v>2025//11//7</v>
      </c>
      <c r="NV156" s="389"/>
      <c r="NW156" s="389"/>
      <c r="NX156" s="389"/>
      <c r="NY156" s="391"/>
      <c r="NZ156" s="391"/>
      <c r="OA156" s="389"/>
      <c r="OB156" s="389"/>
      <c r="OC156" s="390" t="str">
        <f t="shared" si="455"/>
        <v>2025//11//7</v>
      </c>
      <c r="OD156" s="390">
        <v>17328</v>
      </c>
      <c r="OE156" s="390">
        <v>17225</v>
      </c>
      <c r="OF156" s="416">
        <v>103</v>
      </c>
      <c r="OG156" s="417">
        <v>0.006</v>
      </c>
      <c r="OH156" s="192"/>
      <c r="OI156" s="192"/>
      <c r="OJ156" s="389"/>
      <c r="OK156" s="390" t="str">
        <f t="shared" si="456"/>
        <v>2025//11//7</v>
      </c>
      <c r="OO156" s="192"/>
      <c r="OP156" s="192"/>
      <c r="OQ156" s="192"/>
      <c r="OT156" s="26" t="str">
        <f t="shared" si="407"/>
        <v>2025//11//7</v>
      </c>
      <c r="OU156" s="206">
        <v>132432.4066</v>
      </c>
      <c r="OV156" s="8">
        <f t="shared" si="462"/>
        <v>132312.4066</v>
      </c>
      <c r="OW156" s="191">
        <f t="shared" si="463"/>
        <v>120</v>
      </c>
      <c r="OX156" s="192">
        <f t="shared" si="464"/>
        <v>0.00090694442859601</v>
      </c>
    </row>
    <row r="157" s="8" customFormat="1" ht="17" customHeight="1" spans="1:414">
      <c r="A157" s="15"/>
      <c r="B157" s="15"/>
      <c r="C157" s="385" t="s">
        <v>586</v>
      </c>
      <c r="D157" s="395">
        <v>8936599</v>
      </c>
      <c r="E157" s="395">
        <v>8955589</v>
      </c>
      <c r="F157" s="403">
        <v>-18990</v>
      </c>
      <c r="G157" s="404">
        <v>-0.0021</v>
      </c>
      <c r="H157" s="18"/>
      <c r="I157" s="453"/>
      <c r="J157" s="453"/>
      <c r="K157" s="386" t="str">
        <f t="shared" si="408"/>
        <v>2025//11//6</v>
      </c>
      <c r="L157" s="395">
        <v>6668074</v>
      </c>
      <c r="M157" s="395">
        <v>6668344</v>
      </c>
      <c r="N157" s="403">
        <v>-270</v>
      </c>
      <c r="O157" s="507">
        <v>0</v>
      </c>
      <c r="P157" s="18"/>
      <c r="Q157" s="453"/>
      <c r="R157" s="454"/>
      <c r="S157" s="386" t="str">
        <f t="shared" si="409"/>
        <v>2025//11//6</v>
      </c>
      <c r="T157" s="395">
        <v>5742067</v>
      </c>
      <c r="U157" s="395">
        <v>5773027</v>
      </c>
      <c r="V157" s="403">
        <v>-30960</v>
      </c>
      <c r="W157" s="404">
        <v>-0.0054</v>
      </c>
      <c r="X157" s="18"/>
      <c r="Y157" s="453"/>
      <c r="Z157" s="454"/>
      <c r="AA157" s="386" t="str">
        <f t="shared" si="410"/>
        <v>2025//11//6</v>
      </c>
      <c r="AB157" s="395">
        <v>1815817</v>
      </c>
      <c r="AC157" s="395">
        <v>1814057</v>
      </c>
      <c r="AD157" s="459">
        <v>1760</v>
      </c>
      <c r="AE157" s="460">
        <v>0.001</v>
      </c>
      <c r="AF157" s="18"/>
      <c r="AG157" s="453"/>
      <c r="AH157" s="454"/>
      <c r="AI157" s="386" t="str">
        <f t="shared" si="411"/>
        <v>2025//11//6</v>
      </c>
      <c r="AJ157" s="395">
        <v>2471522</v>
      </c>
      <c r="AK157" s="386">
        <v>2474522</v>
      </c>
      <c r="AL157" s="403">
        <v>-3000</v>
      </c>
      <c r="AM157" s="404">
        <v>-0.0012</v>
      </c>
      <c r="AN157" s="18"/>
      <c r="AO157" s="18"/>
      <c r="AP157" s="454"/>
      <c r="AQ157" s="386" t="str">
        <f t="shared" si="412"/>
        <v>2025//11//6</v>
      </c>
      <c r="AR157" s="418">
        <v>3236845</v>
      </c>
      <c r="AS157" s="395">
        <v>3274245</v>
      </c>
      <c r="AT157" s="403">
        <v>-37400</v>
      </c>
      <c r="AU157" s="404">
        <v>-0.0114</v>
      </c>
      <c r="AV157" s="18"/>
      <c r="AW157" s="18"/>
      <c r="AX157" s="17"/>
      <c r="AY157" s="17"/>
      <c r="AZ157" s="17" t="str">
        <f t="shared" si="413"/>
        <v>2025//11//6</v>
      </c>
      <c r="BA157" s="17"/>
      <c r="BB157" s="17"/>
      <c r="BC157" s="17"/>
      <c r="BD157" s="18"/>
      <c r="BE157" s="18"/>
      <c r="BF157" s="18"/>
      <c r="BG157" s="74"/>
      <c r="BH157" s="387" t="str">
        <f t="shared" si="414"/>
        <v>2025//11//6</v>
      </c>
      <c r="BI157" s="387">
        <v>101027</v>
      </c>
      <c r="BJ157" s="387">
        <v>76627</v>
      </c>
      <c r="BK157" s="421">
        <v>24400</v>
      </c>
      <c r="BL157" s="422">
        <v>0.3184</v>
      </c>
      <c r="BM157" s="197"/>
      <c r="BN157" s="192"/>
      <c r="BO157" s="389"/>
      <c r="BP157" s="390" t="str">
        <f t="shared" si="415"/>
        <v>2025//11//6</v>
      </c>
      <c r="BQ157" s="392">
        <v>605462</v>
      </c>
      <c r="BR157" s="390">
        <v>606362</v>
      </c>
      <c r="BS157" s="414">
        <v>-900</v>
      </c>
      <c r="BT157" s="415">
        <v>-0.0015</v>
      </c>
      <c r="BU157" s="192"/>
      <c r="BV157" s="192"/>
      <c r="BW157" s="389"/>
      <c r="BX157" s="390" t="str">
        <f t="shared" si="416"/>
        <v>2025//11//6</v>
      </c>
      <c r="BY157" s="390">
        <v>2325361</v>
      </c>
      <c r="BZ157" s="390">
        <v>2360361</v>
      </c>
      <c r="CA157" s="414">
        <v>-35000</v>
      </c>
      <c r="CB157" s="415">
        <v>-0.0148</v>
      </c>
      <c r="CC157" s="192"/>
      <c r="CD157" s="409"/>
      <c r="CE157" s="514"/>
      <c r="CF157" s="410" t="str">
        <f t="shared" si="417"/>
        <v>2025//11//6</v>
      </c>
      <c r="CG157" s="200">
        <v>974103.9</v>
      </c>
      <c r="CH157" s="200">
        <v>983253.9</v>
      </c>
      <c r="CI157" s="12">
        <f t="shared" si="457"/>
        <v>-9150</v>
      </c>
      <c r="CJ157" s="199">
        <f t="shared" si="458"/>
        <v>-0.00930583646807808</v>
      </c>
      <c r="CK157" s="192"/>
      <c r="CL157" s="391"/>
      <c r="CM157" s="389"/>
      <c r="CN157" s="390" t="str">
        <f t="shared" si="418"/>
        <v>2025//11//6</v>
      </c>
      <c r="CO157" s="390">
        <v>109846</v>
      </c>
      <c r="CP157" s="390">
        <v>111246</v>
      </c>
      <c r="CQ157" s="12">
        <f t="shared" si="459"/>
        <v>-1400</v>
      </c>
      <c r="CR157" s="199">
        <f t="shared" si="460"/>
        <v>-0.0125847221473132</v>
      </c>
      <c r="CS157" s="391"/>
      <c r="CT157" s="391"/>
      <c r="CU157" s="389"/>
      <c r="CV157" s="390" t="str">
        <f t="shared" si="419"/>
        <v>2025//11//6</v>
      </c>
      <c r="CW157" s="390">
        <v>686140</v>
      </c>
      <c r="CX157" s="390">
        <v>687240</v>
      </c>
      <c r="CY157" s="414">
        <v>-1100</v>
      </c>
      <c r="CZ157" s="415">
        <v>-0.0016</v>
      </c>
      <c r="DA157" s="192"/>
      <c r="DB157" s="192"/>
      <c r="DC157" s="277"/>
      <c r="DD157" s="390" t="str">
        <f t="shared" si="420"/>
        <v>2025//11//6</v>
      </c>
      <c r="DE157" s="390">
        <v>977918</v>
      </c>
      <c r="DF157" s="12">
        <f t="shared" si="461"/>
        <v>1001718</v>
      </c>
      <c r="DG157" s="414">
        <v>-11900</v>
      </c>
      <c r="DH157" s="415">
        <v>-0.0238</v>
      </c>
      <c r="DI157" s="192"/>
      <c r="DJ157" s="192"/>
      <c r="DK157" s="389"/>
      <c r="DL157" s="390" t="str">
        <f t="shared" si="421"/>
        <v>2025//11//6</v>
      </c>
      <c r="DM157" s="390">
        <v>1529100</v>
      </c>
      <c r="DN157" s="390">
        <v>1575100</v>
      </c>
      <c r="DO157" s="414">
        <v>-46000</v>
      </c>
      <c r="DP157" s="415">
        <v>-0.0292</v>
      </c>
      <c r="DQ157" s="192"/>
      <c r="DR157" s="192"/>
      <c r="DS157" s="389"/>
      <c r="DT157" s="390" t="str">
        <f t="shared" si="422"/>
        <v>2025//11//6</v>
      </c>
      <c r="DU157" s="390">
        <v>1678289</v>
      </c>
      <c r="DV157" s="390">
        <v>1736189</v>
      </c>
      <c r="DW157" s="414">
        <v>-57900</v>
      </c>
      <c r="DX157" s="415">
        <v>-0.0333</v>
      </c>
      <c r="DY157" s="192"/>
      <c r="DZ157" s="192"/>
      <c r="EA157" s="389"/>
      <c r="EB157" s="390" t="str">
        <f t="shared" si="423"/>
        <v>2025//11//6</v>
      </c>
      <c r="EC157" s="390">
        <v>4900317</v>
      </c>
      <c r="ED157" s="390">
        <v>5006067</v>
      </c>
      <c r="EE157" s="414">
        <v>-105750</v>
      </c>
      <c r="EF157" s="415">
        <v>-0.0211</v>
      </c>
      <c r="EG157" s="192"/>
      <c r="EH157" s="192"/>
      <c r="EI157" s="389"/>
      <c r="EJ157" s="390" t="str">
        <f t="shared" si="424"/>
        <v>2025//11//6</v>
      </c>
      <c r="EK157" s="390">
        <v>1595323</v>
      </c>
      <c r="EL157" s="390">
        <v>1611523</v>
      </c>
      <c r="EM157" s="414">
        <v>-16200</v>
      </c>
      <c r="EN157" s="415">
        <v>-0.0101</v>
      </c>
      <c r="EO157" s="192"/>
      <c r="EP157" s="192"/>
      <c r="EQ157" s="192"/>
      <c r="ER157" s="8" t="str">
        <f t="shared" si="425"/>
        <v>2025//11//6</v>
      </c>
      <c r="ES157" s="192"/>
      <c r="ET157" s="192"/>
      <c r="EU157" s="192"/>
      <c r="EV157" s="192"/>
      <c r="EW157" s="192"/>
      <c r="EX157" s="192"/>
      <c r="EY157" s="389"/>
      <c r="EZ157" s="390" t="str">
        <f t="shared" si="426"/>
        <v>2025//11//6</v>
      </c>
      <c r="FA157" s="390">
        <v>1197308</v>
      </c>
      <c r="FB157" s="390">
        <v>1195208</v>
      </c>
      <c r="FC157" s="416">
        <v>2100</v>
      </c>
      <c r="FD157" s="417">
        <v>0.0018</v>
      </c>
      <c r="FE157" s="192"/>
      <c r="FF157" s="192"/>
      <c r="FG157" s="192"/>
      <c r="FH157" s="410" t="str">
        <f t="shared" si="427"/>
        <v>2025//11//6</v>
      </c>
      <c r="FI157" s="513">
        <v>122195.33</v>
      </c>
      <c r="FJ157" s="390">
        <f t="shared" si="465"/>
        <v>121195.33</v>
      </c>
      <c r="FK157" s="348">
        <f t="shared" si="466"/>
        <v>1000</v>
      </c>
      <c r="FL157" s="349">
        <f t="shared" si="467"/>
        <v>0.00825114301021335</v>
      </c>
      <c r="FM157" s="516"/>
      <c r="FN157" s="516"/>
      <c r="FO157" s="389"/>
      <c r="FP157" s="390" t="str">
        <f t="shared" si="428"/>
        <v>2025//11//6</v>
      </c>
      <c r="FQ157" s="390">
        <v>2300069</v>
      </c>
      <c r="FR157" s="390">
        <v>2299769</v>
      </c>
      <c r="FS157" s="416">
        <v>300</v>
      </c>
      <c r="FT157" s="417">
        <v>0.0001</v>
      </c>
      <c r="FU157" s="192"/>
      <c r="FV157" s="192"/>
      <c r="FW157" s="389"/>
      <c r="FX157" s="390" t="str">
        <f t="shared" si="429"/>
        <v>2025//11//6</v>
      </c>
      <c r="FY157" s="390">
        <v>7034682</v>
      </c>
      <c r="FZ157" s="390">
        <v>7004782</v>
      </c>
      <c r="GA157" s="416">
        <v>29900</v>
      </c>
      <c r="GB157" s="417">
        <v>0.0043</v>
      </c>
      <c r="GC157" s="192"/>
      <c r="GD157" s="192"/>
      <c r="GE157" s="389"/>
      <c r="GF157" s="390" t="str">
        <f t="shared" si="430"/>
        <v>2025//11//6</v>
      </c>
      <c r="GG157" s="390">
        <v>4270169</v>
      </c>
      <c r="GH157" s="390">
        <v>4262469</v>
      </c>
      <c r="GI157" s="416">
        <v>7700</v>
      </c>
      <c r="GJ157" s="417">
        <v>0.0018</v>
      </c>
      <c r="GK157" s="192"/>
      <c r="GL157" s="192"/>
      <c r="GM157" s="389"/>
      <c r="GN157" s="390" t="str">
        <f t="shared" si="431"/>
        <v>2025//11//6</v>
      </c>
      <c r="GO157" s="390">
        <v>1474258</v>
      </c>
      <c r="GP157" s="390">
        <v>1464118</v>
      </c>
      <c r="GQ157" s="416">
        <v>10140</v>
      </c>
      <c r="GR157" s="417">
        <v>0.0069</v>
      </c>
      <c r="GS157" s="192"/>
      <c r="GT157" s="192"/>
      <c r="GU157" s="389"/>
      <c r="GV157" s="390" t="str">
        <f t="shared" si="432"/>
        <v>2025//11//6</v>
      </c>
      <c r="GW157" s="390">
        <v>1412549</v>
      </c>
      <c r="GX157" s="390">
        <v>1410149</v>
      </c>
      <c r="GY157" s="416">
        <v>2400</v>
      </c>
      <c r="GZ157" s="417">
        <v>0.0017</v>
      </c>
      <c r="HA157" s="192"/>
      <c r="HB157" s="192"/>
      <c r="HC157" s="389"/>
      <c r="HD157" s="390" t="str">
        <f t="shared" si="433"/>
        <v>2025//11//6</v>
      </c>
      <c r="HE157" s="390">
        <v>1481265</v>
      </c>
      <c r="HF157" s="390">
        <v>1490365</v>
      </c>
      <c r="HG157" s="414">
        <v>-9100</v>
      </c>
      <c r="HH157" s="415">
        <v>-0.0061</v>
      </c>
      <c r="HI157" s="391"/>
      <c r="HJ157" s="192"/>
      <c r="HK157" s="389"/>
      <c r="HL157" s="390" t="str">
        <f t="shared" si="434"/>
        <v>2025//11//6</v>
      </c>
      <c r="HM157" s="390">
        <v>213804</v>
      </c>
      <c r="HN157" s="390">
        <v>216504</v>
      </c>
      <c r="HO157" s="414">
        <v>-2700</v>
      </c>
      <c r="HP157" s="415">
        <v>-0.0125</v>
      </c>
      <c r="HQ157" s="192"/>
      <c r="HR157" s="192"/>
      <c r="HS157" s="389"/>
      <c r="HT157" s="390" t="str">
        <f t="shared" si="435"/>
        <v>2025//11//6</v>
      </c>
      <c r="HU157" s="390">
        <v>160769</v>
      </c>
      <c r="HV157" s="390">
        <v>159569</v>
      </c>
      <c r="HW157" s="416">
        <v>1200</v>
      </c>
      <c r="HX157" s="417">
        <v>0.0075</v>
      </c>
      <c r="HY157" s="192"/>
      <c r="HZ157" s="192"/>
      <c r="IA157" s="389"/>
      <c r="IB157" s="390" t="str">
        <f t="shared" si="436"/>
        <v>2025//11//6</v>
      </c>
      <c r="IE157" s="390"/>
      <c r="IF157" s="391"/>
      <c r="IG157" s="192"/>
      <c r="IH157" s="192"/>
      <c r="II157" s="389"/>
      <c r="IJ157" s="390" t="str">
        <f t="shared" si="437"/>
        <v>2025//11//6</v>
      </c>
      <c r="IK157" s="390">
        <v>431516</v>
      </c>
      <c r="IL157" s="390">
        <v>423196</v>
      </c>
      <c r="IM157" s="416">
        <v>8320</v>
      </c>
      <c r="IN157" s="417">
        <v>0.0197</v>
      </c>
      <c r="IO157" s="192"/>
      <c r="IP157" s="192"/>
      <c r="IQ157" s="389"/>
      <c r="IR157" s="390" t="str">
        <f t="shared" si="438"/>
        <v>2025//11//6</v>
      </c>
      <c r="IS157" s="390">
        <v>123589</v>
      </c>
      <c r="IT157" s="390">
        <v>124089</v>
      </c>
      <c r="IU157" s="414">
        <v>-500</v>
      </c>
      <c r="IV157" s="415">
        <v>-0.004</v>
      </c>
      <c r="IW157" s="192"/>
      <c r="IX157" s="192"/>
      <c r="IY157" s="389"/>
      <c r="IZ157" s="390" t="str">
        <f t="shared" si="439"/>
        <v>2025//11//6</v>
      </c>
      <c r="JA157" s="390">
        <v>5095929</v>
      </c>
      <c r="JB157" s="390">
        <v>5142929</v>
      </c>
      <c r="JC157" s="414">
        <v>-47000</v>
      </c>
      <c r="JD157" s="415">
        <v>-0.0091</v>
      </c>
      <c r="JE157" s="192"/>
      <c r="JF157" s="192"/>
      <c r="JG157" s="389"/>
      <c r="JH157" s="390" t="str">
        <f t="shared" si="440"/>
        <v>2025//11//6</v>
      </c>
      <c r="JI157" s="390">
        <v>2455768</v>
      </c>
      <c r="JJ157" s="390">
        <v>2434828</v>
      </c>
      <c r="JK157" s="416">
        <v>20940</v>
      </c>
      <c r="JL157" s="417">
        <v>0.0086</v>
      </c>
      <c r="JM157" s="192"/>
      <c r="JN157" s="192"/>
      <c r="JO157" s="192"/>
      <c r="JP157" s="390" t="str">
        <f t="shared" si="441"/>
        <v>2025//11//6</v>
      </c>
      <c r="JQ157" s="390">
        <v>1232190</v>
      </c>
      <c r="JR157" s="390">
        <v>1227790</v>
      </c>
      <c r="JS157" s="416">
        <v>4400</v>
      </c>
      <c r="JT157" s="417">
        <v>0.0036</v>
      </c>
      <c r="JU157" s="192"/>
      <c r="JV157" s="192"/>
      <c r="JW157" s="409"/>
      <c r="JX157" s="390" t="str">
        <f t="shared" si="442"/>
        <v>2025//11//6</v>
      </c>
      <c r="JY157" s="390">
        <v>1513199</v>
      </c>
      <c r="JZ157" s="390">
        <v>1515749</v>
      </c>
      <c r="KA157" s="414">
        <v>-2550</v>
      </c>
      <c r="KB157" s="415">
        <v>-0.0017</v>
      </c>
      <c r="KC157" s="192"/>
      <c r="KD157" s="192"/>
      <c r="KE157" s="409"/>
      <c r="KF157" s="390" t="str">
        <f t="shared" si="443"/>
        <v>2025//11//6</v>
      </c>
      <c r="KG157" s="390">
        <v>939356</v>
      </c>
      <c r="KH157" s="390">
        <v>939356</v>
      </c>
      <c r="KI157" s="410">
        <v>0</v>
      </c>
      <c r="KJ157" s="409">
        <v>0</v>
      </c>
      <c r="KK157" s="391"/>
      <c r="KL157" s="391"/>
      <c r="KM157" s="389"/>
      <c r="KN157" s="390" t="str">
        <f t="shared" si="444"/>
        <v>2025//11//6</v>
      </c>
      <c r="KO157" s="390">
        <v>5882676</v>
      </c>
      <c r="KP157" s="390">
        <v>5882476</v>
      </c>
      <c r="KQ157" s="416">
        <v>200</v>
      </c>
      <c r="KR157" s="409">
        <v>0</v>
      </c>
      <c r="KS157" s="192"/>
      <c r="KT157" s="192"/>
      <c r="KV157" s="8" t="str">
        <f t="shared" si="445"/>
        <v>2025//11//6</v>
      </c>
      <c r="KZ157" s="192"/>
      <c r="LA157" s="192"/>
      <c r="LB157" s="192"/>
      <c r="LC157" s="389"/>
      <c r="LD157" s="390" t="str">
        <f t="shared" si="446"/>
        <v>2025//11//6</v>
      </c>
      <c r="LE157" s="390">
        <v>510708</v>
      </c>
      <c r="LF157" s="390">
        <v>518158</v>
      </c>
      <c r="LG157" s="414">
        <v>-7450</v>
      </c>
      <c r="LH157" s="415">
        <v>-0.0144</v>
      </c>
      <c r="LI157" s="192"/>
      <c r="LJ157" s="192"/>
      <c r="LK157" s="389"/>
      <c r="LL157" s="390" t="str">
        <f t="shared" si="447"/>
        <v>2025//11//6</v>
      </c>
      <c r="LM157" s="392">
        <v>3618835</v>
      </c>
      <c r="LN157" s="390">
        <v>3588775</v>
      </c>
      <c r="LO157" s="416">
        <v>30060</v>
      </c>
      <c r="LP157" s="417">
        <v>0.0084</v>
      </c>
      <c r="LQ157" s="192"/>
      <c r="LR157" s="192"/>
      <c r="LS157" s="389"/>
      <c r="LT157" s="390" t="str">
        <f t="shared" si="448"/>
        <v>2025//11//6</v>
      </c>
      <c r="LU157" s="390">
        <v>2544263</v>
      </c>
      <c r="LV157" s="390">
        <v>2546663</v>
      </c>
      <c r="LW157" s="414">
        <v>-2400</v>
      </c>
      <c r="LX157" s="415">
        <v>-0.0009</v>
      </c>
      <c r="LY157" s="192"/>
      <c r="LZ157" s="192"/>
      <c r="MA157" s="389"/>
      <c r="MB157" s="390" t="str">
        <f t="shared" si="449"/>
        <v>2025//11//6</v>
      </c>
      <c r="MC157" s="390">
        <v>1064818</v>
      </c>
      <c r="MD157" s="390">
        <v>1076668</v>
      </c>
      <c r="ME157" s="414">
        <v>-11850</v>
      </c>
      <c r="MF157" s="415">
        <v>-0.011</v>
      </c>
      <c r="MG157" s="192"/>
      <c r="MH157" s="192"/>
      <c r="MI157" s="389"/>
      <c r="MJ157" s="389"/>
      <c r="MK157" s="390" t="str">
        <f t="shared" si="450"/>
        <v>2025//11//6</v>
      </c>
      <c r="ML157" s="389"/>
      <c r="MM157" s="203"/>
      <c r="MN157" s="389"/>
      <c r="MO157" s="391"/>
      <c r="MP157" s="391"/>
      <c r="MQ157" s="391"/>
      <c r="MR157" s="391"/>
      <c r="MS157" s="391"/>
      <c r="MT157" s="26" t="str">
        <f t="shared" si="451"/>
        <v>2025//11//6</v>
      </c>
      <c r="MX157" s="192"/>
      <c r="MY157" s="192"/>
      <c r="MZ157" s="192"/>
      <c r="NA157" s="192"/>
      <c r="NB157" s="192"/>
      <c r="NC157" s="8" t="str">
        <f t="shared" si="452"/>
        <v>2025//11//6</v>
      </c>
      <c r="NG157" s="192"/>
      <c r="NH157" s="192"/>
      <c r="NI157" s="192"/>
      <c r="NJ157" s="192"/>
      <c r="NK157" s="192"/>
      <c r="NL157" s="8"/>
      <c r="NM157" s="8" t="str">
        <f t="shared" si="453"/>
        <v>2025//11//6</v>
      </c>
      <c r="NQ157" s="192"/>
      <c r="NR157" s="192"/>
      <c r="NS157" s="8"/>
      <c r="NU157" s="8" t="str">
        <f t="shared" si="454"/>
        <v>2025//11//6</v>
      </c>
      <c r="NV157" s="389"/>
      <c r="NW157" s="389"/>
      <c r="NX157" s="389"/>
      <c r="NY157" s="391"/>
      <c r="NZ157" s="391"/>
      <c r="OA157" s="389"/>
      <c r="OB157" s="389"/>
      <c r="OC157" s="390" t="str">
        <f t="shared" si="455"/>
        <v>2025//11//6</v>
      </c>
      <c r="OD157" s="390">
        <v>17225</v>
      </c>
      <c r="OE157" s="390">
        <v>16970</v>
      </c>
      <c r="OF157" s="416">
        <v>255</v>
      </c>
      <c r="OG157" s="417">
        <v>0.015</v>
      </c>
      <c r="OH157" s="192"/>
      <c r="OI157" s="192"/>
      <c r="OJ157" s="389"/>
      <c r="OK157" s="390" t="str">
        <f t="shared" si="456"/>
        <v>2025//11//6</v>
      </c>
      <c r="OO157" s="192"/>
      <c r="OP157" s="192"/>
      <c r="OQ157" s="192"/>
      <c r="OT157" s="26" t="str">
        <f t="shared" si="407"/>
        <v>2025//11//6</v>
      </c>
      <c r="OU157" s="206">
        <v>132312.4066</v>
      </c>
      <c r="OV157" s="8">
        <f t="shared" si="462"/>
        <v>132192.4066</v>
      </c>
      <c r="OW157" s="191">
        <f t="shared" si="463"/>
        <v>120</v>
      </c>
      <c r="OX157" s="192">
        <f t="shared" si="464"/>
        <v>0.000907767723475276</v>
      </c>
    </row>
    <row r="158" s="8" customFormat="1" ht="17" customHeight="1" spans="1:414">
      <c r="A158" s="15"/>
      <c r="B158" s="15"/>
      <c r="C158" s="385" t="s">
        <v>587</v>
      </c>
      <c r="D158" s="395">
        <v>8955589</v>
      </c>
      <c r="E158" s="395">
        <v>8970709</v>
      </c>
      <c r="F158" s="403">
        <v>-15120</v>
      </c>
      <c r="G158" s="404">
        <v>-0.0017</v>
      </c>
      <c r="H158" s="18"/>
      <c r="I158" s="453"/>
      <c r="J158" s="453"/>
      <c r="K158" s="386" t="str">
        <f t="shared" si="408"/>
        <v>2025//11//5</v>
      </c>
      <c r="L158" s="395">
        <v>6668344</v>
      </c>
      <c r="M158" s="395">
        <v>6673204</v>
      </c>
      <c r="N158" s="403">
        <v>-4860</v>
      </c>
      <c r="O158" s="404">
        <v>-0.0007</v>
      </c>
      <c r="P158" s="18"/>
      <c r="Q158" s="453"/>
      <c r="R158" s="454"/>
      <c r="S158" s="386" t="str">
        <f t="shared" si="409"/>
        <v>2025//11//5</v>
      </c>
      <c r="T158" s="395">
        <v>5773027</v>
      </c>
      <c r="U158" s="395">
        <v>5764747</v>
      </c>
      <c r="V158" s="459">
        <v>8280</v>
      </c>
      <c r="W158" s="460">
        <v>0.0014</v>
      </c>
      <c r="X158" s="18"/>
      <c r="Y158" s="453"/>
      <c r="Z158" s="454"/>
      <c r="AA158" s="386" t="str">
        <f t="shared" si="410"/>
        <v>2025//11//5</v>
      </c>
      <c r="AB158" s="395">
        <v>1814057</v>
      </c>
      <c r="AC158" s="395">
        <v>1814097</v>
      </c>
      <c r="AD158" s="403">
        <v>-40</v>
      </c>
      <c r="AE158" s="507">
        <v>0</v>
      </c>
      <c r="AF158" s="18"/>
      <c r="AG158" s="453"/>
      <c r="AH158" s="454"/>
      <c r="AI158" s="386" t="str">
        <f t="shared" si="411"/>
        <v>2025//11//5</v>
      </c>
      <c r="AJ158" s="395">
        <v>2474522</v>
      </c>
      <c r="AK158" s="386">
        <v>2468722</v>
      </c>
      <c r="AL158" s="459">
        <v>5800</v>
      </c>
      <c r="AM158" s="460">
        <v>0.0023</v>
      </c>
      <c r="AN158" s="18"/>
      <c r="AO158" s="18"/>
      <c r="AP158" s="454"/>
      <c r="AQ158" s="386" t="str">
        <f t="shared" si="412"/>
        <v>2025//11//5</v>
      </c>
      <c r="AR158" s="418">
        <v>3274245</v>
      </c>
      <c r="AS158" s="395">
        <v>3275645</v>
      </c>
      <c r="AT158" s="403">
        <v>-1400</v>
      </c>
      <c r="AU158" s="404">
        <v>-0.0004</v>
      </c>
      <c r="AV158" s="18"/>
      <c r="AW158" s="18"/>
      <c r="AX158" s="17"/>
      <c r="AY158" s="17"/>
      <c r="AZ158" s="17" t="str">
        <f t="shared" si="413"/>
        <v>2025//11//5</v>
      </c>
      <c r="BA158" s="17"/>
      <c r="BB158" s="17"/>
      <c r="BC158" s="17"/>
      <c r="BD158" s="18"/>
      <c r="BE158" s="18"/>
      <c r="BF158" s="18"/>
      <c r="BG158" s="74"/>
      <c r="BH158" s="387" t="str">
        <f t="shared" si="414"/>
        <v>2025//11//5</v>
      </c>
      <c r="BI158" s="387">
        <v>76627</v>
      </c>
      <c r="BJ158" s="387">
        <v>50127</v>
      </c>
      <c r="BK158" s="421">
        <v>26500</v>
      </c>
      <c r="BL158" s="422">
        <v>0.5287</v>
      </c>
      <c r="BM158" s="197"/>
      <c r="BN158" s="192"/>
      <c r="BO158" s="389"/>
      <c r="BP158" s="390" t="str">
        <f t="shared" si="415"/>
        <v>2025//11//5</v>
      </c>
      <c r="BQ158" s="392">
        <v>606362</v>
      </c>
      <c r="BR158" s="390">
        <v>614162</v>
      </c>
      <c r="BS158" s="414">
        <v>-7800</v>
      </c>
      <c r="BT158" s="415">
        <v>-0.0127</v>
      </c>
      <c r="BU158" s="192"/>
      <c r="BV158" s="192"/>
      <c r="BW158" s="389"/>
      <c r="BX158" s="390" t="str">
        <f t="shared" si="416"/>
        <v>2025//11//5</v>
      </c>
      <c r="BY158" s="390">
        <v>2360361</v>
      </c>
      <c r="BZ158" s="390">
        <v>2376861</v>
      </c>
      <c r="CA158" s="414">
        <v>-16500</v>
      </c>
      <c r="CB158" s="415">
        <v>-0.0069</v>
      </c>
      <c r="CC158" s="192"/>
      <c r="CD158" s="409"/>
      <c r="CE158" s="514"/>
      <c r="CF158" s="410" t="str">
        <f t="shared" si="417"/>
        <v>2025//11//5</v>
      </c>
      <c r="CG158" s="200">
        <v>983253.9</v>
      </c>
      <c r="CH158" s="200">
        <v>983553.9</v>
      </c>
      <c r="CI158" s="12">
        <f t="shared" si="457"/>
        <v>-300</v>
      </c>
      <c r="CJ158" s="199">
        <f t="shared" si="458"/>
        <v>-0.000305016329049176</v>
      </c>
      <c r="CK158" s="192"/>
      <c r="CL158" s="391"/>
      <c r="CM158" s="389"/>
      <c r="CN158" s="390" t="str">
        <f t="shared" si="418"/>
        <v>2025//11//5</v>
      </c>
      <c r="CO158" s="390">
        <v>111246</v>
      </c>
      <c r="CP158" s="390">
        <v>102846</v>
      </c>
      <c r="CQ158" s="12">
        <f t="shared" si="459"/>
        <v>8400</v>
      </c>
      <c r="CR158" s="199">
        <f t="shared" si="460"/>
        <v>0.0816755148474418</v>
      </c>
      <c r="CS158" s="391"/>
      <c r="CT158" s="391"/>
      <c r="CU158" s="389"/>
      <c r="CV158" s="390" t="str">
        <f t="shared" si="419"/>
        <v>2025//11//5</v>
      </c>
      <c r="CW158" s="390">
        <v>687240</v>
      </c>
      <c r="CX158" s="390">
        <v>681590</v>
      </c>
      <c r="CY158" s="416">
        <v>5650</v>
      </c>
      <c r="CZ158" s="417">
        <v>0.0083</v>
      </c>
      <c r="DA158" s="192"/>
      <c r="DB158" s="192"/>
      <c r="DC158" s="277"/>
      <c r="DD158" s="390" t="str">
        <f t="shared" si="420"/>
        <v>2025//11//5</v>
      </c>
      <c r="DE158" s="390">
        <v>1001718</v>
      </c>
      <c r="DF158" s="12">
        <f t="shared" si="461"/>
        <v>1008918</v>
      </c>
      <c r="DG158" s="414">
        <v>-3600</v>
      </c>
      <c r="DH158" s="415">
        <v>-0.0071</v>
      </c>
      <c r="DI158" s="192"/>
      <c r="DJ158" s="192"/>
      <c r="DK158" s="389"/>
      <c r="DL158" s="390" t="str">
        <f t="shared" si="421"/>
        <v>2025//11//5</v>
      </c>
      <c r="DM158" s="390">
        <v>1575100</v>
      </c>
      <c r="DN158" s="390">
        <v>1574100</v>
      </c>
      <c r="DO158" s="416">
        <v>1000</v>
      </c>
      <c r="DP158" s="417">
        <v>0.0006</v>
      </c>
      <c r="DQ158" s="192"/>
      <c r="DR158" s="192"/>
      <c r="DS158" s="389"/>
      <c r="DT158" s="390" t="str">
        <f t="shared" si="422"/>
        <v>2025//11//5</v>
      </c>
      <c r="DU158" s="390">
        <v>1736189</v>
      </c>
      <c r="DV158" s="390">
        <v>1734689</v>
      </c>
      <c r="DW158" s="416">
        <v>1500</v>
      </c>
      <c r="DX158" s="417">
        <v>0.0009</v>
      </c>
      <c r="DY158" s="192"/>
      <c r="DZ158" s="192"/>
      <c r="EA158" s="389"/>
      <c r="EB158" s="390" t="str">
        <f t="shared" si="423"/>
        <v>2025//11//5</v>
      </c>
      <c r="EC158" s="390">
        <v>5006067</v>
      </c>
      <c r="ED158" s="390">
        <v>4997517</v>
      </c>
      <c r="EE158" s="416">
        <v>8550</v>
      </c>
      <c r="EF158" s="417">
        <v>0.0017</v>
      </c>
      <c r="EG158" s="192"/>
      <c r="EH158" s="192"/>
      <c r="EI158" s="389"/>
      <c r="EJ158" s="390" t="str">
        <f t="shared" si="424"/>
        <v>2025//11//5</v>
      </c>
      <c r="EK158" s="390">
        <v>1611523</v>
      </c>
      <c r="EL158" s="390">
        <v>1595323</v>
      </c>
      <c r="EM158" s="416">
        <v>16200</v>
      </c>
      <c r="EN158" s="417">
        <v>0.0102</v>
      </c>
      <c r="EO158" s="192"/>
      <c r="EP158" s="192"/>
      <c r="EQ158" s="192"/>
      <c r="ER158" s="8" t="str">
        <f t="shared" si="425"/>
        <v>2025//11//5</v>
      </c>
      <c r="ES158" s="192"/>
      <c r="ET158" s="192"/>
      <c r="EU158" s="192"/>
      <c r="EV158" s="192"/>
      <c r="EW158" s="192"/>
      <c r="EX158" s="192"/>
      <c r="EY158" s="389"/>
      <c r="EZ158" s="390" t="str">
        <f t="shared" si="426"/>
        <v>2025//11//5</v>
      </c>
      <c r="FA158" s="390">
        <v>1195208</v>
      </c>
      <c r="FB158" s="390">
        <v>1193608</v>
      </c>
      <c r="FC158" s="416">
        <v>1600</v>
      </c>
      <c r="FD158" s="417">
        <v>0.0013</v>
      </c>
      <c r="FE158" s="192"/>
      <c r="FF158" s="192"/>
      <c r="FG158" s="192"/>
      <c r="FH158" s="410" t="str">
        <f t="shared" si="427"/>
        <v>2025//11//5</v>
      </c>
      <c r="FI158" s="513">
        <v>121195.33</v>
      </c>
      <c r="FJ158" s="390">
        <f t="shared" si="465"/>
        <v>114995.33</v>
      </c>
      <c r="FK158" s="348">
        <f t="shared" si="466"/>
        <v>6200</v>
      </c>
      <c r="FL158" s="349">
        <f t="shared" si="467"/>
        <v>0.0539152329055449</v>
      </c>
      <c r="FM158" s="516"/>
      <c r="FN158" s="516"/>
      <c r="FO158" s="389"/>
      <c r="FP158" s="390" t="str">
        <f t="shared" si="428"/>
        <v>2025//11//5</v>
      </c>
      <c r="FQ158" s="390">
        <v>2299769</v>
      </c>
      <c r="FR158" s="390">
        <v>2281619</v>
      </c>
      <c r="FS158" s="416">
        <v>18150</v>
      </c>
      <c r="FT158" s="417">
        <v>0.008</v>
      </c>
      <c r="FU158" s="192"/>
      <c r="FV158" s="192"/>
      <c r="FW158" s="389"/>
      <c r="FX158" s="390" t="str">
        <f t="shared" si="429"/>
        <v>2025//11//5</v>
      </c>
      <c r="FY158" s="390">
        <v>7004782</v>
      </c>
      <c r="FZ158" s="390">
        <v>7007082</v>
      </c>
      <c r="GA158" s="414">
        <v>-2300</v>
      </c>
      <c r="GB158" s="415">
        <v>-0.0003</v>
      </c>
      <c r="GC158" s="192"/>
      <c r="GD158" s="192"/>
      <c r="GE158" s="389"/>
      <c r="GF158" s="390" t="str">
        <f t="shared" si="430"/>
        <v>2025//11//5</v>
      </c>
      <c r="GG158" s="390">
        <v>4262469</v>
      </c>
      <c r="GH158" s="390">
        <v>4258669</v>
      </c>
      <c r="GI158" s="416">
        <v>3800</v>
      </c>
      <c r="GJ158" s="417">
        <v>0.0009</v>
      </c>
      <c r="GK158" s="192"/>
      <c r="GL158" s="192"/>
      <c r="GM158" s="389"/>
      <c r="GN158" s="390" t="str">
        <f t="shared" si="431"/>
        <v>2025//11//5</v>
      </c>
      <c r="GO158" s="390">
        <v>1464118</v>
      </c>
      <c r="GP158" s="390">
        <v>1453558</v>
      </c>
      <c r="GQ158" s="416">
        <v>10560</v>
      </c>
      <c r="GR158" s="417">
        <v>0.0073</v>
      </c>
      <c r="GS158" s="192"/>
      <c r="GT158" s="192"/>
      <c r="GU158" s="389"/>
      <c r="GV158" s="390" t="str">
        <f t="shared" si="432"/>
        <v>2025//11//5</v>
      </c>
      <c r="GW158" s="390">
        <v>1410149</v>
      </c>
      <c r="GX158" s="390">
        <v>1401749</v>
      </c>
      <c r="GY158" s="416">
        <v>8400</v>
      </c>
      <c r="GZ158" s="417">
        <v>0.006</v>
      </c>
      <c r="HA158" s="192"/>
      <c r="HB158" s="192"/>
      <c r="HC158" s="389"/>
      <c r="HD158" s="390" t="str">
        <f t="shared" si="433"/>
        <v>2025//11//5</v>
      </c>
      <c r="HE158" s="390">
        <v>1490365</v>
      </c>
      <c r="HF158" s="390">
        <v>1502265</v>
      </c>
      <c r="HG158" s="414">
        <v>-11900</v>
      </c>
      <c r="HH158" s="415">
        <v>-0.0079</v>
      </c>
      <c r="HI158" s="391"/>
      <c r="HJ158" s="192"/>
      <c r="HK158" s="389"/>
      <c r="HL158" s="390" t="str">
        <f t="shared" si="434"/>
        <v>2025//11//5</v>
      </c>
      <c r="HM158" s="390">
        <v>216504</v>
      </c>
      <c r="HN158" s="390">
        <v>219004</v>
      </c>
      <c r="HO158" s="414">
        <v>-2500</v>
      </c>
      <c r="HP158" s="415">
        <v>-0.0114</v>
      </c>
      <c r="HQ158" s="192"/>
      <c r="HR158" s="192"/>
      <c r="HS158" s="389"/>
      <c r="HT158" s="390" t="str">
        <f t="shared" si="435"/>
        <v>2025//11//5</v>
      </c>
      <c r="HU158" s="390">
        <v>159569</v>
      </c>
      <c r="HV158" s="390">
        <v>153769</v>
      </c>
      <c r="HW158" s="416">
        <v>5800</v>
      </c>
      <c r="HX158" s="417">
        <v>0.0377</v>
      </c>
      <c r="HY158" s="192"/>
      <c r="HZ158" s="192"/>
      <c r="IA158" s="389"/>
      <c r="IB158" s="390" t="str">
        <f t="shared" si="436"/>
        <v>2025//11//5</v>
      </c>
      <c r="IE158" s="390"/>
      <c r="IF158" s="391"/>
      <c r="IG158" s="192"/>
      <c r="IH158" s="192"/>
      <c r="II158" s="389"/>
      <c r="IJ158" s="390" t="str">
        <f t="shared" si="437"/>
        <v>2025//11//5</v>
      </c>
      <c r="IK158" s="390">
        <v>423196</v>
      </c>
      <c r="IL158" s="390">
        <v>415436</v>
      </c>
      <c r="IM158" s="416">
        <v>7760</v>
      </c>
      <c r="IN158" s="417">
        <v>0.0187</v>
      </c>
      <c r="IO158" s="192"/>
      <c r="IP158" s="192"/>
      <c r="IQ158" s="389"/>
      <c r="IR158" s="390" t="str">
        <f t="shared" si="438"/>
        <v>2025//11//5</v>
      </c>
      <c r="IS158" s="390">
        <v>124089</v>
      </c>
      <c r="IT158" s="390">
        <v>124389</v>
      </c>
      <c r="IU158" s="414">
        <v>-300</v>
      </c>
      <c r="IV158" s="415">
        <v>-0.0024</v>
      </c>
      <c r="IW158" s="192"/>
      <c r="IX158" s="192"/>
      <c r="IY158" s="389"/>
      <c r="IZ158" s="390" t="str">
        <f t="shared" si="439"/>
        <v>2025//11//5</v>
      </c>
      <c r="JA158" s="390">
        <v>5142929</v>
      </c>
      <c r="JB158" s="390">
        <v>5080229</v>
      </c>
      <c r="JC158" s="416">
        <v>62700</v>
      </c>
      <c r="JD158" s="417">
        <v>0.0123</v>
      </c>
      <c r="JE158" s="192"/>
      <c r="JF158" s="192"/>
      <c r="JG158" s="389"/>
      <c r="JH158" s="390" t="str">
        <f t="shared" si="440"/>
        <v>2025//11//5</v>
      </c>
      <c r="JI158" s="390">
        <v>2434828</v>
      </c>
      <c r="JJ158" s="390">
        <v>2363128</v>
      </c>
      <c r="JK158" s="416">
        <v>71700</v>
      </c>
      <c r="JL158" s="417">
        <v>0.0303</v>
      </c>
      <c r="JM158" s="192"/>
      <c r="JN158" s="192"/>
      <c r="JO158" s="192"/>
      <c r="JP158" s="390" t="str">
        <f t="shared" si="441"/>
        <v>2025//11//5</v>
      </c>
      <c r="JQ158" s="390">
        <v>1227790</v>
      </c>
      <c r="JR158" s="390">
        <v>1224790</v>
      </c>
      <c r="JS158" s="416">
        <v>3000</v>
      </c>
      <c r="JT158" s="417">
        <v>0.0024</v>
      </c>
      <c r="JU158" s="192"/>
      <c r="JV158" s="192"/>
      <c r="JW158" s="409"/>
      <c r="JX158" s="390" t="str">
        <f t="shared" si="442"/>
        <v>2025//11//5</v>
      </c>
      <c r="JY158" s="390">
        <v>1515749</v>
      </c>
      <c r="JZ158" s="390">
        <v>1506099</v>
      </c>
      <c r="KA158" s="416">
        <v>9650</v>
      </c>
      <c r="KB158" s="417">
        <v>0.0064</v>
      </c>
      <c r="KC158" s="192"/>
      <c r="KD158" s="192"/>
      <c r="KE158" s="409"/>
      <c r="KF158" s="390" t="str">
        <f t="shared" si="443"/>
        <v>2025//11//5</v>
      </c>
      <c r="KG158" s="390">
        <v>939356</v>
      </c>
      <c r="KH158" s="390">
        <v>939356</v>
      </c>
      <c r="KI158" s="410">
        <v>0</v>
      </c>
      <c r="KJ158" s="409">
        <v>0</v>
      </c>
      <c r="KK158" s="391"/>
      <c r="KL158" s="391"/>
      <c r="KM158" s="389"/>
      <c r="KN158" s="390" t="str">
        <f t="shared" si="444"/>
        <v>2025//11//5</v>
      </c>
      <c r="KO158" s="390">
        <v>5882476</v>
      </c>
      <c r="KP158" s="390">
        <v>5764076</v>
      </c>
      <c r="KQ158" s="416">
        <v>118400</v>
      </c>
      <c r="KR158" s="417">
        <v>0.0205</v>
      </c>
      <c r="KS158" s="192"/>
      <c r="KT158" s="192"/>
      <c r="KV158" s="8" t="str">
        <f t="shared" si="445"/>
        <v>2025//11//5</v>
      </c>
      <c r="KZ158" s="192"/>
      <c r="LA158" s="192"/>
      <c r="LB158" s="192"/>
      <c r="LC158" s="389"/>
      <c r="LD158" s="390" t="str">
        <f t="shared" si="446"/>
        <v>2025//11//5</v>
      </c>
      <c r="LE158" s="390">
        <v>518158</v>
      </c>
      <c r="LF158" s="390">
        <v>520308</v>
      </c>
      <c r="LG158" s="414">
        <v>-2150</v>
      </c>
      <c r="LH158" s="415">
        <v>-0.0041</v>
      </c>
      <c r="LI158" s="192"/>
      <c r="LJ158" s="192"/>
      <c r="LK158" s="389"/>
      <c r="LL158" s="390" t="str">
        <f t="shared" si="447"/>
        <v>2025//11//5</v>
      </c>
      <c r="LM158" s="392">
        <v>3588775</v>
      </c>
      <c r="LN158" s="390">
        <v>3635575</v>
      </c>
      <c r="LO158" s="414">
        <v>-46800</v>
      </c>
      <c r="LP158" s="415">
        <v>-0.0129</v>
      </c>
      <c r="LQ158" s="192"/>
      <c r="LR158" s="192"/>
      <c r="LS158" s="389"/>
      <c r="LT158" s="390" t="str">
        <f t="shared" si="448"/>
        <v>2025//11//5</v>
      </c>
      <c r="LU158" s="390">
        <v>2546663</v>
      </c>
      <c r="LV158" s="390">
        <v>2554463</v>
      </c>
      <c r="LW158" s="414">
        <v>-7800</v>
      </c>
      <c r="LX158" s="415">
        <v>-0.0031</v>
      </c>
      <c r="LY158" s="192"/>
      <c r="LZ158" s="192"/>
      <c r="MA158" s="389"/>
      <c r="MB158" s="390" t="str">
        <f t="shared" si="449"/>
        <v>2025//11//5</v>
      </c>
      <c r="MC158" s="390">
        <v>1076668</v>
      </c>
      <c r="MD158" s="390">
        <v>1064968</v>
      </c>
      <c r="ME158" s="416">
        <v>11700</v>
      </c>
      <c r="MF158" s="417">
        <v>0.011</v>
      </c>
      <c r="MG158" s="192"/>
      <c r="MH158" s="192"/>
      <c r="MI158" s="389"/>
      <c r="MJ158" s="389"/>
      <c r="MK158" s="390" t="str">
        <f t="shared" si="450"/>
        <v>2025//11//5</v>
      </c>
      <c r="ML158" s="389"/>
      <c r="MM158" s="203"/>
      <c r="MN158" s="389"/>
      <c r="MO158" s="391"/>
      <c r="MP158" s="391"/>
      <c r="MQ158" s="391"/>
      <c r="MR158" s="391"/>
      <c r="MS158" s="391"/>
      <c r="MT158" s="26" t="str">
        <f t="shared" si="451"/>
        <v>2025//11//5</v>
      </c>
      <c r="MX158" s="192"/>
      <c r="MY158" s="192"/>
      <c r="MZ158" s="192"/>
      <c r="NA158" s="192"/>
      <c r="NB158" s="192"/>
      <c r="NC158" s="8" t="str">
        <f t="shared" si="452"/>
        <v>2025//11//5</v>
      </c>
      <c r="NG158" s="192"/>
      <c r="NH158" s="192"/>
      <c r="NI158" s="192"/>
      <c r="NJ158" s="192"/>
      <c r="NK158" s="192"/>
      <c r="NL158" s="8"/>
      <c r="NM158" s="8" t="str">
        <f t="shared" si="453"/>
        <v>2025//11//5</v>
      </c>
      <c r="NQ158" s="192"/>
      <c r="NR158" s="192"/>
      <c r="NS158" s="8"/>
      <c r="NU158" s="8" t="str">
        <f t="shared" si="454"/>
        <v>2025//11//5</v>
      </c>
      <c r="NV158" s="389"/>
      <c r="NW158" s="389"/>
      <c r="NX158" s="389"/>
      <c r="NY158" s="391"/>
      <c r="NZ158" s="391"/>
      <c r="OA158" s="389"/>
      <c r="OB158" s="389"/>
      <c r="OC158" s="390" t="str">
        <f t="shared" si="455"/>
        <v>2025//11//5</v>
      </c>
      <c r="OD158" s="390">
        <v>16970</v>
      </c>
      <c r="OE158" s="390">
        <v>16688</v>
      </c>
      <c r="OF158" s="416">
        <v>282</v>
      </c>
      <c r="OG158" s="417">
        <v>0.0169</v>
      </c>
      <c r="OH158" s="192"/>
      <c r="OI158" s="192"/>
      <c r="OJ158" s="389"/>
      <c r="OK158" s="390" t="str">
        <f t="shared" si="456"/>
        <v>2025//11//5</v>
      </c>
      <c r="OO158" s="192"/>
      <c r="OP158" s="192"/>
      <c r="OQ158" s="192"/>
      <c r="OT158" s="26" t="str">
        <f t="shared" si="407"/>
        <v>2025//11//5</v>
      </c>
      <c r="OU158" s="206">
        <v>132192.4066</v>
      </c>
      <c r="OV158" s="8">
        <f t="shared" si="462"/>
        <v>132072.4066</v>
      </c>
      <c r="OW158" s="191">
        <f t="shared" si="463"/>
        <v>120</v>
      </c>
      <c r="OX158" s="192">
        <f t="shared" si="464"/>
        <v>0.00090859251443367</v>
      </c>
    </row>
    <row r="159" s="8" customFormat="1" ht="17" customHeight="1" spans="1:414">
      <c r="A159" s="15"/>
      <c r="B159" s="15"/>
      <c r="C159" s="385" t="s">
        <v>588</v>
      </c>
      <c r="D159" s="395">
        <v>8970709</v>
      </c>
      <c r="E159" s="395">
        <v>9036859</v>
      </c>
      <c r="F159" s="403">
        <v>-66150</v>
      </c>
      <c r="G159" s="404">
        <v>-0.0073</v>
      </c>
      <c r="H159" s="18"/>
      <c r="I159" s="453"/>
      <c r="J159" s="453"/>
      <c r="K159" s="386" t="str">
        <f t="shared" si="408"/>
        <v>2025//11//4</v>
      </c>
      <c r="L159" s="395">
        <v>6673204</v>
      </c>
      <c r="M159" s="395">
        <v>6694084</v>
      </c>
      <c r="N159" s="403">
        <v>-20880</v>
      </c>
      <c r="O159" s="404">
        <v>-0.0031</v>
      </c>
      <c r="P159" s="18"/>
      <c r="Q159" s="453"/>
      <c r="R159" s="454"/>
      <c r="S159" s="386" t="str">
        <f t="shared" si="409"/>
        <v>2025//11//4</v>
      </c>
      <c r="T159" s="395">
        <v>5764747</v>
      </c>
      <c r="U159" s="395">
        <v>5824147</v>
      </c>
      <c r="V159" s="403">
        <v>-59400</v>
      </c>
      <c r="W159" s="404">
        <v>-0.0102</v>
      </c>
      <c r="X159" s="18"/>
      <c r="Y159" s="453"/>
      <c r="Z159" s="454"/>
      <c r="AA159" s="386" t="str">
        <f t="shared" si="410"/>
        <v>2025//11//4</v>
      </c>
      <c r="AB159" s="395">
        <v>1814097</v>
      </c>
      <c r="AC159" s="395">
        <v>1832857</v>
      </c>
      <c r="AD159" s="403">
        <v>-18760</v>
      </c>
      <c r="AE159" s="404">
        <v>-0.0102</v>
      </c>
      <c r="AF159" s="18"/>
      <c r="AG159" s="453"/>
      <c r="AH159" s="454"/>
      <c r="AI159" s="386" t="str">
        <f t="shared" si="411"/>
        <v>2025//11//4</v>
      </c>
      <c r="AJ159" s="395">
        <v>2468722</v>
      </c>
      <c r="AK159" s="386">
        <v>2477322</v>
      </c>
      <c r="AL159" s="403">
        <v>-8600</v>
      </c>
      <c r="AM159" s="404">
        <v>-0.0035</v>
      </c>
      <c r="AN159" s="18"/>
      <c r="AO159" s="18"/>
      <c r="AP159" s="454"/>
      <c r="AQ159" s="386" t="str">
        <f t="shared" si="412"/>
        <v>2025//11//4</v>
      </c>
      <c r="AR159" s="418">
        <v>3275645</v>
      </c>
      <c r="AS159" s="395">
        <v>3271745</v>
      </c>
      <c r="AT159" s="459">
        <v>3900</v>
      </c>
      <c r="AU159" s="460">
        <v>0.0012</v>
      </c>
      <c r="AV159" s="18"/>
      <c r="AW159" s="18"/>
      <c r="AX159" s="17"/>
      <c r="AY159" s="17"/>
      <c r="AZ159" s="17" t="str">
        <f t="shared" si="413"/>
        <v>2025//11//4</v>
      </c>
      <c r="BA159" s="17"/>
      <c r="BB159" s="17"/>
      <c r="BC159" s="17"/>
      <c r="BD159" s="18"/>
      <c r="BE159" s="18"/>
      <c r="BF159" s="18"/>
      <c r="BG159" s="74"/>
      <c r="BH159" s="387" t="str">
        <f t="shared" si="414"/>
        <v>2025//11//4</v>
      </c>
      <c r="BI159" s="387">
        <v>50127</v>
      </c>
      <c r="BJ159" s="387">
        <v>44627</v>
      </c>
      <c r="BK159" s="421">
        <v>5500</v>
      </c>
      <c r="BL159" s="422">
        <v>0.1232</v>
      </c>
      <c r="BM159" s="197"/>
      <c r="BN159" s="192"/>
      <c r="BO159" s="389"/>
      <c r="BP159" s="390" t="str">
        <f t="shared" si="415"/>
        <v>2025//11//4</v>
      </c>
      <c r="BQ159" s="392">
        <v>614162</v>
      </c>
      <c r="BR159" s="390">
        <v>627362</v>
      </c>
      <c r="BS159" s="414">
        <v>-13200</v>
      </c>
      <c r="BT159" s="415">
        <v>-0.021</v>
      </c>
      <c r="BU159" s="192"/>
      <c r="BV159" s="192"/>
      <c r="BW159" s="389"/>
      <c r="BX159" s="390" t="str">
        <f t="shared" si="416"/>
        <v>2025//11//4</v>
      </c>
      <c r="BY159" s="390">
        <v>2376861</v>
      </c>
      <c r="BZ159" s="390">
        <v>2402761</v>
      </c>
      <c r="CA159" s="414">
        <v>-25900</v>
      </c>
      <c r="CB159" s="415">
        <v>-0.0108</v>
      </c>
      <c r="CC159" s="192"/>
      <c r="CD159" s="409"/>
      <c r="CE159" s="514"/>
      <c r="CF159" s="410" t="str">
        <f t="shared" si="417"/>
        <v>2025//11//4</v>
      </c>
      <c r="CG159" s="200">
        <v>983553.9</v>
      </c>
      <c r="CH159" s="200">
        <v>985503.9</v>
      </c>
      <c r="CI159" s="12">
        <f t="shared" si="457"/>
        <v>-1950</v>
      </c>
      <c r="CJ159" s="199">
        <f t="shared" si="458"/>
        <v>-0.00197868318938159</v>
      </c>
      <c r="CK159" s="192"/>
      <c r="CL159" s="391"/>
      <c r="CM159" s="389"/>
      <c r="CN159" s="390" t="str">
        <f t="shared" si="418"/>
        <v>2025//11//4</v>
      </c>
      <c r="CO159" s="390">
        <v>102846</v>
      </c>
      <c r="CP159" s="390">
        <v>102646</v>
      </c>
      <c r="CQ159" s="12">
        <f t="shared" si="459"/>
        <v>200</v>
      </c>
      <c r="CR159" s="199">
        <f t="shared" si="460"/>
        <v>0.00194844416733239</v>
      </c>
      <c r="CS159" s="391"/>
      <c r="CT159" s="391"/>
      <c r="CU159" s="389"/>
      <c r="CV159" s="390" t="str">
        <f t="shared" si="419"/>
        <v>2025//11//4</v>
      </c>
      <c r="CW159" s="390">
        <v>681590</v>
      </c>
      <c r="CX159" s="390">
        <v>677240</v>
      </c>
      <c r="CY159" s="416">
        <v>4350</v>
      </c>
      <c r="CZ159" s="417">
        <v>0.0064</v>
      </c>
      <c r="DA159" s="192"/>
      <c r="DB159" s="192"/>
      <c r="DC159" s="277"/>
      <c r="DD159" s="390" t="str">
        <f t="shared" si="420"/>
        <v>2025//11//4</v>
      </c>
      <c r="DE159" s="390">
        <v>1008918</v>
      </c>
      <c r="DF159" s="12">
        <f t="shared" si="461"/>
        <v>1022118</v>
      </c>
      <c r="DG159" s="414">
        <v>-6600</v>
      </c>
      <c r="DH159" s="415">
        <v>-0.0129</v>
      </c>
      <c r="DI159" s="192"/>
      <c r="DJ159" s="192"/>
      <c r="DK159" s="389"/>
      <c r="DL159" s="390" t="str">
        <f t="shared" si="421"/>
        <v>2025//11//4</v>
      </c>
      <c r="DM159" s="390">
        <v>1574100</v>
      </c>
      <c r="DN159" s="390">
        <v>1574700</v>
      </c>
      <c r="DO159" s="414">
        <v>-600</v>
      </c>
      <c r="DP159" s="415">
        <v>-0.0004</v>
      </c>
      <c r="DQ159" s="192"/>
      <c r="DR159" s="192"/>
      <c r="DS159" s="389"/>
      <c r="DT159" s="390" t="str">
        <f t="shared" si="422"/>
        <v>2025//11//4</v>
      </c>
      <c r="DU159" s="390">
        <v>1734689</v>
      </c>
      <c r="DV159" s="390">
        <v>1730189</v>
      </c>
      <c r="DW159" s="416">
        <v>4500</v>
      </c>
      <c r="DX159" s="417">
        <v>0.0026</v>
      </c>
      <c r="DY159" s="192"/>
      <c r="DZ159" s="192"/>
      <c r="EA159" s="389"/>
      <c r="EB159" s="390" t="str">
        <f t="shared" si="423"/>
        <v>2025//11//4</v>
      </c>
      <c r="EC159" s="390">
        <v>4997517</v>
      </c>
      <c r="ED159" s="390">
        <v>5049717</v>
      </c>
      <c r="EE159" s="414">
        <v>-52200</v>
      </c>
      <c r="EF159" s="415">
        <v>-0.0103</v>
      </c>
      <c r="EG159" s="192"/>
      <c r="EH159" s="192"/>
      <c r="EI159" s="389"/>
      <c r="EJ159" s="390" t="str">
        <f t="shared" si="424"/>
        <v>2025//11//4</v>
      </c>
      <c r="EK159" s="390">
        <v>1595323</v>
      </c>
      <c r="EL159" s="390">
        <v>1587323</v>
      </c>
      <c r="EM159" s="416">
        <v>8000</v>
      </c>
      <c r="EN159" s="417">
        <v>0.005</v>
      </c>
      <c r="EO159" s="192"/>
      <c r="EP159" s="192"/>
      <c r="EQ159" s="192"/>
      <c r="ER159" s="8" t="str">
        <f t="shared" si="425"/>
        <v>2025//11//4</v>
      </c>
      <c r="ES159" s="192"/>
      <c r="ET159" s="192"/>
      <c r="EU159" s="192"/>
      <c r="EV159" s="192"/>
      <c r="EW159" s="192"/>
      <c r="EX159" s="192"/>
      <c r="EY159" s="389"/>
      <c r="EZ159" s="390" t="str">
        <f t="shared" si="426"/>
        <v>2025//11//4</v>
      </c>
      <c r="FA159" s="390">
        <v>1193608</v>
      </c>
      <c r="FB159" s="390">
        <v>1203708</v>
      </c>
      <c r="FC159" s="414">
        <v>-10100</v>
      </c>
      <c r="FD159" s="415">
        <v>-0.0084</v>
      </c>
      <c r="FE159" s="192"/>
      <c r="FF159" s="192"/>
      <c r="FG159" s="192"/>
      <c r="FH159" s="410" t="str">
        <f t="shared" si="427"/>
        <v>2025//11//4</v>
      </c>
      <c r="FI159" s="513">
        <v>114995.33</v>
      </c>
      <c r="FJ159" s="390">
        <f t="shared" si="465"/>
        <v>112595.33</v>
      </c>
      <c r="FK159" s="348">
        <f t="shared" si="466"/>
        <v>2400</v>
      </c>
      <c r="FL159" s="349">
        <f t="shared" si="467"/>
        <v>0.021315271246152</v>
      </c>
      <c r="FM159" s="516"/>
      <c r="FN159" s="516"/>
      <c r="FO159" s="389"/>
      <c r="FP159" s="390" t="str">
        <f t="shared" si="428"/>
        <v>2025//11//4</v>
      </c>
      <c r="FQ159" s="390">
        <v>2281619</v>
      </c>
      <c r="FR159" s="390">
        <v>2244269</v>
      </c>
      <c r="FS159" s="416">
        <v>37350</v>
      </c>
      <c r="FT159" s="417">
        <v>0.0166</v>
      </c>
      <c r="FU159" s="192"/>
      <c r="FV159" s="192"/>
      <c r="FW159" s="389"/>
      <c r="FX159" s="390" t="str">
        <f t="shared" si="429"/>
        <v>2025//11//4</v>
      </c>
      <c r="FY159" s="390">
        <v>7007082</v>
      </c>
      <c r="FZ159" s="390">
        <v>6917782</v>
      </c>
      <c r="GA159" s="416">
        <v>89300</v>
      </c>
      <c r="GB159" s="417">
        <v>0.0129</v>
      </c>
      <c r="GC159" s="192"/>
      <c r="GD159" s="192"/>
      <c r="GE159" s="389"/>
      <c r="GF159" s="390" t="str">
        <f t="shared" si="430"/>
        <v>2025//11//4</v>
      </c>
      <c r="GG159" s="390">
        <v>4258669</v>
      </c>
      <c r="GH159" s="390">
        <v>4197769</v>
      </c>
      <c r="GI159" s="416">
        <v>60900</v>
      </c>
      <c r="GJ159" s="417">
        <v>0.0145</v>
      </c>
      <c r="GK159" s="192"/>
      <c r="GL159" s="192"/>
      <c r="GM159" s="389"/>
      <c r="GN159" s="390" t="str">
        <f t="shared" si="431"/>
        <v>2025//11//4</v>
      </c>
      <c r="GO159" s="390">
        <v>1453558</v>
      </c>
      <c r="GP159" s="390">
        <v>1419898</v>
      </c>
      <c r="GQ159" s="416">
        <v>33660</v>
      </c>
      <c r="GR159" s="417">
        <v>0.0237</v>
      </c>
      <c r="GS159" s="192"/>
      <c r="GT159" s="192"/>
      <c r="GU159" s="389"/>
      <c r="GV159" s="390" t="str">
        <f t="shared" si="432"/>
        <v>2025//11//4</v>
      </c>
      <c r="GW159" s="390">
        <v>1401749</v>
      </c>
      <c r="GX159" s="390">
        <v>1403549</v>
      </c>
      <c r="GY159" s="414">
        <v>-1800</v>
      </c>
      <c r="GZ159" s="415">
        <v>-0.0013</v>
      </c>
      <c r="HA159" s="192"/>
      <c r="HB159" s="192"/>
      <c r="HC159" s="389"/>
      <c r="HD159" s="390" t="str">
        <f t="shared" si="433"/>
        <v>2025//11//4</v>
      </c>
      <c r="HE159" s="390">
        <v>1502265</v>
      </c>
      <c r="HF159" s="390">
        <v>1492565</v>
      </c>
      <c r="HG159" s="416">
        <v>9700</v>
      </c>
      <c r="HH159" s="417">
        <v>0.0065</v>
      </c>
      <c r="HI159" s="391"/>
      <c r="HJ159" s="192"/>
      <c r="HK159" s="389"/>
      <c r="HL159" s="390" t="str">
        <f t="shared" si="434"/>
        <v>2025//11//4</v>
      </c>
      <c r="HM159" s="390">
        <v>219004</v>
      </c>
      <c r="HN159" s="390">
        <v>220004</v>
      </c>
      <c r="HO159" s="414">
        <v>-1000</v>
      </c>
      <c r="HP159" s="415">
        <v>-0.0045</v>
      </c>
      <c r="HQ159" s="192"/>
      <c r="HR159" s="192"/>
      <c r="HS159" s="389"/>
      <c r="HT159" s="390" t="str">
        <f t="shared" si="435"/>
        <v>2025//11//4</v>
      </c>
      <c r="HU159" s="390">
        <v>153769</v>
      </c>
      <c r="HV159" s="390">
        <v>154869</v>
      </c>
      <c r="HW159" s="414">
        <v>-1100</v>
      </c>
      <c r="HX159" s="415">
        <v>-0.0071</v>
      </c>
      <c r="HY159" s="192"/>
      <c r="HZ159" s="192"/>
      <c r="IA159" s="389"/>
      <c r="IB159" s="390" t="str">
        <f t="shared" si="436"/>
        <v>2025//11//4</v>
      </c>
      <c r="IE159" s="390"/>
      <c r="IF159" s="391"/>
      <c r="IG159" s="192"/>
      <c r="IH159" s="192"/>
      <c r="II159" s="389"/>
      <c r="IJ159" s="390" t="str">
        <f t="shared" si="437"/>
        <v>2025//11//4</v>
      </c>
      <c r="IK159" s="390">
        <v>415436</v>
      </c>
      <c r="IL159" s="390">
        <v>407916</v>
      </c>
      <c r="IM159" s="416">
        <v>7520</v>
      </c>
      <c r="IN159" s="417">
        <v>0.0184</v>
      </c>
      <c r="IO159" s="192"/>
      <c r="IP159" s="192"/>
      <c r="IQ159" s="389"/>
      <c r="IR159" s="390" t="str">
        <f t="shared" si="438"/>
        <v>2025//11//4</v>
      </c>
      <c r="IS159" s="390">
        <v>124389</v>
      </c>
      <c r="IT159" s="390">
        <v>125289</v>
      </c>
      <c r="IU159" s="414">
        <v>-900</v>
      </c>
      <c r="IV159" s="415">
        <v>-0.0072</v>
      </c>
      <c r="IW159" s="192"/>
      <c r="IX159" s="192"/>
      <c r="IY159" s="389"/>
      <c r="IZ159" s="390" t="str">
        <f t="shared" si="439"/>
        <v>2025//11//4</v>
      </c>
      <c r="JA159" s="390">
        <v>5080229</v>
      </c>
      <c r="JB159" s="390">
        <v>4979929</v>
      </c>
      <c r="JC159" s="416">
        <v>100300</v>
      </c>
      <c r="JD159" s="417">
        <v>0.0201</v>
      </c>
      <c r="JE159" s="192"/>
      <c r="JF159" s="192"/>
      <c r="JG159" s="389"/>
      <c r="JH159" s="390" t="str">
        <f t="shared" si="440"/>
        <v>2025//11//4</v>
      </c>
      <c r="JI159" s="390">
        <v>2363128</v>
      </c>
      <c r="JJ159" s="390">
        <v>2366188</v>
      </c>
      <c r="JK159" s="414">
        <v>-3060</v>
      </c>
      <c r="JL159" s="415">
        <v>-0.0013</v>
      </c>
      <c r="JM159" s="192"/>
      <c r="JN159" s="192"/>
      <c r="JO159" s="192"/>
      <c r="JP159" s="390" t="str">
        <f t="shared" si="441"/>
        <v>2025//11//4</v>
      </c>
      <c r="JQ159" s="390">
        <v>1224790</v>
      </c>
      <c r="JR159" s="390">
        <v>1221590</v>
      </c>
      <c r="JS159" s="416">
        <v>3200</v>
      </c>
      <c r="JT159" s="417">
        <v>0.0026</v>
      </c>
      <c r="JU159" s="192"/>
      <c r="JV159" s="192"/>
      <c r="JW159" s="409"/>
      <c r="JX159" s="390" t="str">
        <f t="shared" si="442"/>
        <v>2025//11//4</v>
      </c>
      <c r="JY159" s="390">
        <v>1506099</v>
      </c>
      <c r="JZ159" s="390">
        <v>1499899</v>
      </c>
      <c r="KA159" s="416">
        <v>6200</v>
      </c>
      <c r="KB159" s="417">
        <v>0.0041</v>
      </c>
      <c r="KC159" s="192"/>
      <c r="KD159" s="192"/>
      <c r="KE159" s="409"/>
      <c r="KF159" s="390" t="str">
        <f t="shared" si="443"/>
        <v>2025//11//4</v>
      </c>
      <c r="KG159" s="390">
        <v>939356</v>
      </c>
      <c r="KH159" s="390">
        <v>939356</v>
      </c>
      <c r="KI159" s="410">
        <v>0</v>
      </c>
      <c r="KJ159" s="409">
        <v>0</v>
      </c>
      <c r="KK159" s="391"/>
      <c r="KL159" s="391"/>
      <c r="KM159" s="389"/>
      <c r="KN159" s="390" t="str">
        <f t="shared" si="444"/>
        <v>2025//11//4</v>
      </c>
      <c r="KO159" s="390">
        <v>5764076</v>
      </c>
      <c r="KP159" s="390">
        <v>5708076</v>
      </c>
      <c r="KQ159" s="416">
        <v>56000</v>
      </c>
      <c r="KR159" s="417">
        <v>0.0098</v>
      </c>
      <c r="KS159" s="192"/>
      <c r="KT159" s="192"/>
      <c r="KV159" s="8" t="str">
        <f t="shared" si="445"/>
        <v>2025//11//4</v>
      </c>
      <c r="KZ159" s="192"/>
      <c r="LA159" s="192"/>
      <c r="LB159" s="192"/>
      <c r="LC159" s="389"/>
      <c r="LD159" s="390" t="str">
        <f t="shared" si="446"/>
        <v>2025//11//4</v>
      </c>
      <c r="LE159" s="390">
        <v>520308</v>
      </c>
      <c r="LF159" s="390">
        <v>521808</v>
      </c>
      <c r="LG159" s="414">
        <v>-1500</v>
      </c>
      <c r="LH159" s="415">
        <v>-0.0029</v>
      </c>
      <c r="LI159" s="192"/>
      <c r="LJ159" s="192"/>
      <c r="LK159" s="389"/>
      <c r="LL159" s="390" t="str">
        <f t="shared" si="447"/>
        <v>2025//11//4</v>
      </c>
      <c r="LM159" s="392">
        <v>3635575</v>
      </c>
      <c r="LN159" s="390">
        <v>3611995</v>
      </c>
      <c r="LO159" s="416">
        <v>23580</v>
      </c>
      <c r="LP159" s="417">
        <v>0.0065</v>
      </c>
      <c r="LQ159" s="192"/>
      <c r="LR159" s="192"/>
      <c r="LS159" s="389"/>
      <c r="LT159" s="390" t="str">
        <f t="shared" si="448"/>
        <v>2025//11//4</v>
      </c>
      <c r="LU159" s="390">
        <v>2554463</v>
      </c>
      <c r="LV159" s="390">
        <v>2534463</v>
      </c>
      <c r="LW159" s="416">
        <v>20000</v>
      </c>
      <c r="LX159" s="417">
        <v>0.0079</v>
      </c>
      <c r="LY159" s="192"/>
      <c r="LZ159" s="192"/>
      <c r="MA159" s="389"/>
      <c r="MB159" s="390" t="str">
        <f t="shared" si="449"/>
        <v>2025//11//4</v>
      </c>
      <c r="MC159" s="390">
        <v>1064968</v>
      </c>
      <c r="MD159" s="390">
        <v>1068968</v>
      </c>
      <c r="ME159" s="414">
        <v>-4000</v>
      </c>
      <c r="MF159" s="415">
        <v>-0.0037</v>
      </c>
      <c r="MG159" s="192"/>
      <c r="MH159" s="192"/>
      <c r="MI159" s="389"/>
      <c r="MJ159" s="389"/>
      <c r="MK159" s="390" t="str">
        <f t="shared" si="450"/>
        <v>2025//11//4</v>
      </c>
      <c r="ML159" s="389"/>
      <c r="MM159" s="203"/>
      <c r="MN159" s="389"/>
      <c r="MO159" s="391"/>
      <c r="MP159" s="391"/>
      <c r="MQ159" s="391"/>
      <c r="MR159" s="391"/>
      <c r="MS159" s="391"/>
      <c r="MT159" s="26" t="str">
        <f t="shared" si="451"/>
        <v>2025//11//4</v>
      </c>
      <c r="MX159" s="192"/>
      <c r="MY159" s="192"/>
      <c r="MZ159" s="192"/>
      <c r="NA159" s="192"/>
      <c r="NB159" s="192"/>
      <c r="NC159" s="8" t="str">
        <f t="shared" si="452"/>
        <v>2025//11//4</v>
      </c>
      <c r="NG159" s="192"/>
      <c r="NH159" s="192"/>
      <c r="NI159" s="192"/>
      <c r="NJ159" s="192"/>
      <c r="NK159" s="192"/>
      <c r="NL159" s="8"/>
      <c r="NM159" s="8" t="str">
        <f t="shared" si="453"/>
        <v>2025//11//4</v>
      </c>
      <c r="NQ159" s="192"/>
      <c r="NR159" s="192"/>
      <c r="NS159" s="8"/>
      <c r="NU159" s="8" t="str">
        <f t="shared" si="454"/>
        <v>2025//11//4</v>
      </c>
      <c r="NV159" s="389"/>
      <c r="NW159" s="389"/>
      <c r="NX159" s="389"/>
      <c r="NY159" s="391"/>
      <c r="NZ159" s="391"/>
      <c r="OA159" s="389"/>
      <c r="OB159" s="389"/>
      <c r="OC159" s="390" t="str">
        <f t="shared" si="455"/>
        <v>2025//11//4</v>
      </c>
      <c r="OD159" s="390">
        <v>16688</v>
      </c>
      <c r="OE159" s="390">
        <v>16642</v>
      </c>
      <c r="OF159" s="416">
        <v>46</v>
      </c>
      <c r="OG159" s="417">
        <v>0.0028</v>
      </c>
      <c r="OH159" s="192"/>
      <c r="OI159" s="192"/>
      <c r="OJ159" s="389"/>
      <c r="OK159" s="390" t="str">
        <f t="shared" si="456"/>
        <v>2025//11//4</v>
      </c>
      <c r="OL159" s="200">
        <v>10990.65</v>
      </c>
      <c r="OM159" s="8">
        <f>OL160</f>
        <v>10990.65</v>
      </c>
      <c r="ON159" s="8">
        <f>OL159-OM159</f>
        <v>0</v>
      </c>
      <c r="OO159" s="192">
        <f>ON159/OM159</f>
        <v>0</v>
      </c>
      <c r="OP159" s="192"/>
      <c r="OQ159" s="192"/>
      <c r="OT159" s="26" t="str">
        <f t="shared" si="407"/>
        <v>2025//11//4</v>
      </c>
      <c r="OU159" s="206">
        <v>132072.4066</v>
      </c>
      <c r="OV159" s="8">
        <f t="shared" si="462"/>
        <v>131952.4066</v>
      </c>
      <c r="OW159" s="191">
        <f t="shared" si="463"/>
        <v>120</v>
      </c>
      <c r="OX159" s="192">
        <f t="shared" si="464"/>
        <v>0.00090941880555288</v>
      </c>
    </row>
    <row r="160" s="8" customFormat="1" ht="17" customHeight="1" spans="1:414">
      <c r="A160" s="15"/>
      <c r="B160" s="15"/>
      <c r="C160" s="385" t="s">
        <v>589</v>
      </c>
      <c r="D160" s="395">
        <v>9036859</v>
      </c>
      <c r="E160" s="395">
        <v>9050719</v>
      </c>
      <c r="F160" s="403">
        <v>-13860</v>
      </c>
      <c r="G160" s="404">
        <v>-0.0015</v>
      </c>
      <c r="H160" s="18"/>
      <c r="I160" s="453"/>
      <c r="J160" s="453"/>
      <c r="K160" s="386" t="str">
        <f t="shared" si="408"/>
        <v>2025//11//3</v>
      </c>
      <c r="L160" s="395">
        <v>6694084</v>
      </c>
      <c r="M160" s="395">
        <v>6697144</v>
      </c>
      <c r="N160" s="403">
        <v>-3060</v>
      </c>
      <c r="O160" s="404">
        <v>-0.0005</v>
      </c>
      <c r="P160" s="18"/>
      <c r="Q160" s="453"/>
      <c r="R160" s="454"/>
      <c r="S160" s="386" t="str">
        <f t="shared" si="409"/>
        <v>2025//11//3</v>
      </c>
      <c r="T160" s="395">
        <v>5824147</v>
      </c>
      <c r="U160" s="395">
        <v>5862127</v>
      </c>
      <c r="V160" s="403">
        <v>-37980</v>
      </c>
      <c r="W160" s="404">
        <v>-0.0065</v>
      </c>
      <c r="X160" s="18"/>
      <c r="Y160" s="453"/>
      <c r="Z160" s="454"/>
      <c r="AA160" s="386" t="str">
        <f t="shared" si="410"/>
        <v>2025//11//3</v>
      </c>
      <c r="AB160" s="395">
        <v>1832857</v>
      </c>
      <c r="AC160" s="395">
        <v>1839937</v>
      </c>
      <c r="AD160" s="403">
        <v>-7080</v>
      </c>
      <c r="AE160" s="404">
        <v>-0.0038</v>
      </c>
      <c r="AF160" s="18"/>
      <c r="AG160" s="453"/>
      <c r="AH160" s="454"/>
      <c r="AI160" s="386" t="str">
        <f t="shared" si="411"/>
        <v>2025//11//3</v>
      </c>
      <c r="AJ160" s="395">
        <v>2477322</v>
      </c>
      <c r="AK160" s="386">
        <v>2491122</v>
      </c>
      <c r="AL160" s="403">
        <v>-13800</v>
      </c>
      <c r="AM160" s="404">
        <v>-0.0055</v>
      </c>
      <c r="AN160" s="18"/>
      <c r="AO160" s="18"/>
      <c r="AP160" s="454"/>
      <c r="AQ160" s="386" t="str">
        <f t="shared" si="412"/>
        <v>2025//11//3</v>
      </c>
      <c r="AR160" s="418">
        <v>3271745</v>
      </c>
      <c r="AS160" s="395">
        <v>3267345</v>
      </c>
      <c r="AT160" s="459">
        <v>4400</v>
      </c>
      <c r="AU160" s="460">
        <v>0.0013</v>
      </c>
      <c r="AV160" s="18"/>
      <c r="AW160" s="18"/>
      <c r="AX160" s="17"/>
      <c r="AY160" s="17"/>
      <c r="AZ160" s="17" t="str">
        <f t="shared" si="413"/>
        <v>2025//11//3</v>
      </c>
      <c r="BA160" s="17"/>
      <c r="BB160" s="17"/>
      <c r="BC160" s="17"/>
      <c r="BD160" s="18"/>
      <c r="BE160" s="18"/>
      <c r="BF160" s="18"/>
      <c r="BG160" s="74"/>
      <c r="BH160" s="387" t="str">
        <f t="shared" si="414"/>
        <v>2025//11//3</v>
      </c>
      <c r="BI160" s="387">
        <v>44627</v>
      </c>
      <c r="BJ160" s="387">
        <v>37627</v>
      </c>
      <c r="BK160" s="421">
        <v>7000</v>
      </c>
      <c r="BL160" s="422">
        <v>0.186</v>
      </c>
      <c r="BM160" s="197"/>
      <c r="BN160" s="192"/>
      <c r="BO160" s="389"/>
      <c r="BP160" s="390" t="str">
        <f t="shared" si="415"/>
        <v>2025//11//3</v>
      </c>
      <c r="BQ160" s="392">
        <v>627362</v>
      </c>
      <c r="BR160" s="390">
        <v>612962</v>
      </c>
      <c r="BS160" s="416">
        <v>14400</v>
      </c>
      <c r="BT160" s="417">
        <v>0.0235</v>
      </c>
      <c r="BU160" s="192"/>
      <c r="BV160" s="192"/>
      <c r="BW160" s="389"/>
      <c r="BX160" s="390" t="str">
        <f t="shared" si="416"/>
        <v>2025//11//3</v>
      </c>
      <c r="BY160" s="390">
        <v>2402761</v>
      </c>
      <c r="BZ160" s="390">
        <v>2344661</v>
      </c>
      <c r="CA160" s="416">
        <v>58100</v>
      </c>
      <c r="CB160" s="417">
        <v>0.0248</v>
      </c>
      <c r="CC160" s="192"/>
      <c r="CD160" s="409"/>
      <c r="CE160" s="514"/>
      <c r="CF160" s="410" t="str">
        <f t="shared" si="417"/>
        <v>2025//11//3</v>
      </c>
      <c r="CG160" s="200">
        <v>985503.9</v>
      </c>
      <c r="CH160" s="200">
        <v>1009803.9</v>
      </c>
      <c r="CI160" s="12">
        <f t="shared" si="457"/>
        <v>-24300</v>
      </c>
      <c r="CJ160" s="199">
        <f t="shared" si="458"/>
        <v>-0.0240640781838929</v>
      </c>
      <c r="CK160" s="192"/>
      <c r="CL160" s="391"/>
      <c r="CM160" s="389"/>
      <c r="CN160" s="390" t="str">
        <f t="shared" si="418"/>
        <v>2025//11//3</v>
      </c>
      <c r="CO160" s="390">
        <v>102646</v>
      </c>
      <c r="CP160" s="390">
        <v>102546</v>
      </c>
      <c r="CQ160" s="12">
        <f t="shared" si="459"/>
        <v>100</v>
      </c>
      <c r="CR160" s="199">
        <f t="shared" si="460"/>
        <v>0.000975172117878806</v>
      </c>
      <c r="CS160" s="391"/>
      <c r="CT160" s="391"/>
      <c r="CU160" s="389"/>
      <c r="CV160" s="390" t="str">
        <f t="shared" si="419"/>
        <v>2025//11//3</v>
      </c>
      <c r="CW160" s="390">
        <v>677240</v>
      </c>
      <c r="CX160" s="390">
        <v>674190</v>
      </c>
      <c r="CY160" s="416">
        <v>3050</v>
      </c>
      <c r="CZ160" s="417">
        <v>0.0045</v>
      </c>
      <c r="DA160" s="192"/>
      <c r="DB160" s="192"/>
      <c r="DC160" s="277"/>
      <c r="DD160" s="390" t="str">
        <f t="shared" si="420"/>
        <v>2025//11//3</v>
      </c>
      <c r="DE160" s="390">
        <v>1022118</v>
      </c>
      <c r="DF160" s="12">
        <f t="shared" si="461"/>
        <v>1063718</v>
      </c>
      <c r="DG160" s="414">
        <v>-20800</v>
      </c>
      <c r="DH160" s="415">
        <v>-0.0391</v>
      </c>
      <c r="DI160" s="192"/>
      <c r="DJ160" s="192"/>
      <c r="DK160" s="389"/>
      <c r="DL160" s="390" t="str">
        <f t="shared" si="421"/>
        <v>2025//11//3</v>
      </c>
      <c r="DM160" s="390">
        <v>1574700</v>
      </c>
      <c r="DN160" s="390">
        <v>1580700</v>
      </c>
      <c r="DO160" s="414">
        <v>-6000</v>
      </c>
      <c r="DP160" s="415">
        <v>-0.0038</v>
      </c>
      <c r="DQ160" s="192"/>
      <c r="DR160" s="192"/>
      <c r="DS160" s="389"/>
      <c r="DT160" s="390" t="str">
        <f t="shared" si="422"/>
        <v>2025//11//3</v>
      </c>
      <c r="DU160" s="390">
        <v>1730189</v>
      </c>
      <c r="DV160" s="390">
        <v>1736489</v>
      </c>
      <c r="DW160" s="414">
        <v>-6300</v>
      </c>
      <c r="DX160" s="415">
        <v>-0.0036</v>
      </c>
      <c r="DY160" s="192"/>
      <c r="DZ160" s="192"/>
      <c r="EA160" s="389"/>
      <c r="EB160" s="390" t="str">
        <f t="shared" si="423"/>
        <v>2025//11//3</v>
      </c>
      <c r="EC160" s="390">
        <v>5049717</v>
      </c>
      <c r="ED160" s="390">
        <v>5027217</v>
      </c>
      <c r="EE160" s="416">
        <v>22500</v>
      </c>
      <c r="EF160" s="417">
        <v>0.0045</v>
      </c>
      <c r="EG160" s="192"/>
      <c r="EH160" s="192"/>
      <c r="EI160" s="389"/>
      <c r="EJ160" s="390" t="str">
        <f t="shared" si="424"/>
        <v>2025//11//3</v>
      </c>
      <c r="EK160" s="390">
        <v>1587323</v>
      </c>
      <c r="EL160" s="390">
        <v>1587323</v>
      </c>
      <c r="EM160" s="410">
        <v>0</v>
      </c>
      <c r="EN160" s="409">
        <v>0</v>
      </c>
      <c r="EO160" s="192"/>
      <c r="EP160" s="192"/>
      <c r="EQ160" s="192"/>
      <c r="ER160" s="8" t="str">
        <f t="shared" si="425"/>
        <v>2025//11//3</v>
      </c>
      <c r="ES160" s="192"/>
      <c r="ET160" s="192"/>
      <c r="EU160" s="192"/>
      <c r="EV160" s="192"/>
      <c r="EW160" s="192"/>
      <c r="EX160" s="192"/>
      <c r="EY160" s="389"/>
      <c r="EZ160" s="390" t="str">
        <f t="shared" si="426"/>
        <v>2025//11//3</v>
      </c>
      <c r="FA160" s="390">
        <v>1203708</v>
      </c>
      <c r="FB160" s="390">
        <v>1214508</v>
      </c>
      <c r="FC160" s="414">
        <v>-10800</v>
      </c>
      <c r="FD160" s="415">
        <v>-0.0089</v>
      </c>
      <c r="FE160" s="192"/>
      <c r="FF160" s="192"/>
      <c r="FG160" s="192"/>
      <c r="FH160" s="410" t="str">
        <f t="shared" si="427"/>
        <v>2025//11//3</v>
      </c>
      <c r="FI160" s="513">
        <v>112595.33</v>
      </c>
      <c r="FJ160" s="390">
        <f t="shared" si="465"/>
        <v>111495.33</v>
      </c>
      <c r="FK160" s="348">
        <f t="shared" si="466"/>
        <v>1100</v>
      </c>
      <c r="FL160" s="349">
        <f t="shared" si="467"/>
        <v>0.00986588406886638</v>
      </c>
      <c r="FM160" s="516"/>
      <c r="FN160" s="516"/>
      <c r="FO160" s="389"/>
      <c r="FP160" s="390" t="str">
        <f t="shared" si="428"/>
        <v>2025//11//3</v>
      </c>
      <c r="FQ160" s="390">
        <v>2244269</v>
      </c>
      <c r="FR160" s="390">
        <v>2250869</v>
      </c>
      <c r="FS160" s="414">
        <v>-6600</v>
      </c>
      <c r="FT160" s="415">
        <v>-0.0029</v>
      </c>
      <c r="FU160" s="192"/>
      <c r="FV160" s="192"/>
      <c r="FW160" s="389"/>
      <c r="FX160" s="390" t="str">
        <f t="shared" si="429"/>
        <v>2025//11//3</v>
      </c>
      <c r="FY160" s="390">
        <v>6917782</v>
      </c>
      <c r="FZ160" s="390">
        <v>6921282</v>
      </c>
      <c r="GA160" s="414">
        <v>-3500</v>
      </c>
      <c r="GB160" s="415">
        <v>-0.0005</v>
      </c>
      <c r="GC160" s="192"/>
      <c r="GD160" s="192"/>
      <c r="GE160" s="389"/>
      <c r="GF160" s="390" t="str">
        <f t="shared" si="430"/>
        <v>2025//11//3</v>
      </c>
      <c r="GG160" s="390">
        <v>4197769</v>
      </c>
      <c r="GH160" s="390">
        <v>4170169</v>
      </c>
      <c r="GI160" s="416">
        <v>27600</v>
      </c>
      <c r="GJ160" s="417">
        <v>0.0066</v>
      </c>
      <c r="GK160" s="192"/>
      <c r="GL160" s="192"/>
      <c r="GM160" s="389"/>
      <c r="GN160" s="390" t="str">
        <f t="shared" si="431"/>
        <v>2025//11//3</v>
      </c>
      <c r="GO160" s="390">
        <v>1419898</v>
      </c>
      <c r="GP160" s="390">
        <v>1378738</v>
      </c>
      <c r="GQ160" s="416">
        <v>41160</v>
      </c>
      <c r="GR160" s="417">
        <v>0.0299</v>
      </c>
      <c r="GS160" s="192"/>
      <c r="GT160" s="192"/>
      <c r="GU160" s="389"/>
      <c r="GV160" s="390" t="str">
        <f t="shared" si="432"/>
        <v>2025//11//3</v>
      </c>
      <c r="GW160" s="390">
        <v>1403549</v>
      </c>
      <c r="GX160" s="390">
        <v>1382549</v>
      </c>
      <c r="GY160" s="416">
        <v>21000</v>
      </c>
      <c r="GZ160" s="417">
        <v>0.0152</v>
      </c>
      <c r="HA160" s="192"/>
      <c r="HB160" s="192"/>
      <c r="HC160" s="389"/>
      <c r="HD160" s="390" t="str">
        <f t="shared" si="433"/>
        <v>2025//11//3</v>
      </c>
      <c r="HE160" s="390">
        <v>1492565</v>
      </c>
      <c r="HF160" s="390">
        <v>1499865</v>
      </c>
      <c r="HG160" s="414">
        <v>-7300</v>
      </c>
      <c r="HH160" s="415">
        <v>-0.0049</v>
      </c>
      <c r="HI160" s="391"/>
      <c r="HJ160" s="192"/>
      <c r="HK160" s="389"/>
      <c r="HL160" s="390" t="str">
        <f t="shared" si="434"/>
        <v>2025//11//3</v>
      </c>
      <c r="HM160" s="390">
        <v>220004</v>
      </c>
      <c r="HN160" s="390">
        <v>222054</v>
      </c>
      <c r="HO160" s="414">
        <v>-2050</v>
      </c>
      <c r="HP160" s="415">
        <v>-0.0092</v>
      </c>
      <c r="HQ160" s="192"/>
      <c r="HR160" s="192"/>
      <c r="HS160" s="389"/>
      <c r="HT160" s="390" t="str">
        <f t="shared" si="435"/>
        <v>2025//11//3</v>
      </c>
      <c r="HU160" s="390">
        <v>154869</v>
      </c>
      <c r="HV160" s="390">
        <v>154069</v>
      </c>
      <c r="HW160" s="416">
        <v>800</v>
      </c>
      <c r="HX160" s="417">
        <v>0.0052</v>
      </c>
      <c r="HY160" s="192"/>
      <c r="HZ160" s="192"/>
      <c r="IA160" s="389"/>
      <c r="IB160" s="390" t="str">
        <f t="shared" si="436"/>
        <v>2025//11//3</v>
      </c>
      <c r="IC160" s="200">
        <v>406059.79</v>
      </c>
      <c r="ID160" s="200">
        <v>413434.79</v>
      </c>
      <c r="IE160" s="346">
        <f>IC160-ID160</f>
        <v>-7375</v>
      </c>
      <c r="IF160" s="347">
        <f>IE160/ID160</f>
        <v>-0.0178383633365736</v>
      </c>
      <c r="IG160" s="192"/>
      <c r="IH160" s="192"/>
      <c r="II160" s="389"/>
      <c r="IJ160" s="390" t="str">
        <f t="shared" si="437"/>
        <v>2025//11//3</v>
      </c>
      <c r="IK160" s="390">
        <v>407916</v>
      </c>
      <c r="IL160" s="390">
        <v>407596</v>
      </c>
      <c r="IM160" s="416">
        <v>320</v>
      </c>
      <c r="IN160" s="417">
        <v>0.0008</v>
      </c>
      <c r="IO160" s="192"/>
      <c r="IP160" s="192"/>
      <c r="IQ160" s="389"/>
      <c r="IR160" s="390" t="str">
        <f t="shared" si="438"/>
        <v>2025//11//3</v>
      </c>
      <c r="IS160" s="390">
        <v>125289</v>
      </c>
      <c r="IT160" s="390">
        <v>126489</v>
      </c>
      <c r="IU160" s="414">
        <v>-1200</v>
      </c>
      <c r="IV160" s="415">
        <v>-0.0095</v>
      </c>
      <c r="IW160" s="192"/>
      <c r="IX160" s="192"/>
      <c r="IY160" s="389"/>
      <c r="IZ160" s="390" t="str">
        <f t="shared" si="439"/>
        <v>2025//11//3</v>
      </c>
      <c r="JA160" s="390">
        <v>4979929</v>
      </c>
      <c r="JB160" s="390">
        <v>4891629</v>
      </c>
      <c r="JC160" s="416">
        <v>88300</v>
      </c>
      <c r="JD160" s="417">
        <v>0.0181</v>
      </c>
      <c r="JE160" s="192"/>
      <c r="JF160" s="192"/>
      <c r="JG160" s="389"/>
      <c r="JH160" s="390" t="str">
        <f t="shared" si="440"/>
        <v>2025//11//3</v>
      </c>
      <c r="JI160" s="390">
        <v>2366188</v>
      </c>
      <c r="JJ160" s="390">
        <v>2283568</v>
      </c>
      <c r="JK160" s="416">
        <v>82620</v>
      </c>
      <c r="JL160" s="417">
        <v>0.0362</v>
      </c>
      <c r="JM160" s="192"/>
      <c r="JN160" s="192"/>
      <c r="JO160" s="192"/>
      <c r="JP160" s="390" t="str">
        <f t="shared" si="441"/>
        <v>2025//11//3</v>
      </c>
      <c r="JQ160" s="390">
        <v>1221590</v>
      </c>
      <c r="JR160" s="390">
        <v>1236590</v>
      </c>
      <c r="JS160" s="414">
        <v>-15000</v>
      </c>
      <c r="JT160" s="415">
        <v>-0.0121</v>
      </c>
      <c r="JU160" s="192"/>
      <c r="JV160" s="192"/>
      <c r="JW160" s="409"/>
      <c r="JX160" s="390" t="str">
        <f t="shared" si="442"/>
        <v>2025//11//3</v>
      </c>
      <c r="JY160" s="390">
        <v>1499899</v>
      </c>
      <c r="JZ160" s="390">
        <v>1499899</v>
      </c>
      <c r="KA160" s="410">
        <v>0</v>
      </c>
      <c r="KB160" s="409">
        <v>0</v>
      </c>
      <c r="KC160" s="192"/>
      <c r="KD160" s="192"/>
      <c r="KE160" s="409"/>
      <c r="KF160" s="390" t="str">
        <f t="shared" si="443"/>
        <v>2025//11//3</v>
      </c>
      <c r="KG160" s="390">
        <v>939356</v>
      </c>
      <c r="KH160" s="390">
        <v>939356</v>
      </c>
      <c r="KI160" s="410">
        <v>0</v>
      </c>
      <c r="KJ160" s="409">
        <v>0</v>
      </c>
      <c r="KK160" s="391"/>
      <c r="KL160" s="391"/>
      <c r="KM160" s="389"/>
      <c r="KN160" s="390" t="str">
        <f t="shared" si="444"/>
        <v>2025//11//3</v>
      </c>
      <c r="KO160" s="390">
        <v>5708076</v>
      </c>
      <c r="KP160" s="390">
        <v>5666176</v>
      </c>
      <c r="KQ160" s="416">
        <v>41900</v>
      </c>
      <c r="KR160" s="417">
        <v>0.0074</v>
      </c>
      <c r="KS160" s="192"/>
      <c r="KT160" s="192"/>
      <c r="KV160" s="8" t="str">
        <f t="shared" si="445"/>
        <v>2025//11//3</v>
      </c>
      <c r="KZ160" s="192"/>
      <c r="LA160" s="192"/>
      <c r="LB160" s="192"/>
      <c r="LC160" s="389"/>
      <c r="LD160" s="390" t="str">
        <f t="shared" si="446"/>
        <v>2025//11//3</v>
      </c>
      <c r="LE160" s="390">
        <v>521808</v>
      </c>
      <c r="LF160" s="390">
        <v>530108</v>
      </c>
      <c r="LG160" s="414">
        <v>-8300</v>
      </c>
      <c r="LH160" s="415">
        <v>-0.0157</v>
      </c>
      <c r="LI160" s="192"/>
      <c r="LJ160" s="192"/>
      <c r="LK160" s="389"/>
      <c r="LL160" s="390" t="str">
        <f t="shared" si="447"/>
        <v>2025//11//3</v>
      </c>
      <c r="LM160" s="392">
        <v>3611995</v>
      </c>
      <c r="LN160" s="390">
        <v>3508675</v>
      </c>
      <c r="LO160" s="416">
        <v>103320</v>
      </c>
      <c r="LP160" s="417">
        <v>0.0294</v>
      </c>
      <c r="LQ160" s="192"/>
      <c r="LR160" s="192"/>
      <c r="LS160" s="389"/>
      <c r="LT160" s="390" t="str">
        <f t="shared" si="448"/>
        <v>2025//11//3</v>
      </c>
      <c r="LU160" s="390">
        <v>2534463</v>
      </c>
      <c r="LV160" s="390">
        <v>2532463</v>
      </c>
      <c r="LW160" s="416">
        <v>2000</v>
      </c>
      <c r="LX160" s="417">
        <v>0.0008</v>
      </c>
      <c r="LY160" s="192"/>
      <c r="LZ160" s="192"/>
      <c r="MA160" s="389"/>
      <c r="MB160" s="390" t="str">
        <f t="shared" si="449"/>
        <v>2025//11//3</v>
      </c>
      <c r="MC160" s="390">
        <v>1068968</v>
      </c>
      <c r="MD160" s="390">
        <v>1104718</v>
      </c>
      <c r="ME160" s="414">
        <v>-35750</v>
      </c>
      <c r="MF160" s="415">
        <v>-0.0324</v>
      </c>
      <c r="MG160" s="192"/>
      <c r="MH160" s="192"/>
      <c r="MI160" s="389"/>
      <c r="MJ160" s="389"/>
      <c r="MK160" s="390" t="str">
        <f t="shared" si="450"/>
        <v>2025//11//3</v>
      </c>
      <c r="ML160" s="389"/>
      <c r="MM160" s="203"/>
      <c r="MN160" s="389"/>
      <c r="MO160" s="391"/>
      <c r="MP160" s="391"/>
      <c r="MQ160" s="391"/>
      <c r="MR160" s="391"/>
      <c r="MS160" s="391"/>
      <c r="MT160" s="26" t="str">
        <f t="shared" si="451"/>
        <v>2025//11//3</v>
      </c>
      <c r="MX160" s="192"/>
      <c r="MY160" s="192"/>
      <c r="MZ160" s="192"/>
      <c r="NA160" s="192"/>
      <c r="NB160" s="192"/>
      <c r="NC160" s="8" t="str">
        <f t="shared" si="452"/>
        <v>2025//11//3</v>
      </c>
      <c r="NG160" s="192"/>
      <c r="NH160" s="192"/>
      <c r="NI160" s="192"/>
      <c r="NJ160" s="192"/>
      <c r="NK160" s="192"/>
      <c r="NL160" s="8"/>
      <c r="NM160" s="8" t="str">
        <f t="shared" si="453"/>
        <v>2025//11//3</v>
      </c>
      <c r="NQ160" s="192"/>
      <c r="NR160" s="192"/>
      <c r="NS160" s="8"/>
      <c r="NU160" s="8" t="str">
        <f t="shared" si="454"/>
        <v>2025//11//3</v>
      </c>
      <c r="NV160" s="389"/>
      <c r="NW160" s="389"/>
      <c r="NX160" s="389"/>
      <c r="NY160" s="391"/>
      <c r="NZ160" s="391"/>
      <c r="OA160" s="389"/>
      <c r="OB160" s="389"/>
      <c r="OC160" s="390" t="str">
        <f t="shared" si="455"/>
        <v>2025//11//3</v>
      </c>
      <c r="OD160" s="390">
        <v>16642</v>
      </c>
      <c r="OE160" s="390">
        <v>16687</v>
      </c>
      <c r="OF160" s="414">
        <v>-45</v>
      </c>
      <c r="OG160" s="415">
        <v>-0.0027</v>
      </c>
      <c r="OH160" s="192"/>
      <c r="OI160" s="192"/>
      <c r="OJ160" s="389"/>
      <c r="OK160" s="390" t="str">
        <f t="shared" si="456"/>
        <v>2025//11//3</v>
      </c>
      <c r="OL160" s="200">
        <v>10990.65</v>
      </c>
      <c r="OM160" s="8">
        <f>OL161</f>
        <v>10990.65</v>
      </c>
      <c r="ON160" s="8">
        <f>OL160-OM160</f>
        <v>0</v>
      </c>
      <c r="OO160" s="192">
        <f>ON160/OM160</f>
        <v>0</v>
      </c>
      <c r="OP160" s="192"/>
      <c r="OQ160" s="192"/>
      <c r="OT160" s="26" t="str">
        <f t="shared" si="407"/>
        <v>2025//11//3</v>
      </c>
      <c r="OU160" s="206">
        <v>131952.4066</v>
      </c>
      <c r="OV160" s="8">
        <f t="shared" si="462"/>
        <v>131832.4066</v>
      </c>
      <c r="OW160" s="191">
        <f t="shared" si="463"/>
        <v>120</v>
      </c>
      <c r="OX160" s="192">
        <f t="shared" si="464"/>
        <v>0.000910246600929456</v>
      </c>
    </row>
    <row r="161" s="10" customFormat="1" ht="17" customHeight="1" spans="1:414">
      <c r="A161" s="212"/>
      <c r="B161" s="212"/>
      <c r="C161" s="425" t="s">
        <v>590</v>
      </c>
      <c r="D161" s="426">
        <v>9050719</v>
      </c>
      <c r="E161" s="426">
        <v>8944429</v>
      </c>
      <c r="F161" s="432">
        <v>106290</v>
      </c>
      <c r="G161" s="433">
        <v>0.0119</v>
      </c>
      <c r="H161" s="216"/>
      <c r="I161" s="429"/>
      <c r="J161" s="429"/>
      <c r="K161" s="430" t="str">
        <f t="shared" si="408"/>
        <v>2025//10//31</v>
      </c>
      <c r="L161" s="426">
        <v>6697144</v>
      </c>
      <c r="M161" s="426">
        <v>6685174</v>
      </c>
      <c r="N161" s="432">
        <v>11970</v>
      </c>
      <c r="O161" s="433">
        <v>0.0018</v>
      </c>
      <c r="P161" s="216"/>
      <c r="Q161" s="429"/>
      <c r="R161" s="431"/>
      <c r="S161" s="430" t="str">
        <f t="shared" si="409"/>
        <v>2025//10//31</v>
      </c>
      <c r="T161" s="426">
        <v>5862127</v>
      </c>
      <c r="U161" s="426">
        <v>5813707</v>
      </c>
      <c r="V161" s="432">
        <v>48420</v>
      </c>
      <c r="W161" s="433">
        <v>0.0083</v>
      </c>
      <c r="X161" s="216"/>
      <c r="Y161" s="429"/>
      <c r="Z161" s="431"/>
      <c r="AA161" s="430" t="str">
        <f t="shared" si="410"/>
        <v>2025//10//31</v>
      </c>
      <c r="AB161" s="426">
        <v>1839937</v>
      </c>
      <c r="AC161" s="426">
        <v>1830177</v>
      </c>
      <c r="AD161" s="432">
        <v>9760</v>
      </c>
      <c r="AE161" s="433">
        <v>0.0053</v>
      </c>
      <c r="AF161" s="216"/>
      <c r="AG161" s="429"/>
      <c r="AH161" s="431"/>
      <c r="AI161" s="430" t="str">
        <f t="shared" si="411"/>
        <v>2025//10//31</v>
      </c>
      <c r="AJ161" s="426">
        <v>2491122</v>
      </c>
      <c r="AK161" s="430">
        <v>2460522</v>
      </c>
      <c r="AL161" s="432">
        <v>30600</v>
      </c>
      <c r="AM161" s="433">
        <v>0.0124</v>
      </c>
      <c r="AN161" s="216"/>
      <c r="AO161" s="216"/>
      <c r="AP161" s="431"/>
      <c r="AQ161" s="430" t="str">
        <f t="shared" si="412"/>
        <v>2025//10//31</v>
      </c>
      <c r="AR161" s="434">
        <v>3267345</v>
      </c>
      <c r="AS161" s="426">
        <v>3247445</v>
      </c>
      <c r="AT161" s="432">
        <v>19900</v>
      </c>
      <c r="AU161" s="433">
        <v>0.0061</v>
      </c>
      <c r="AV161" s="216"/>
      <c r="AW161" s="216"/>
      <c r="AX161" s="217"/>
      <c r="AY161" s="217"/>
      <c r="AZ161" s="217" t="str">
        <f t="shared" si="413"/>
        <v>2025//10//31</v>
      </c>
      <c r="BA161" s="217"/>
      <c r="BB161" s="217"/>
      <c r="BC161" s="217"/>
      <c r="BD161" s="216"/>
      <c r="BE161" s="216"/>
      <c r="BF161" s="216"/>
      <c r="BG161" s="84"/>
      <c r="BH161" s="517" t="str">
        <f t="shared" si="414"/>
        <v>2025//10//31</v>
      </c>
      <c r="BI161" s="517">
        <v>37627</v>
      </c>
      <c r="BJ161" s="517">
        <v>33427</v>
      </c>
      <c r="BK161" s="518">
        <v>4200</v>
      </c>
      <c r="BL161" s="519">
        <v>0.1256</v>
      </c>
      <c r="BM161" s="241"/>
      <c r="BN161" s="242"/>
      <c r="BO161" s="520"/>
      <c r="BP161" s="521" t="str">
        <f t="shared" si="415"/>
        <v>2025//10//31</v>
      </c>
      <c r="BQ161" s="522">
        <v>612962</v>
      </c>
      <c r="BR161" s="521">
        <v>613362</v>
      </c>
      <c r="BS161" s="523">
        <v>-400</v>
      </c>
      <c r="BT161" s="524">
        <v>-0.0007</v>
      </c>
      <c r="BU161" s="242"/>
      <c r="BV161" s="242"/>
      <c r="BW161" s="520"/>
      <c r="BX161" s="521" t="str">
        <f t="shared" si="416"/>
        <v>2025//10//31</v>
      </c>
      <c r="BY161" s="521">
        <v>2344661</v>
      </c>
      <c r="BZ161" s="521">
        <v>2403961</v>
      </c>
      <c r="CA161" s="523">
        <v>-59300</v>
      </c>
      <c r="CB161" s="524">
        <v>-0.0247</v>
      </c>
      <c r="CC161" s="242"/>
      <c r="CD161" s="242"/>
      <c r="CE161" s="520"/>
      <c r="CF161" s="521" t="str">
        <f t="shared" si="417"/>
        <v>2025//10//31</v>
      </c>
      <c r="CG161" s="246">
        <v>1009803.9</v>
      </c>
      <c r="CH161" s="246">
        <v>1025653.9</v>
      </c>
      <c r="CI161" s="244">
        <f t="shared" si="457"/>
        <v>-15850</v>
      </c>
      <c r="CJ161" s="245">
        <f t="shared" si="458"/>
        <v>-0.0154535560192381</v>
      </c>
      <c r="CK161" s="242"/>
      <c r="CL161" s="525"/>
      <c r="CM161" s="520"/>
      <c r="CN161" s="521" t="str">
        <f t="shared" si="418"/>
        <v>2025//10//31</v>
      </c>
      <c r="CO161" s="521">
        <v>102546</v>
      </c>
      <c r="CP161" s="521">
        <v>102846</v>
      </c>
      <c r="CQ161" s="244">
        <f t="shared" si="459"/>
        <v>-300</v>
      </c>
      <c r="CR161" s="245">
        <f t="shared" si="460"/>
        <v>-0.00291698267312292</v>
      </c>
      <c r="CS161" s="242"/>
      <c r="CT161" s="242"/>
      <c r="CV161" s="10" t="str">
        <f t="shared" si="419"/>
        <v>2025//10//31</v>
      </c>
      <c r="CW161" s="521">
        <v>674190</v>
      </c>
      <c r="CX161" s="10"/>
      <c r="CY161" s="10"/>
      <c r="CZ161" s="242"/>
      <c r="DA161" s="242"/>
      <c r="DB161" s="242"/>
      <c r="DC161" s="277"/>
      <c r="DD161" s="521" t="str">
        <f t="shared" si="420"/>
        <v>2025//10//31</v>
      </c>
      <c r="DE161" s="521">
        <v>1063718</v>
      </c>
      <c r="DF161" s="12">
        <f t="shared" si="461"/>
        <v>1041718</v>
      </c>
      <c r="DG161" s="526">
        <v>11000</v>
      </c>
      <c r="DH161" s="527">
        <v>0.0211</v>
      </c>
      <c r="DI161" s="242"/>
      <c r="DJ161" s="242"/>
      <c r="DK161" s="520"/>
      <c r="DL161" s="521" t="str">
        <f t="shared" si="421"/>
        <v>2025//10//31</v>
      </c>
      <c r="DM161" s="521">
        <v>1580700</v>
      </c>
      <c r="DN161" s="521">
        <v>1563100</v>
      </c>
      <c r="DO161" s="526">
        <v>17600</v>
      </c>
      <c r="DP161" s="527">
        <v>0.0113</v>
      </c>
      <c r="DQ161" s="242"/>
      <c r="DR161" s="242"/>
      <c r="DS161" s="520"/>
      <c r="DT161" s="521" t="str">
        <f t="shared" si="422"/>
        <v>2025//10//31</v>
      </c>
      <c r="DU161" s="521">
        <v>1736489</v>
      </c>
      <c r="DV161" s="521">
        <v>1696589</v>
      </c>
      <c r="DW161" s="526">
        <v>39900</v>
      </c>
      <c r="DX161" s="527">
        <v>0.0235</v>
      </c>
      <c r="DY161" s="242"/>
      <c r="DZ161" s="242"/>
      <c r="EA161" s="520"/>
      <c r="EB161" s="521" t="str">
        <f t="shared" si="423"/>
        <v>2025//10//31</v>
      </c>
      <c r="EC161" s="521">
        <v>5027217</v>
      </c>
      <c r="ED161" s="521">
        <v>4917417</v>
      </c>
      <c r="EE161" s="526">
        <v>109800</v>
      </c>
      <c r="EF161" s="527">
        <v>0.0223</v>
      </c>
      <c r="EG161" s="242"/>
      <c r="EH161" s="242"/>
      <c r="EI161" s="520"/>
      <c r="EJ161" s="521" t="str">
        <f t="shared" si="424"/>
        <v>2025//10//31</v>
      </c>
      <c r="EK161" s="521">
        <v>1587323</v>
      </c>
      <c r="EL161" s="521">
        <v>1562923</v>
      </c>
      <c r="EM161" s="526">
        <v>24400</v>
      </c>
      <c r="EN161" s="527">
        <v>0.0156</v>
      </c>
      <c r="EO161" s="242"/>
      <c r="EP161" s="242"/>
      <c r="EQ161" s="242"/>
      <c r="ER161" s="10" t="str">
        <f t="shared" si="425"/>
        <v>2025//10//31</v>
      </c>
      <c r="ES161" s="242"/>
      <c r="ET161" s="242"/>
      <c r="EU161" s="242"/>
      <c r="EV161" s="242"/>
      <c r="EW161" s="242"/>
      <c r="EX161" s="242"/>
      <c r="EY161" s="520"/>
      <c r="EZ161" s="521" t="str">
        <f t="shared" si="426"/>
        <v>2025//10//31</v>
      </c>
      <c r="FA161" s="521">
        <v>1214508</v>
      </c>
      <c r="FB161" s="521">
        <v>1222108</v>
      </c>
      <c r="FC161" s="523">
        <v>-7600</v>
      </c>
      <c r="FD161" s="524">
        <v>-0.0062</v>
      </c>
      <c r="FE161" s="242"/>
      <c r="FF161" s="242"/>
      <c r="FG161" s="242"/>
      <c r="FH161" s="521" t="str">
        <f t="shared" si="427"/>
        <v>2025//10//31</v>
      </c>
      <c r="FI161" s="528">
        <v>111495.33</v>
      </c>
      <c r="FJ161" s="521">
        <f t="shared" si="465"/>
        <v>111295.33</v>
      </c>
      <c r="FK161" s="526">
        <f t="shared" si="466"/>
        <v>200</v>
      </c>
      <c r="FL161" s="527">
        <f t="shared" si="467"/>
        <v>0.00179702059376615</v>
      </c>
      <c r="FM161" s="519"/>
      <c r="FN161" s="529"/>
      <c r="FO161" s="520"/>
      <c r="FP161" s="521" t="str">
        <f t="shared" si="428"/>
        <v>2025//10//31</v>
      </c>
      <c r="FQ161" s="521">
        <v>2250869</v>
      </c>
      <c r="FR161" s="521">
        <v>2251919</v>
      </c>
      <c r="FS161" s="523">
        <v>-1050</v>
      </c>
      <c r="FT161" s="524">
        <v>-0.0005</v>
      </c>
      <c r="FU161" s="242"/>
      <c r="FV161" s="242"/>
      <c r="FW161" s="520"/>
      <c r="FX161" s="521" t="str">
        <f t="shared" si="429"/>
        <v>2025//10//31</v>
      </c>
      <c r="FY161" s="521">
        <v>6921282</v>
      </c>
      <c r="FZ161" s="521">
        <v>6936582</v>
      </c>
      <c r="GA161" s="523">
        <v>-15300</v>
      </c>
      <c r="GB161" s="524">
        <v>-0.0022</v>
      </c>
      <c r="GC161" s="242"/>
      <c r="GD161" s="242"/>
      <c r="GE161" s="520"/>
      <c r="GF161" s="521" t="str">
        <f t="shared" si="430"/>
        <v>2025//10//31</v>
      </c>
      <c r="GG161" s="521">
        <v>4170169</v>
      </c>
      <c r="GH161" s="521">
        <v>4181969</v>
      </c>
      <c r="GI161" s="523">
        <v>-11800</v>
      </c>
      <c r="GJ161" s="524">
        <v>-0.0028</v>
      </c>
      <c r="GK161" s="242"/>
      <c r="GL161" s="242"/>
      <c r="GM161" s="520"/>
      <c r="GN161" s="521" t="str">
        <f t="shared" si="431"/>
        <v>2025//10//31</v>
      </c>
      <c r="GO161" s="521">
        <v>1378738</v>
      </c>
      <c r="GP161" s="521">
        <v>1362418</v>
      </c>
      <c r="GQ161" s="526">
        <v>16320</v>
      </c>
      <c r="GR161" s="527">
        <v>0.012</v>
      </c>
      <c r="GS161" s="242"/>
      <c r="GT161" s="242"/>
      <c r="GU161" s="520"/>
      <c r="GV161" s="521" t="str">
        <f t="shared" si="432"/>
        <v>2025//10//31</v>
      </c>
      <c r="GW161" s="521">
        <v>1382549</v>
      </c>
      <c r="GX161" s="521">
        <v>1391349</v>
      </c>
      <c r="GY161" s="523">
        <v>-8800</v>
      </c>
      <c r="GZ161" s="524">
        <v>-0.0063</v>
      </c>
      <c r="HA161" s="242"/>
      <c r="HB161" s="242"/>
      <c r="HC161" s="520"/>
      <c r="HD161" s="521" t="str">
        <f t="shared" si="433"/>
        <v>2025//10//31</v>
      </c>
      <c r="HE161" s="521">
        <v>1499865</v>
      </c>
      <c r="HF161" s="521">
        <v>1507665</v>
      </c>
      <c r="HG161" s="523">
        <v>-7800</v>
      </c>
      <c r="HH161" s="524">
        <v>-0.0052</v>
      </c>
      <c r="HI161" s="525"/>
      <c r="HJ161" s="242"/>
      <c r="HK161" s="520"/>
      <c r="HL161" s="521" t="str">
        <f t="shared" si="434"/>
        <v>2025//10//31</v>
      </c>
      <c r="HM161" s="521">
        <v>222054</v>
      </c>
      <c r="HN161" s="521">
        <v>227054</v>
      </c>
      <c r="HO161" s="523">
        <v>-5000</v>
      </c>
      <c r="HP161" s="524">
        <v>-0.022</v>
      </c>
      <c r="HQ161" s="242"/>
      <c r="HR161" s="242"/>
      <c r="HS161" s="520"/>
      <c r="HT161" s="521" t="str">
        <f t="shared" si="435"/>
        <v>2025//10//31</v>
      </c>
      <c r="HU161" s="521">
        <v>154069</v>
      </c>
      <c r="HV161" s="521">
        <v>155669</v>
      </c>
      <c r="HW161" s="523">
        <v>-1600</v>
      </c>
      <c r="HX161" s="524">
        <v>-0.0103</v>
      </c>
      <c r="HY161" s="242"/>
      <c r="HZ161" s="242"/>
      <c r="IA161" s="530"/>
      <c r="IB161" s="10" t="str">
        <f t="shared" si="436"/>
        <v>2025//10//31</v>
      </c>
      <c r="IC161" s="246">
        <v>413434.79</v>
      </c>
      <c r="ID161" s="246">
        <v>415134.79</v>
      </c>
      <c r="IE161" s="531">
        <f>IC161-ID161</f>
        <v>-1700</v>
      </c>
      <c r="IF161" s="532">
        <f>IE161/ID161</f>
        <v>-0.00409505548788142</v>
      </c>
      <c r="IG161" s="532"/>
      <c r="IH161" s="242"/>
      <c r="II161" s="520"/>
      <c r="IJ161" s="521" t="str">
        <f t="shared" si="437"/>
        <v>2025//10//31</v>
      </c>
      <c r="IK161" s="521">
        <v>407596</v>
      </c>
      <c r="IL161" s="521">
        <v>404076</v>
      </c>
      <c r="IM161" s="526">
        <v>3520</v>
      </c>
      <c r="IN161" s="527">
        <v>0.0087</v>
      </c>
      <c r="IO161" s="242"/>
      <c r="IP161" s="242"/>
      <c r="IQ161" s="520"/>
      <c r="IR161" s="521" t="str">
        <f t="shared" si="438"/>
        <v>2025//10//31</v>
      </c>
      <c r="IS161" s="521">
        <v>126489</v>
      </c>
      <c r="IT161" s="521">
        <v>126289</v>
      </c>
      <c r="IU161" s="526">
        <v>200</v>
      </c>
      <c r="IV161" s="527">
        <v>0.0016</v>
      </c>
      <c r="IW161" s="242"/>
      <c r="IX161" s="242"/>
      <c r="IY161" s="520"/>
      <c r="IZ161" s="521" t="str">
        <f t="shared" si="439"/>
        <v>2025//10//31</v>
      </c>
      <c r="JA161" s="521">
        <v>4891629</v>
      </c>
      <c r="JB161" s="521">
        <v>4784329</v>
      </c>
      <c r="JC161" s="526">
        <v>107300</v>
      </c>
      <c r="JD161" s="527">
        <v>0.0224</v>
      </c>
      <c r="JE161" s="242"/>
      <c r="JF161" s="242"/>
      <c r="JG161" s="520"/>
      <c r="JH161" s="521" t="str">
        <f t="shared" si="440"/>
        <v>2025//10//31</v>
      </c>
      <c r="JI161" s="521">
        <v>2283568</v>
      </c>
      <c r="JJ161" s="521">
        <v>2302408</v>
      </c>
      <c r="JK161" s="523">
        <v>-18840</v>
      </c>
      <c r="JL161" s="524">
        <v>-0.0082</v>
      </c>
      <c r="JM161" s="242"/>
      <c r="JN161" s="242"/>
      <c r="JO161" s="242"/>
      <c r="JP161" s="521" t="str">
        <f t="shared" si="441"/>
        <v>2025//10//31</v>
      </c>
      <c r="JQ161" s="521">
        <v>1236590</v>
      </c>
      <c r="JR161" s="521">
        <v>1259490</v>
      </c>
      <c r="JS161" s="523">
        <v>-22900</v>
      </c>
      <c r="JT161" s="524">
        <v>-0.0182</v>
      </c>
      <c r="JU161" s="242"/>
      <c r="JV161" s="242"/>
      <c r="JW161" s="525"/>
      <c r="JX161" s="521" t="str">
        <f t="shared" si="442"/>
        <v>2025//10//31</v>
      </c>
      <c r="JY161" s="521">
        <v>1499899</v>
      </c>
      <c r="JZ161" s="521">
        <v>1481949</v>
      </c>
      <c r="KA161" s="526">
        <v>17950</v>
      </c>
      <c r="KB161" s="527">
        <v>0.0121</v>
      </c>
      <c r="KC161" s="242"/>
      <c r="KD161" s="242"/>
      <c r="KE161" s="525"/>
      <c r="KF161" s="521" t="str">
        <f t="shared" si="443"/>
        <v>2025//10//31</v>
      </c>
      <c r="KG161" s="521">
        <v>939356</v>
      </c>
      <c r="KH161" s="520"/>
      <c r="KI161" s="521"/>
      <c r="KJ161" s="520"/>
      <c r="KK161" s="525"/>
      <c r="KL161" s="525"/>
      <c r="KM161" s="520"/>
      <c r="KN161" s="521" t="str">
        <f t="shared" si="444"/>
        <v>2025//10//31</v>
      </c>
      <c r="KO161" s="521">
        <v>5666176</v>
      </c>
      <c r="KP161" s="521">
        <v>5632576</v>
      </c>
      <c r="KQ161" s="526">
        <v>33600</v>
      </c>
      <c r="KR161" s="527">
        <v>0.006</v>
      </c>
      <c r="KS161" s="242"/>
      <c r="KT161" s="242"/>
      <c r="KV161" s="10" t="str">
        <f t="shared" si="445"/>
        <v>2025//10//31</v>
      </c>
      <c r="KZ161" s="242"/>
      <c r="LA161" s="242"/>
      <c r="LB161" s="242"/>
      <c r="LC161" s="520"/>
      <c r="LD161" s="521" t="str">
        <f t="shared" si="446"/>
        <v>2025//10//31</v>
      </c>
      <c r="LE161" s="521">
        <v>530108</v>
      </c>
      <c r="LF161" s="521">
        <v>543858</v>
      </c>
      <c r="LG161" s="523">
        <v>-13750</v>
      </c>
      <c r="LH161" s="524">
        <v>-0.0253</v>
      </c>
      <c r="LI161" s="242"/>
      <c r="LJ161" s="242"/>
      <c r="LL161" s="10" t="str">
        <f t="shared" si="447"/>
        <v>2025//10//31</v>
      </c>
      <c r="LM161" s="522">
        <v>3508675</v>
      </c>
      <c r="LN161" s="521">
        <v>3568435</v>
      </c>
      <c r="LO161" s="523">
        <v>-59760</v>
      </c>
      <c r="LP161" s="524">
        <v>-0.0167</v>
      </c>
      <c r="LQ161" s="242"/>
      <c r="LR161" s="242"/>
      <c r="LT161" s="10" t="str">
        <f t="shared" si="448"/>
        <v>2025//10//31</v>
      </c>
      <c r="LU161" s="521">
        <v>2532463</v>
      </c>
      <c r="LV161" s="521">
        <v>2548463</v>
      </c>
      <c r="LW161" s="523">
        <v>-16000</v>
      </c>
      <c r="LX161" s="524">
        <v>-0.0063</v>
      </c>
      <c r="LY161" s="242"/>
      <c r="LZ161" s="242"/>
      <c r="MB161" s="10" t="str">
        <f t="shared" si="449"/>
        <v>2025//10//31</v>
      </c>
      <c r="MC161" s="246">
        <v>1104717.69</v>
      </c>
      <c r="MD161" s="246">
        <v>1101317.69</v>
      </c>
      <c r="ME161" s="526">
        <f>MC161-MD161</f>
        <v>3400</v>
      </c>
      <c r="MF161" s="242"/>
      <c r="MG161" s="242"/>
      <c r="MH161" s="242"/>
      <c r="MI161" s="10"/>
      <c r="MJ161" s="10"/>
      <c r="MK161" s="10" t="str">
        <f t="shared" si="450"/>
        <v>2025//10//31</v>
      </c>
      <c r="MM161" s="533"/>
      <c r="MN161" s="10"/>
      <c r="MO161" s="242"/>
      <c r="MP161" s="242"/>
      <c r="MQ161" s="242"/>
      <c r="MR161" s="242"/>
      <c r="MS161" s="242"/>
      <c r="MT161" s="98" t="str">
        <f t="shared" si="451"/>
        <v>2025//10//31</v>
      </c>
      <c r="MX161" s="242"/>
      <c r="MY161" s="242"/>
      <c r="MZ161" s="242"/>
      <c r="NA161" s="242"/>
      <c r="NB161" s="242"/>
      <c r="NC161" s="10" t="str">
        <f t="shared" si="452"/>
        <v>2025//10//31</v>
      </c>
      <c r="NG161" s="242"/>
      <c r="NH161" s="242"/>
      <c r="NI161" s="242"/>
      <c r="NJ161" s="242"/>
      <c r="NK161" s="242"/>
      <c r="NL161" s="10"/>
      <c r="NM161" s="10" t="str">
        <f t="shared" si="453"/>
        <v>2025//10//31</v>
      </c>
      <c r="NQ161" s="242"/>
      <c r="NR161" s="242"/>
      <c r="NS161" s="10"/>
      <c r="NU161" s="10" t="str">
        <f t="shared" si="454"/>
        <v>2025//10//31</v>
      </c>
      <c r="NY161" s="242"/>
      <c r="NZ161" s="242"/>
      <c r="OA161" s="10"/>
      <c r="OC161" s="10" t="str">
        <f t="shared" si="455"/>
        <v>2025//10//31</v>
      </c>
      <c r="OD161" s="521">
        <v>16687</v>
      </c>
      <c r="OE161" s="521">
        <v>17012</v>
      </c>
      <c r="OF161" s="523">
        <v>-325</v>
      </c>
      <c r="OG161" s="524">
        <v>-0.0191</v>
      </c>
      <c r="OH161" s="242"/>
      <c r="OI161" s="242"/>
      <c r="OJ161" s="520"/>
      <c r="OK161" s="521" t="str">
        <f t="shared" si="456"/>
        <v>2025//10//31</v>
      </c>
      <c r="OL161" s="246">
        <v>10990.65</v>
      </c>
      <c r="OM161" s="10"/>
      <c r="ON161" s="10"/>
      <c r="OO161" s="242"/>
      <c r="OP161" s="242"/>
      <c r="OQ161" s="242"/>
      <c r="OT161" s="98" t="str">
        <f t="shared" si="407"/>
        <v>2025//10//31</v>
      </c>
      <c r="OU161" s="206">
        <v>131832.4066</v>
      </c>
      <c r="OV161" s="8">
        <f t="shared" si="462"/>
        <v>131712.4066</v>
      </c>
      <c r="OW161" s="191">
        <f t="shared" si="463"/>
        <v>120</v>
      </c>
      <c r="OX161" s="192">
        <f t="shared" si="464"/>
        <v>0.000911075904674875</v>
      </c>
    </row>
    <row r="162" s="8" customFormat="1" ht="17" customHeight="1" spans="1:414">
      <c r="A162" s="15"/>
      <c r="B162" s="15"/>
      <c r="C162" s="385" t="s">
        <v>591</v>
      </c>
      <c r="D162" s="395">
        <v>8944429</v>
      </c>
      <c r="E162" s="395">
        <v>8958739</v>
      </c>
      <c r="F162" s="403">
        <v>-14310</v>
      </c>
      <c r="G162" s="404">
        <v>-0.0016</v>
      </c>
      <c r="H162" s="18"/>
      <c r="I162" s="453"/>
      <c r="J162" s="453"/>
      <c r="K162" s="386" t="str">
        <f t="shared" si="408"/>
        <v>2025//10//30</v>
      </c>
      <c r="L162" s="395">
        <v>6685174</v>
      </c>
      <c r="M162" s="395">
        <v>6688414</v>
      </c>
      <c r="N162" s="403">
        <v>-3240</v>
      </c>
      <c r="O162" s="404">
        <v>-0.0005</v>
      </c>
      <c r="P162" s="18"/>
      <c r="Q162" s="453"/>
      <c r="R162" s="454"/>
      <c r="S162" s="386" t="str">
        <f t="shared" si="409"/>
        <v>2025//10//30</v>
      </c>
      <c r="T162" s="395">
        <v>5813707</v>
      </c>
      <c r="U162" s="395">
        <v>5854207</v>
      </c>
      <c r="V162" s="403">
        <v>-40500</v>
      </c>
      <c r="W162" s="404">
        <v>-0.0069</v>
      </c>
      <c r="X162" s="18"/>
      <c r="Y162" s="453"/>
      <c r="Z162" s="454"/>
      <c r="AA162" s="386" t="str">
        <f t="shared" si="410"/>
        <v>2025//10//30</v>
      </c>
      <c r="AB162" s="395">
        <v>1830177</v>
      </c>
      <c r="AC162" s="395">
        <v>1833177</v>
      </c>
      <c r="AD162" s="403">
        <v>-3000</v>
      </c>
      <c r="AE162" s="404">
        <v>-0.0016</v>
      </c>
      <c r="AF162" s="18"/>
      <c r="AG162" s="453"/>
      <c r="AH162" s="454"/>
      <c r="AI162" s="386" t="str">
        <f t="shared" si="411"/>
        <v>2025//10//30</v>
      </c>
      <c r="AJ162" s="395">
        <v>2460522</v>
      </c>
      <c r="AK162" s="386">
        <v>2484722</v>
      </c>
      <c r="AL162" s="403">
        <v>-24200</v>
      </c>
      <c r="AM162" s="404">
        <v>-0.0097</v>
      </c>
      <c r="AN162" s="18"/>
      <c r="AO162" s="18"/>
      <c r="AP162" s="454"/>
      <c r="AQ162" s="386" t="str">
        <f t="shared" si="412"/>
        <v>2025//10//30</v>
      </c>
      <c r="AR162" s="418">
        <v>3247445</v>
      </c>
      <c r="AS162" s="395">
        <v>3234245</v>
      </c>
      <c r="AT162" s="459">
        <v>13200</v>
      </c>
      <c r="AU162" s="460">
        <v>0.0041</v>
      </c>
      <c r="AV162" s="18"/>
      <c r="AW162" s="18"/>
      <c r="AX162" s="17"/>
      <c r="AY162" s="17"/>
      <c r="AZ162" s="17" t="str">
        <f t="shared" si="413"/>
        <v>2025//10//30</v>
      </c>
      <c r="BA162" s="17"/>
      <c r="BB162" s="17"/>
      <c r="BC162" s="17"/>
      <c r="BD162" s="18"/>
      <c r="BE162" s="18"/>
      <c r="BF162" s="18"/>
      <c r="BG162" s="74"/>
      <c r="BH162" s="387" t="str">
        <f t="shared" si="414"/>
        <v>2025//10//30</v>
      </c>
      <c r="BI162" s="387">
        <v>33427</v>
      </c>
      <c r="BJ162" s="387">
        <v>29127</v>
      </c>
      <c r="BK162" s="421">
        <v>4300</v>
      </c>
      <c r="BL162" s="422">
        <v>0.1476</v>
      </c>
      <c r="BM162" s="197"/>
      <c r="BN162" s="192"/>
      <c r="BO162" s="389"/>
      <c r="BP162" s="390" t="str">
        <f t="shared" si="415"/>
        <v>2025//10//30</v>
      </c>
      <c r="BQ162" s="392">
        <v>613362</v>
      </c>
      <c r="BR162" s="390">
        <v>618362</v>
      </c>
      <c r="BS162" s="414">
        <v>-5000</v>
      </c>
      <c r="BT162" s="415">
        <v>-0.0081</v>
      </c>
      <c r="BU162" s="192"/>
      <c r="BV162" s="192"/>
      <c r="BW162" s="389"/>
      <c r="BX162" s="390" t="str">
        <f t="shared" si="416"/>
        <v>2025//10//30</v>
      </c>
      <c r="BY162" s="390">
        <v>2403961</v>
      </c>
      <c r="BZ162" s="390">
        <v>2386461</v>
      </c>
      <c r="CA162" s="416">
        <v>17500</v>
      </c>
      <c r="CB162" s="417">
        <v>0.0073</v>
      </c>
      <c r="CC162" s="192"/>
      <c r="CD162" s="192"/>
      <c r="CE162" s="514"/>
      <c r="CF162" s="410" t="str">
        <f t="shared" si="417"/>
        <v>2025//10//30</v>
      </c>
      <c r="CG162" s="200">
        <v>1025653.9</v>
      </c>
      <c r="CH162" s="200">
        <v>1025703.9</v>
      </c>
      <c r="CI162" s="12">
        <f t="shared" si="457"/>
        <v>-50</v>
      </c>
      <c r="CJ162" s="199">
        <f t="shared" si="458"/>
        <v>-4.87470116863161e-5</v>
      </c>
      <c r="CK162" s="192"/>
      <c r="CL162" s="391"/>
      <c r="CM162" s="389"/>
      <c r="CN162" s="390" t="str">
        <f t="shared" si="418"/>
        <v>2025//10//30</v>
      </c>
      <c r="CO162" s="390">
        <v>102846</v>
      </c>
      <c r="CP162" s="390">
        <v>104546</v>
      </c>
      <c r="CQ162" s="12">
        <f t="shared" si="459"/>
        <v>-1700</v>
      </c>
      <c r="CR162" s="199">
        <f t="shared" si="460"/>
        <v>-0.0162607847263406</v>
      </c>
      <c r="CS162" s="192"/>
      <c r="CT162" s="192"/>
      <c r="CV162" s="8" t="str">
        <f t="shared" si="419"/>
        <v>2025//10//30</v>
      </c>
      <c r="CZ162" s="192"/>
      <c r="DA162" s="192"/>
      <c r="DB162" s="192"/>
      <c r="DC162" s="277"/>
      <c r="DD162" s="390" t="str">
        <f t="shared" si="420"/>
        <v>2025//10//30</v>
      </c>
      <c r="DE162" s="390">
        <v>1041718</v>
      </c>
      <c r="DF162" s="12">
        <f t="shared" si="461"/>
        <v>1041718</v>
      </c>
      <c r="DG162" s="410">
        <v>0</v>
      </c>
      <c r="DH162" s="409">
        <v>0</v>
      </c>
      <c r="DI162" s="192"/>
      <c r="DJ162" s="192"/>
      <c r="DK162" s="389"/>
      <c r="DL162" s="390" t="str">
        <f t="shared" si="421"/>
        <v>2025//10//30</v>
      </c>
      <c r="DM162" s="390">
        <v>1563100</v>
      </c>
      <c r="DN162" s="390">
        <v>1542500</v>
      </c>
      <c r="DO162" s="416">
        <v>20600</v>
      </c>
      <c r="DP162" s="417">
        <v>0.0134</v>
      </c>
      <c r="DQ162" s="192"/>
      <c r="DR162" s="192"/>
      <c r="DS162" s="389"/>
      <c r="DT162" s="390" t="str">
        <f t="shared" si="422"/>
        <v>2025//10//30</v>
      </c>
      <c r="DU162" s="390">
        <v>1696589</v>
      </c>
      <c r="DV162" s="390">
        <v>1700789</v>
      </c>
      <c r="DW162" s="414">
        <v>-4200</v>
      </c>
      <c r="DX162" s="415">
        <v>-0.0025</v>
      </c>
      <c r="DY162" s="192"/>
      <c r="DZ162" s="192"/>
      <c r="EA162" s="389"/>
      <c r="EB162" s="390" t="str">
        <f t="shared" si="423"/>
        <v>2025//10//30</v>
      </c>
      <c r="EC162" s="390">
        <v>4917417</v>
      </c>
      <c r="ED162" s="390">
        <v>4909767</v>
      </c>
      <c r="EE162" s="416">
        <v>7650</v>
      </c>
      <c r="EF162" s="417">
        <v>0.0016</v>
      </c>
      <c r="EG162" s="192"/>
      <c r="EH162" s="192"/>
      <c r="EI162" s="389"/>
      <c r="EJ162" s="390" t="str">
        <f t="shared" si="424"/>
        <v>2025//10//30</v>
      </c>
      <c r="EK162" s="390">
        <v>1562923</v>
      </c>
      <c r="EL162" s="390">
        <v>1554923</v>
      </c>
      <c r="EM162" s="416">
        <v>8000</v>
      </c>
      <c r="EN162" s="417">
        <v>0.0051</v>
      </c>
      <c r="EO162" s="192"/>
      <c r="EP162" s="192"/>
      <c r="EQ162" s="192"/>
      <c r="ER162" s="8" t="str">
        <f t="shared" si="425"/>
        <v>2025//10//30</v>
      </c>
      <c r="ES162" s="192"/>
      <c r="ET162" s="192"/>
      <c r="EU162" s="192"/>
      <c r="EV162" s="192"/>
      <c r="EW162" s="192"/>
      <c r="EX162" s="192"/>
      <c r="EY162" s="389"/>
      <c r="EZ162" s="390" t="str">
        <f t="shared" si="426"/>
        <v>2025//10//30</v>
      </c>
      <c r="FA162" s="390">
        <v>1222108</v>
      </c>
      <c r="FB162" s="390">
        <v>1220908</v>
      </c>
      <c r="FC162" s="416">
        <v>1200</v>
      </c>
      <c r="FD162" s="417">
        <v>0.001</v>
      </c>
      <c r="FE162" s="192"/>
      <c r="FF162" s="192"/>
      <c r="FG162" s="192"/>
      <c r="FH162" s="410" t="str">
        <f t="shared" si="427"/>
        <v>2025//10//30</v>
      </c>
      <c r="FI162" s="513">
        <v>111295.33</v>
      </c>
      <c r="FJ162" s="390">
        <f t="shared" si="465"/>
        <v>109295.33</v>
      </c>
      <c r="FK162" s="348">
        <f t="shared" si="466"/>
        <v>2000</v>
      </c>
      <c r="FL162" s="349">
        <f t="shared" si="467"/>
        <v>0.0182990435181448</v>
      </c>
      <c r="FM162" s="516"/>
      <c r="FN162" s="516"/>
      <c r="FO162" s="389"/>
      <c r="FP162" s="390" t="str">
        <f t="shared" si="428"/>
        <v>2025//10//30</v>
      </c>
      <c r="FQ162" s="390">
        <v>2251919</v>
      </c>
      <c r="FR162" s="390">
        <v>2259569</v>
      </c>
      <c r="FS162" s="414">
        <v>-7650</v>
      </c>
      <c r="FT162" s="415">
        <v>-0.0034</v>
      </c>
      <c r="FU162" s="192"/>
      <c r="FV162" s="192"/>
      <c r="FW162" s="389"/>
      <c r="FX162" s="390" t="str">
        <f t="shared" si="429"/>
        <v>2025//10//30</v>
      </c>
      <c r="FY162" s="390">
        <v>6936582</v>
      </c>
      <c r="FZ162" s="390">
        <v>6916582</v>
      </c>
      <c r="GA162" s="416">
        <v>20000</v>
      </c>
      <c r="GB162" s="417">
        <v>0.0029</v>
      </c>
      <c r="GC162" s="192"/>
      <c r="GD162" s="192"/>
      <c r="GE162" s="389"/>
      <c r="GF162" s="390" t="str">
        <f t="shared" si="430"/>
        <v>2025//10//30</v>
      </c>
      <c r="GG162" s="390">
        <v>4181969</v>
      </c>
      <c r="GH162" s="390">
        <v>4048669</v>
      </c>
      <c r="GI162" s="416">
        <v>133300</v>
      </c>
      <c r="GJ162" s="417">
        <v>0.0329</v>
      </c>
      <c r="GK162" s="192"/>
      <c r="GL162" s="192"/>
      <c r="GM162" s="389"/>
      <c r="GN162" s="390" t="str">
        <f t="shared" si="431"/>
        <v>2025//10//30</v>
      </c>
      <c r="GO162" s="390">
        <v>1362418</v>
      </c>
      <c r="GP162" s="390">
        <v>1313458</v>
      </c>
      <c r="GQ162" s="416">
        <v>48960</v>
      </c>
      <c r="GR162" s="417">
        <v>0.0373</v>
      </c>
      <c r="GS162" s="192"/>
      <c r="GT162" s="192"/>
      <c r="GU162" s="389"/>
      <c r="GV162" s="390" t="str">
        <f t="shared" si="432"/>
        <v>2025//10//30</v>
      </c>
      <c r="GW162" s="390">
        <v>1391349</v>
      </c>
      <c r="GX162" s="390">
        <v>1409349</v>
      </c>
      <c r="GY162" s="414">
        <v>-18000</v>
      </c>
      <c r="GZ162" s="415">
        <v>-0.0128</v>
      </c>
      <c r="HA162" s="192"/>
      <c r="HB162" s="192"/>
      <c r="HC162" s="389"/>
      <c r="HD162" s="390" t="str">
        <f t="shared" si="433"/>
        <v>2025//10//30</v>
      </c>
      <c r="HE162" s="390">
        <v>1507665</v>
      </c>
      <c r="HF162" s="390">
        <v>1526765</v>
      </c>
      <c r="HG162" s="414">
        <v>-19100</v>
      </c>
      <c r="HH162" s="415">
        <v>-0.0125</v>
      </c>
      <c r="HI162" s="391"/>
      <c r="HJ162" s="192"/>
      <c r="HK162" s="389"/>
      <c r="HL162" s="390" t="str">
        <f t="shared" si="434"/>
        <v>2025//10//30</v>
      </c>
      <c r="HM162" s="390">
        <v>227054</v>
      </c>
      <c r="HN162" s="390">
        <v>228804</v>
      </c>
      <c r="HO162" s="414">
        <v>-1750</v>
      </c>
      <c r="HP162" s="415">
        <v>-0.0076</v>
      </c>
      <c r="HQ162" s="192"/>
      <c r="HR162" s="192"/>
      <c r="HS162" s="389"/>
      <c r="HT162" s="390" t="str">
        <f t="shared" si="435"/>
        <v>2025//10//30</v>
      </c>
      <c r="HU162" s="390">
        <v>155669</v>
      </c>
      <c r="HV162" s="390">
        <v>162069</v>
      </c>
      <c r="HW162" s="414">
        <v>-6400</v>
      </c>
      <c r="HX162" s="415">
        <v>-0.0395</v>
      </c>
      <c r="HY162" s="192"/>
      <c r="HZ162" s="192"/>
      <c r="IB162" s="8" t="str">
        <f t="shared" si="436"/>
        <v>2025//10//30</v>
      </c>
      <c r="IC162" s="200">
        <v>415134.79</v>
      </c>
      <c r="ID162" s="8"/>
      <c r="IE162" s="8"/>
      <c r="IF162" s="8"/>
      <c r="IG162" s="192"/>
      <c r="IH162" s="192"/>
      <c r="II162" s="389"/>
      <c r="IJ162" s="390" t="str">
        <f t="shared" si="437"/>
        <v>2025//10//30</v>
      </c>
      <c r="IK162" s="257">
        <v>404076.29</v>
      </c>
      <c r="IL162" s="257">
        <v>394556.29</v>
      </c>
      <c r="IM162" s="8"/>
      <c r="IN162" s="192"/>
      <c r="IO162" s="192"/>
      <c r="IP162" s="192"/>
      <c r="IQ162" s="389"/>
      <c r="IR162" s="390" t="str">
        <f t="shared" si="438"/>
        <v>2025//10//30</v>
      </c>
      <c r="IS162" s="390">
        <v>126289</v>
      </c>
      <c r="IT162" s="390">
        <v>127489</v>
      </c>
      <c r="IU162" s="414">
        <v>-1200</v>
      </c>
      <c r="IV162" s="415">
        <v>-0.0094</v>
      </c>
      <c r="IW162" s="192"/>
      <c r="IX162" s="192"/>
      <c r="IY162" s="389"/>
      <c r="IZ162" s="390" t="str">
        <f t="shared" si="439"/>
        <v>2025//10//30</v>
      </c>
      <c r="JA162" s="390">
        <v>4784329</v>
      </c>
      <c r="JB162" s="390">
        <v>4674429</v>
      </c>
      <c r="JC162" s="416">
        <v>109900</v>
      </c>
      <c r="JD162" s="417">
        <v>0.0235</v>
      </c>
      <c r="JE162" s="192"/>
      <c r="JF162" s="192"/>
      <c r="JG162" s="389"/>
      <c r="JH162" s="390" t="str">
        <f t="shared" si="440"/>
        <v>2025//10//30</v>
      </c>
      <c r="JI162" s="390">
        <v>2302408</v>
      </c>
      <c r="JJ162" s="390">
        <v>2320768</v>
      </c>
      <c r="JK162" s="414">
        <v>-18360</v>
      </c>
      <c r="JL162" s="415">
        <v>-0.0079</v>
      </c>
      <c r="JM162" s="192"/>
      <c r="JN162" s="192"/>
      <c r="JO162" s="192"/>
      <c r="JP162" s="390" t="str">
        <f t="shared" si="441"/>
        <v>2025//10//30</v>
      </c>
      <c r="JQ162" s="390">
        <v>1259490</v>
      </c>
      <c r="JR162" s="390">
        <v>1257590</v>
      </c>
      <c r="JS162" s="416">
        <v>1900</v>
      </c>
      <c r="JT162" s="417">
        <v>0.0015</v>
      </c>
      <c r="JU162" s="192"/>
      <c r="JV162" s="192"/>
      <c r="JW162" s="409"/>
      <c r="JX162" s="390" t="str">
        <f t="shared" si="442"/>
        <v>2025//10//30</v>
      </c>
      <c r="JY162" s="390">
        <v>1481949</v>
      </c>
      <c r="JZ162" s="390">
        <v>1465099</v>
      </c>
      <c r="KA162" s="416">
        <v>16850</v>
      </c>
      <c r="KB162" s="417">
        <v>0.0115</v>
      </c>
      <c r="KC162" s="192"/>
      <c r="KD162" s="192"/>
      <c r="KE162" s="409"/>
      <c r="KF162" s="8" t="str">
        <f t="shared" si="443"/>
        <v>2025//10//30</v>
      </c>
      <c r="KG162" s="192"/>
      <c r="KH162" s="192"/>
      <c r="KI162" s="8"/>
      <c r="KJ162" s="192"/>
      <c r="KK162" s="391"/>
      <c r="KL162" s="391"/>
      <c r="KM162" s="389"/>
      <c r="KN162" s="390" t="str">
        <f t="shared" si="444"/>
        <v>2025//10//30</v>
      </c>
      <c r="KO162" s="390">
        <v>5632576</v>
      </c>
      <c r="KP162" s="390">
        <v>5631476</v>
      </c>
      <c r="KQ162" s="416">
        <v>1100</v>
      </c>
      <c r="KR162" s="417">
        <v>0.0002</v>
      </c>
      <c r="KS162" s="192"/>
      <c r="KT162" s="192"/>
      <c r="KV162" s="8" t="str">
        <f t="shared" si="445"/>
        <v>2025//10//30</v>
      </c>
      <c r="KZ162" s="192"/>
      <c r="LA162" s="192"/>
      <c r="LB162" s="192"/>
      <c r="LC162" s="389"/>
      <c r="LD162" s="390" t="str">
        <f t="shared" si="446"/>
        <v>2025//10//30</v>
      </c>
      <c r="LE162" s="390">
        <v>543858</v>
      </c>
      <c r="LF162" s="390">
        <v>554508</v>
      </c>
      <c r="LG162" s="414">
        <v>-10650</v>
      </c>
      <c r="LH162" s="415">
        <v>-0.0192</v>
      </c>
      <c r="LI162" s="192"/>
      <c r="LJ162" s="192"/>
      <c r="LL162" s="8" t="str">
        <f t="shared" si="447"/>
        <v>2025//10//30</v>
      </c>
      <c r="LM162" s="191"/>
      <c r="LN162" s="8"/>
      <c r="LO162" s="8"/>
      <c r="LP162" s="192"/>
      <c r="LQ162" s="192"/>
      <c r="LR162" s="192"/>
      <c r="LT162" s="8" t="str">
        <f t="shared" si="448"/>
        <v>2025//10//30</v>
      </c>
      <c r="LX162" s="192"/>
      <c r="LY162" s="192"/>
      <c r="LZ162" s="192"/>
      <c r="MB162" s="8" t="str">
        <f t="shared" si="449"/>
        <v>2025//10//30</v>
      </c>
      <c r="MF162" s="192"/>
      <c r="MG162" s="192"/>
      <c r="MH162" s="192"/>
      <c r="MI162" s="8"/>
      <c r="MJ162" s="8"/>
      <c r="MK162" s="8" t="str">
        <f t="shared" si="450"/>
        <v>2025//10//30</v>
      </c>
      <c r="MM162" s="203"/>
      <c r="MN162" s="8"/>
      <c r="MO162" s="192"/>
      <c r="MP162" s="192"/>
      <c r="MQ162" s="192"/>
      <c r="MR162" s="192"/>
      <c r="MS162" s="192"/>
      <c r="MT162" s="26" t="str">
        <f t="shared" si="451"/>
        <v>2025//10//30</v>
      </c>
      <c r="MX162" s="192"/>
      <c r="MY162" s="192"/>
      <c r="MZ162" s="192"/>
      <c r="NA162" s="192"/>
      <c r="NB162" s="192"/>
      <c r="NC162" s="8" t="str">
        <f t="shared" si="452"/>
        <v>2025//10//30</v>
      </c>
      <c r="NG162" s="192"/>
      <c r="NH162" s="192"/>
      <c r="NI162" s="192"/>
      <c r="NJ162" s="192"/>
      <c r="NK162" s="192"/>
      <c r="NL162" s="8"/>
      <c r="NM162" s="8" t="str">
        <f t="shared" si="453"/>
        <v>2025//10//30</v>
      </c>
      <c r="NQ162" s="192"/>
      <c r="NR162" s="192"/>
      <c r="NS162" s="8"/>
      <c r="NU162" s="8" t="str">
        <f t="shared" si="454"/>
        <v>2025//10//30</v>
      </c>
      <c r="NY162" s="192"/>
      <c r="NZ162" s="192"/>
      <c r="OA162" s="8"/>
      <c r="OC162" s="8" t="str">
        <f t="shared" si="455"/>
        <v>2025//10//30</v>
      </c>
      <c r="OG162" s="192"/>
      <c r="OH162" s="192"/>
      <c r="OI162" s="192"/>
      <c r="OK162" s="8" t="str">
        <f t="shared" si="456"/>
        <v>2025//10//30</v>
      </c>
      <c r="OO162" s="192"/>
      <c r="OP162" s="192"/>
      <c r="OQ162" s="192"/>
      <c r="OT162" s="26" t="str">
        <f t="shared" si="407"/>
        <v>2025//10//30</v>
      </c>
      <c r="OU162" s="206">
        <v>131712.4066</v>
      </c>
      <c r="OV162" s="8">
        <f t="shared" si="462"/>
        <v>131592.4066</v>
      </c>
      <c r="OW162" s="191">
        <f t="shared" si="463"/>
        <v>120</v>
      </c>
      <c r="OX162" s="192">
        <f t="shared" si="464"/>
        <v>0.000911906720915613</v>
      </c>
    </row>
    <row r="163" s="8" customFormat="1" ht="17" customHeight="1" spans="1:414">
      <c r="A163" s="15"/>
      <c r="B163" s="15"/>
      <c r="C163" s="385" t="s">
        <v>592</v>
      </c>
      <c r="D163" s="395">
        <v>8958739</v>
      </c>
      <c r="E163" s="395">
        <v>8946409</v>
      </c>
      <c r="F163" s="459">
        <v>12330</v>
      </c>
      <c r="G163" s="460">
        <v>0.0014</v>
      </c>
      <c r="H163" s="18"/>
      <c r="I163" s="453"/>
      <c r="J163" s="453"/>
      <c r="K163" s="386" t="str">
        <f t="shared" si="408"/>
        <v>2025//10//29</v>
      </c>
      <c r="L163" s="395">
        <v>6688414</v>
      </c>
      <c r="M163" s="395">
        <v>6685714</v>
      </c>
      <c r="N163" s="459">
        <v>2700</v>
      </c>
      <c r="O163" s="460">
        <v>0.0004</v>
      </c>
      <c r="P163" s="18"/>
      <c r="Q163" s="453"/>
      <c r="R163" s="454"/>
      <c r="S163" s="386" t="str">
        <f t="shared" si="409"/>
        <v>2025//10//29</v>
      </c>
      <c r="T163" s="395">
        <v>5854207</v>
      </c>
      <c r="U163" s="395">
        <v>5852317</v>
      </c>
      <c r="V163" s="459">
        <v>1890</v>
      </c>
      <c r="W163" s="460">
        <v>0.0003</v>
      </c>
      <c r="X163" s="18"/>
      <c r="Y163" s="453"/>
      <c r="Z163" s="454"/>
      <c r="AA163" s="386" t="str">
        <f t="shared" si="410"/>
        <v>2025//10//29</v>
      </c>
      <c r="AB163" s="395">
        <v>1833177</v>
      </c>
      <c r="AC163" s="395">
        <v>1825857</v>
      </c>
      <c r="AD163" s="459">
        <v>7320</v>
      </c>
      <c r="AE163" s="460">
        <v>0.004</v>
      </c>
      <c r="AF163" s="18"/>
      <c r="AG163" s="453"/>
      <c r="AH163" s="454"/>
      <c r="AI163" s="386" t="str">
        <f t="shared" si="411"/>
        <v>2025//10//29</v>
      </c>
      <c r="AJ163" s="395">
        <v>2484722</v>
      </c>
      <c r="AK163" s="386">
        <v>2469122</v>
      </c>
      <c r="AL163" s="459">
        <v>15600</v>
      </c>
      <c r="AM163" s="460">
        <v>0.0063</v>
      </c>
      <c r="AN163" s="18"/>
      <c r="AO163" s="18"/>
      <c r="AP163" s="454"/>
      <c r="AQ163" s="386" t="str">
        <f t="shared" si="412"/>
        <v>2025//10//29</v>
      </c>
      <c r="AR163" s="418">
        <v>3234245</v>
      </c>
      <c r="AS163" s="395">
        <v>3260845</v>
      </c>
      <c r="AT163" s="403">
        <v>-26600</v>
      </c>
      <c r="AU163" s="404">
        <v>-0.0082</v>
      </c>
      <c r="AV163" s="18"/>
      <c r="AW163" s="18"/>
      <c r="AX163" s="17"/>
      <c r="AY163" s="17"/>
      <c r="AZ163" s="17" t="str">
        <f t="shared" si="413"/>
        <v>2025//10//29</v>
      </c>
      <c r="BA163" s="17"/>
      <c r="BB163" s="17"/>
      <c r="BC163" s="17"/>
      <c r="BD163" s="18"/>
      <c r="BE163" s="18"/>
      <c r="BF163" s="18"/>
      <c r="BG163" s="74"/>
      <c r="BH163" s="387" t="str">
        <f t="shared" si="414"/>
        <v>2025//10//29</v>
      </c>
      <c r="BI163" s="387">
        <v>29127</v>
      </c>
      <c r="BJ163" s="387">
        <v>27227</v>
      </c>
      <c r="BK163" s="421">
        <v>1900</v>
      </c>
      <c r="BL163" s="422">
        <v>0.0698</v>
      </c>
      <c r="BM163" s="197"/>
      <c r="BN163" s="192"/>
      <c r="BO163" s="389"/>
      <c r="BP163" s="390" t="str">
        <f t="shared" si="415"/>
        <v>2025//10//29</v>
      </c>
      <c r="BQ163" s="392">
        <v>618362</v>
      </c>
      <c r="BR163" s="390">
        <v>619362</v>
      </c>
      <c r="BS163" s="414">
        <v>-1000</v>
      </c>
      <c r="BT163" s="415">
        <v>-0.0016</v>
      </c>
      <c r="BU163" s="192"/>
      <c r="BV163" s="192"/>
      <c r="BX163" s="8" t="str">
        <f t="shared" si="416"/>
        <v>2025//10//29</v>
      </c>
      <c r="BY163" s="390">
        <v>2386461</v>
      </c>
      <c r="BZ163" s="390">
        <v>2412261</v>
      </c>
      <c r="CA163" s="414">
        <v>-25800</v>
      </c>
      <c r="CB163" s="415">
        <v>-0.0107</v>
      </c>
      <c r="CC163" s="192"/>
      <c r="CD163" s="192"/>
      <c r="CE163" s="514"/>
      <c r="CF163" s="410" t="str">
        <f t="shared" si="417"/>
        <v>2025//10//29</v>
      </c>
      <c r="CG163" s="200">
        <v>1025703.9</v>
      </c>
      <c r="CH163" s="200">
        <v>1042053.9</v>
      </c>
      <c r="CI163" s="12">
        <f t="shared" si="457"/>
        <v>-16350</v>
      </c>
      <c r="CJ163" s="199">
        <f t="shared" si="458"/>
        <v>-0.0156901672744567</v>
      </c>
      <c r="CK163" s="192"/>
      <c r="CL163" s="391"/>
      <c r="CM163" s="389"/>
      <c r="CN163" s="390" t="str">
        <f t="shared" si="418"/>
        <v>2025//10//29</v>
      </c>
      <c r="CO163" s="390">
        <v>104546</v>
      </c>
      <c r="CP163" s="390">
        <v>107346</v>
      </c>
      <c r="CQ163" s="12">
        <f t="shared" si="459"/>
        <v>-2800</v>
      </c>
      <c r="CR163" s="199">
        <f t="shared" si="460"/>
        <v>-0.0260838783000764</v>
      </c>
      <c r="CS163" s="192"/>
      <c r="CT163" s="192"/>
      <c r="CV163" s="8" t="str">
        <f t="shared" si="419"/>
        <v>2025//10//29</v>
      </c>
      <c r="CZ163" s="192"/>
      <c r="DA163" s="192"/>
      <c r="DB163" s="192"/>
      <c r="DC163" s="277"/>
      <c r="DD163" s="390" t="str">
        <f t="shared" si="420"/>
        <v>2025//10//29</v>
      </c>
      <c r="DE163" s="390">
        <v>1041718</v>
      </c>
      <c r="DF163" s="12">
        <f t="shared" si="461"/>
        <v>512059</v>
      </c>
      <c r="DG163" s="416">
        <v>8800</v>
      </c>
      <c r="DH163" s="417">
        <v>0.0172</v>
      </c>
      <c r="DI163" s="192"/>
      <c r="DJ163" s="192"/>
      <c r="DK163" s="389"/>
      <c r="DL163" s="390" t="str">
        <f t="shared" si="421"/>
        <v>2025//10//29</v>
      </c>
      <c r="DM163" s="390">
        <v>1542500</v>
      </c>
      <c r="DN163" s="390">
        <v>1506300</v>
      </c>
      <c r="DO163" s="416">
        <v>36200</v>
      </c>
      <c r="DP163" s="417">
        <v>0.024</v>
      </c>
      <c r="DQ163" s="192"/>
      <c r="DR163" s="192"/>
      <c r="DS163" s="389"/>
      <c r="DT163" s="390" t="str">
        <f t="shared" si="422"/>
        <v>2025//10//29</v>
      </c>
      <c r="DU163" s="390">
        <v>1700789</v>
      </c>
      <c r="DV163" s="390">
        <v>1664789</v>
      </c>
      <c r="DW163" s="416">
        <v>36000</v>
      </c>
      <c r="DX163" s="417">
        <v>0.0216</v>
      </c>
      <c r="DY163" s="192"/>
      <c r="DZ163" s="192"/>
      <c r="EA163" s="389"/>
      <c r="EB163" s="390" t="str">
        <f t="shared" si="423"/>
        <v>2025//10//29</v>
      </c>
      <c r="EC163" s="390">
        <v>4909767</v>
      </c>
      <c r="ED163" s="390">
        <v>4890417</v>
      </c>
      <c r="EE163" s="416">
        <v>19350</v>
      </c>
      <c r="EF163" s="417">
        <v>0.004</v>
      </c>
      <c r="EG163" s="192"/>
      <c r="EH163" s="192"/>
      <c r="EI163" s="534"/>
      <c r="EJ163" s="534" t="str">
        <f t="shared" si="424"/>
        <v>2025//10//29</v>
      </c>
      <c r="EK163" s="390">
        <v>1554923</v>
      </c>
      <c r="EL163" s="390">
        <v>1545523</v>
      </c>
      <c r="EM163" s="416">
        <v>9400</v>
      </c>
      <c r="EN163" s="417">
        <v>0.0061</v>
      </c>
      <c r="EO163" s="192"/>
      <c r="EP163" s="192"/>
      <c r="EQ163" s="192"/>
      <c r="ER163" s="8" t="str">
        <f t="shared" si="425"/>
        <v>2025//10//29</v>
      </c>
      <c r="ES163" s="192"/>
      <c r="ET163" s="192"/>
      <c r="EU163" s="192"/>
      <c r="EV163" s="192"/>
      <c r="EW163" s="192"/>
      <c r="EX163" s="192"/>
      <c r="EY163" s="389"/>
      <c r="EZ163" s="390" t="str">
        <f t="shared" si="426"/>
        <v>2025//10//29</v>
      </c>
      <c r="FA163" s="390">
        <v>1220908</v>
      </c>
      <c r="FB163" s="390">
        <v>1243208</v>
      </c>
      <c r="FC163" s="414">
        <v>-22300</v>
      </c>
      <c r="FD163" s="415">
        <v>-0.0179</v>
      </c>
      <c r="FE163" s="192"/>
      <c r="FF163" s="192"/>
      <c r="FG163" s="192"/>
      <c r="FH163" s="410" t="str">
        <f t="shared" si="427"/>
        <v>2025//10//29</v>
      </c>
      <c r="FI163" s="513">
        <v>109295.33</v>
      </c>
      <c r="FJ163" s="8"/>
      <c r="FK163" s="8"/>
      <c r="FL163" s="535"/>
      <c r="FM163" s="516"/>
      <c r="FN163" s="516"/>
      <c r="FO163" s="389"/>
      <c r="FP163" s="390" t="str">
        <f t="shared" si="428"/>
        <v>2025//10//29</v>
      </c>
      <c r="FQ163" s="390">
        <v>2259569</v>
      </c>
      <c r="FR163" s="390">
        <v>2243669</v>
      </c>
      <c r="FS163" s="416">
        <v>15900</v>
      </c>
      <c r="FT163" s="417">
        <v>0.0071</v>
      </c>
      <c r="FU163" s="192"/>
      <c r="FV163" s="192"/>
      <c r="FW163" s="389"/>
      <c r="FX163" s="390" t="str">
        <f t="shared" si="429"/>
        <v>2025//10//29</v>
      </c>
      <c r="FY163" s="390">
        <v>6916582</v>
      </c>
      <c r="FZ163" s="390">
        <v>6910182</v>
      </c>
      <c r="GA163" s="416">
        <v>6400</v>
      </c>
      <c r="GB163" s="417">
        <v>0.0009</v>
      </c>
      <c r="GC163" s="192"/>
      <c r="GD163" s="192"/>
      <c r="GE163" s="389"/>
      <c r="GF163" s="390" t="str">
        <f t="shared" si="430"/>
        <v>2025//10//29</v>
      </c>
      <c r="GG163" s="390">
        <v>4048669</v>
      </c>
      <c r="GH163" s="390">
        <v>4040469</v>
      </c>
      <c r="GI163" s="416">
        <v>8200</v>
      </c>
      <c r="GJ163" s="417">
        <v>0.002</v>
      </c>
      <c r="GK163" s="192"/>
      <c r="GL163" s="192"/>
      <c r="GN163" s="8" t="str">
        <f t="shared" si="431"/>
        <v>2025//10//29</v>
      </c>
      <c r="GO163" s="390">
        <v>1313458</v>
      </c>
      <c r="GP163" s="390">
        <v>1296418</v>
      </c>
      <c r="GQ163" s="416">
        <v>17040</v>
      </c>
      <c r="GR163" s="417">
        <v>0.0131</v>
      </c>
      <c r="GS163" s="192"/>
      <c r="GT163" s="192"/>
      <c r="GU163" s="534"/>
      <c r="GV163" s="534" t="str">
        <f t="shared" si="432"/>
        <v>2025//10//29</v>
      </c>
      <c r="GW163" s="390">
        <v>1409349</v>
      </c>
      <c r="GX163" s="390">
        <v>1430549</v>
      </c>
      <c r="GY163" s="414">
        <v>-21200</v>
      </c>
      <c r="GZ163" s="415">
        <v>-0.0148</v>
      </c>
      <c r="HA163" s="192"/>
      <c r="HB163" s="192"/>
      <c r="HC163" s="534"/>
      <c r="HD163" s="534" t="str">
        <f t="shared" si="433"/>
        <v>2025//10//29</v>
      </c>
      <c r="HE163" s="390">
        <v>1526765</v>
      </c>
      <c r="HF163" s="390">
        <v>1552465</v>
      </c>
      <c r="HG163" s="414">
        <v>-25700</v>
      </c>
      <c r="HH163" s="415">
        <v>-0.0166</v>
      </c>
      <c r="HI163" s="391"/>
      <c r="HJ163" s="192"/>
      <c r="HK163" s="534"/>
      <c r="HL163" s="534" t="str">
        <f t="shared" si="434"/>
        <v>2025//10//29</v>
      </c>
      <c r="HM163" s="390">
        <v>228804</v>
      </c>
      <c r="HN163" s="390">
        <v>231504</v>
      </c>
      <c r="HO163" s="414">
        <v>-2700</v>
      </c>
      <c r="HP163" s="415">
        <v>-0.0117</v>
      </c>
      <c r="HQ163" s="192"/>
      <c r="HR163" s="192"/>
      <c r="HS163" s="534"/>
      <c r="HT163" s="534" t="str">
        <f t="shared" si="435"/>
        <v>2025//10//29</v>
      </c>
      <c r="HU163" s="390">
        <v>162069</v>
      </c>
      <c r="HV163" s="390">
        <v>197069</v>
      </c>
      <c r="HW163" s="414">
        <v>-35000</v>
      </c>
      <c r="HX163" s="415">
        <v>-0.1776</v>
      </c>
      <c r="HY163" s="192"/>
      <c r="HZ163" s="192"/>
      <c r="IB163" s="8" t="str">
        <f t="shared" si="436"/>
        <v>2025//10//29</v>
      </c>
      <c r="IG163" s="192"/>
      <c r="IH163" s="192"/>
      <c r="IJ163" s="8" t="str">
        <f t="shared" si="437"/>
        <v>2025//10//29</v>
      </c>
      <c r="IK163" s="257">
        <v>394556.29</v>
      </c>
      <c r="IL163" s="257">
        <v>393036.29</v>
      </c>
      <c r="IM163" s="8"/>
      <c r="IN163" s="192"/>
      <c r="IO163" s="192"/>
      <c r="IP163" s="192"/>
      <c r="IR163" s="8" t="str">
        <f t="shared" si="438"/>
        <v>2025//10//29</v>
      </c>
      <c r="IS163" s="390">
        <v>127489</v>
      </c>
      <c r="IT163" s="390">
        <v>128189</v>
      </c>
      <c r="IU163" s="414">
        <v>-700</v>
      </c>
      <c r="IV163" s="415">
        <v>-0.0055</v>
      </c>
      <c r="IW163" s="192"/>
      <c r="IX163" s="192"/>
      <c r="IY163" s="389"/>
      <c r="IZ163" s="390" t="str">
        <f t="shared" si="439"/>
        <v>2025//10//29</v>
      </c>
      <c r="JA163" s="390">
        <v>4674429</v>
      </c>
      <c r="JB163" s="390">
        <v>4756229</v>
      </c>
      <c r="JC163" s="414">
        <v>-81800</v>
      </c>
      <c r="JD163" s="415">
        <v>-0.0172</v>
      </c>
      <c r="JE163" s="192"/>
      <c r="JF163" s="192"/>
      <c r="JH163" s="8" t="str">
        <f t="shared" si="440"/>
        <v>2025//10//29</v>
      </c>
      <c r="JI163" s="390">
        <v>2320768</v>
      </c>
      <c r="JJ163" s="390">
        <v>2390668</v>
      </c>
      <c r="JK163" s="414">
        <v>-69900</v>
      </c>
      <c r="JL163" s="415">
        <v>-0.0292</v>
      </c>
      <c r="JM163" s="192"/>
      <c r="JN163" s="192"/>
      <c r="JO163" s="192"/>
      <c r="JP163" s="390" t="str">
        <f t="shared" si="441"/>
        <v>2025//10//29</v>
      </c>
      <c r="JQ163" s="390">
        <v>1257590</v>
      </c>
      <c r="JR163" s="390">
        <v>1263390</v>
      </c>
      <c r="JS163" s="414">
        <v>-5800</v>
      </c>
      <c r="JT163" s="415">
        <v>-0.0046</v>
      </c>
      <c r="JU163" s="192"/>
      <c r="JV163" s="192"/>
      <c r="JW163" s="536"/>
      <c r="JX163" s="390" t="str">
        <f t="shared" si="442"/>
        <v>2025//10//29</v>
      </c>
      <c r="JY163" s="390">
        <v>1465099</v>
      </c>
      <c r="JZ163" s="390">
        <v>1465099</v>
      </c>
      <c r="KA163" s="410">
        <v>0</v>
      </c>
      <c r="KB163" s="409">
        <v>0</v>
      </c>
      <c r="KC163" s="192"/>
      <c r="KD163" s="192"/>
      <c r="KE163" s="409"/>
      <c r="KF163" s="8" t="str">
        <f t="shared" si="443"/>
        <v>2025//10//29</v>
      </c>
      <c r="KG163" s="192"/>
      <c r="KH163" s="192"/>
      <c r="KI163" s="8"/>
      <c r="KJ163" s="192"/>
      <c r="KK163" s="391"/>
      <c r="KL163" s="391"/>
      <c r="KM163" s="192"/>
      <c r="KN163" s="8" t="str">
        <f t="shared" si="444"/>
        <v>2025//10//29</v>
      </c>
      <c r="KO163" s="390">
        <v>5631476</v>
      </c>
      <c r="KP163" s="390">
        <v>5631476</v>
      </c>
      <c r="KQ163" s="410">
        <v>0</v>
      </c>
      <c r="KR163" s="409">
        <v>0</v>
      </c>
      <c r="KS163" s="192"/>
      <c r="KT163" s="192"/>
      <c r="KV163" s="8" t="str">
        <f t="shared" si="445"/>
        <v>2025//10//29</v>
      </c>
      <c r="KZ163" s="192"/>
      <c r="LA163" s="192"/>
      <c r="LB163" s="192"/>
      <c r="LD163" s="8" t="str">
        <f t="shared" si="446"/>
        <v>2025//10//29</v>
      </c>
      <c r="LE163" s="390">
        <v>554508</v>
      </c>
      <c r="LF163" s="390">
        <v>562808</v>
      </c>
      <c r="LG163" s="414">
        <v>-8300</v>
      </c>
      <c r="LH163" s="415">
        <v>-0.0147</v>
      </c>
      <c r="LI163" s="192"/>
      <c r="LJ163" s="192"/>
      <c r="LL163" s="8" t="str">
        <f t="shared" si="447"/>
        <v>2025//10//29</v>
      </c>
      <c r="LM163" s="191"/>
      <c r="LN163" s="8"/>
      <c r="LO163" s="8"/>
      <c r="LP163" s="192"/>
      <c r="LQ163" s="192"/>
      <c r="LR163" s="192"/>
      <c r="LT163" s="8" t="str">
        <f t="shared" si="448"/>
        <v>2025//10//29</v>
      </c>
      <c r="LX163" s="192"/>
      <c r="LY163" s="192"/>
      <c r="LZ163" s="192"/>
      <c r="MB163" s="8" t="str">
        <f t="shared" si="449"/>
        <v>2025//10//29</v>
      </c>
      <c r="MF163" s="192"/>
      <c r="MG163" s="192"/>
      <c r="MH163" s="192"/>
      <c r="MI163" s="8"/>
      <c r="MJ163" s="8"/>
      <c r="MK163" s="8" t="str">
        <f t="shared" si="450"/>
        <v>2025//10//29</v>
      </c>
      <c r="MM163" s="203"/>
      <c r="MN163" s="8"/>
      <c r="MO163" s="192"/>
      <c r="MP163" s="192"/>
      <c r="MQ163" s="192"/>
      <c r="MR163" s="192"/>
      <c r="MS163" s="192"/>
      <c r="MT163" s="26" t="str">
        <f t="shared" si="451"/>
        <v>2025//10//29</v>
      </c>
      <c r="MX163" s="192"/>
      <c r="MY163" s="192"/>
      <c r="MZ163" s="192"/>
      <c r="NA163" s="192"/>
      <c r="NB163" s="192"/>
      <c r="NC163" s="8" t="str">
        <f t="shared" si="452"/>
        <v>2025//10//29</v>
      </c>
      <c r="NG163" s="192"/>
      <c r="NH163" s="192"/>
      <c r="NI163" s="192"/>
      <c r="NJ163" s="192"/>
      <c r="NK163" s="192"/>
      <c r="NL163" s="8"/>
      <c r="NM163" s="8" t="str">
        <f t="shared" si="453"/>
        <v>2025//10//29</v>
      </c>
      <c r="NQ163" s="192"/>
      <c r="NR163" s="192"/>
      <c r="NS163" s="8"/>
      <c r="NU163" s="8" t="str">
        <f t="shared" si="454"/>
        <v>2025//10//29</v>
      </c>
      <c r="NY163" s="192"/>
      <c r="NZ163" s="192"/>
      <c r="OA163" s="8"/>
      <c r="OC163" s="8" t="str">
        <f t="shared" si="455"/>
        <v>2025//10//29</v>
      </c>
      <c r="OG163" s="192"/>
      <c r="OH163" s="192"/>
      <c r="OI163" s="192"/>
      <c r="OK163" s="8" t="str">
        <f t="shared" si="456"/>
        <v>2025//10//29</v>
      </c>
      <c r="OO163" s="192"/>
      <c r="OP163" s="192"/>
      <c r="OQ163" s="192"/>
      <c r="OT163" s="26" t="str">
        <f t="shared" si="407"/>
        <v>2025//10//29</v>
      </c>
      <c r="OU163" s="206">
        <v>131592.4066</v>
      </c>
      <c r="OX163" s="192"/>
    </row>
    <row r="164" s="8" customFormat="1" ht="17" customHeight="1" spans="1:414">
      <c r="A164" s="15"/>
      <c r="B164" s="15"/>
      <c r="C164" s="16"/>
      <c r="D164" s="395">
        <v>8946409</v>
      </c>
      <c r="E164" s="395">
        <v>8915539</v>
      </c>
      <c r="F164" s="459">
        <v>30870</v>
      </c>
      <c r="G164" s="460">
        <v>0.0035</v>
      </c>
      <c r="H164" s="18"/>
      <c r="I164" s="453"/>
      <c r="J164" s="453"/>
      <c r="K164" s="17">
        <f t="shared" si="408"/>
        <v>0</v>
      </c>
      <c r="L164" s="395">
        <v>6685714</v>
      </c>
      <c r="M164" s="395">
        <v>6683554</v>
      </c>
      <c r="N164" s="459">
        <v>2160</v>
      </c>
      <c r="O164" s="460">
        <v>0.0003</v>
      </c>
      <c r="P164" s="18"/>
      <c r="Q164" s="453"/>
      <c r="R164" s="454"/>
      <c r="S164" s="17">
        <f t="shared" si="409"/>
        <v>0</v>
      </c>
      <c r="T164" s="395">
        <v>5852317</v>
      </c>
      <c r="U164" s="395">
        <v>5807587</v>
      </c>
      <c r="V164" s="537">
        <v>44730</v>
      </c>
      <c r="W164" s="538">
        <v>0.0077</v>
      </c>
      <c r="X164" s="18"/>
      <c r="Y164" s="453"/>
      <c r="Z164" s="454"/>
      <c r="AA164" s="17">
        <f t="shared" si="410"/>
        <v>0</v>
      </c>
      <c r="AB164" s="395">
        <v>1825857</v>
      </c>
      <c r="AC164" s="395">
        <v>1823897</v>
      </c>
      <c r="AD164" s="459">
        <v>1960</v>
      </c>
      <c r="AE164" s="460">
        <v>0.0011</v>
      </c>
      <c r="AF164" s="18"/>
      <c r="AG164" s="453"/>
      <c r="AH164" s="454"/>
      <c r="AI164" s="17">
        <f t="shared" si="411"/>
        <v>0</v>
      </c>
      <c r="AJ164" s="395">
        <v>2469122</v>
      </c>
      <c r="AK164" s="386">
        <v>2466522</v>
      </c>
      <c r="AL164" s="537">
        <v>2600</v>
      </c>
      <c r="AM164" s="538">
        <v>0.0011</v>
      </c>
      <c r="AN164" s="18"/>
      <c r="AO164" s="18"/>
      <c r="AP164" s="454"/>
      <c r="AQ164" s="17">
        <f t="shared" si="412"/>
        <v>0</v>
      </c>
      <c r="AR164" s="418">
        <v>3260845</v>
      </c>
      <c r="AS164" s="395">
        <v>3270545</v>
      </c>
      <c r="AT164" s="403">
        <v>-9700</v>
      </c>
      <c r="AU164" s="404">
        <v>-0.003</v>
      </c>
      <c r="AV164" s="18"/>
      <c r="AW164" s="18"/>
      <c r="AX164" s="17"/>
      <c r="AY164" s="17"/>
      <c r="AZ164" s="17">
        <f t="shared" si="413"/>
        <v>0</v>
      </c>
      <c r="BA164" s="17"/>
      <c r="BB164" s="17"/>
      <c r="BC164" s="17"/>
      <c r="BD164" s="18"/>
      <c r="BE164" s="18"/>
      <c r="BF164" s="18"/>
      <c r="BG164" s="74"/>
      <c r="BH164" s="388">
        <f t="shared" si="414"/>
        <v>0</v>
      </c>
      <c r="BI164" s="387">
        <v>27227</v>
      </c>
      <c r="BJ164" s="387">
        <v>27127</v>
      </c>
      <c r="BK164" s="421">
        <v>100</v>
      </c>
      <c r="BL164" s="422">
        <v>0.0037</v>
      </c>
      <c r="BM164" s="197"/>
      <c r="BN164" s="192"/>
      <c r="BP164" s="8">
        <f t="shared" si="415"/>
        <v>0</v>
      </c>
      <c r="BQ164" s="392">
        <v>619362</v>
      </c>
      <c r="BR164" s="390">
        <v>628162</v>
      </c>
      <c r="BS164" s="414">
        <v>-8800</v>
      </c>
      <c r="BT164" s="415">
        <v>-0.014</v>
      </c>
      <c r="BU164" s="192"/>
      <c r="BV164" s="192"/>
      <c r="BX164" s="8">
        <f t="shared" si="416"/>
        <v>0</v>
      </c>
      <c r="CB164" s="192"/>
      <c r="CC164" s="192"/>
      <c r="CD164" s="192"/>
      <c r="CF164" s="8">
        <f t="shared" si="417"/>
        <v>0</v>
      </c>
      <c r="CJ164" s="192"/>
      <c r="CK164" s="192"/>
      <c r="CL164" s="539"/>
      <c r="CM164" s="534"/>
      <c r="CN164" s="534">
        <f t="shared" si="418"/>
        <v>0</v>
      </c>
      <c r="CO164" s="390">
        <v>107346</v>
      </c>
      <c r="CP164" s="390">
        <v>108846</v>
      </c>
      <c r="CQ164" s="12"/>
      <c r="CR164" s="199">
        <f t="shared" si="460"/>
        <v>0</v>
      </c>
      <c r="CS164" s="192"/>
      <c r="CT164" s="192"/>
      <c r="CV164" s="8">
        <f t="shared" si="419"/>
        <v>0</v>
      </c>
      <c r="CZ164" s="192"/>
      <c r="DA164" s="192"/>
      <c r="DB164" s="192"/>
      <c r="DC164" s="540"/>
      <c r="DD164" s="534">
        <f t="shared" si="420"/>
        <v>0</v>
      </c>
      <c r="DE164" s="390">
        <v>512059</v>
      </c>
      <c r="DF164" s="12" t="e">
        <f>#REF!</f>
        <v>#REF!</v>
      </c>
      <c r="DG164" s="414">
        <v>-13700</v>
      </c>
      <c r="DH164" s="415">
        <v>-0.0261</v>
      </c>
      <c r="DI164" s="192"/>
      <c r="DJ164" s="192"/>
      <c r="DK164" s="534"/>
      <c r="DL164" s="534">
        <f t="shared" si="421"/>
        <v>0</v>
      </c>
      <c r="DM164" s="390">
        <v>1506300</v>
      </c>
      <c r="DN164" s="390">
        <v>1507700</v>
      </c>
      <c r="DO164" s="414">
        <v>-1400</v>
      </c>
      <c r="DP164" s="415">
        <v>-0.0009</v>
      </c>
      <c r="DQ164" s="192"/>
      <c r="DR164" s="192"/>
      <c r="DS164" s="534"/>
      <c r="DT164" s="534">
        <f t="shared" si="422"/>
        <v>0</v>
      </c>
      <c r="DU164" s="390">
        <v>1664789</v>
      </c>
      <c r="DV164" s="390">
        <v>1665989</v>
      </c>
      <c r="DW164" s="414">
        <v>-1200</v>
      </c>
      <c r="DX164" s="415">
        <v>-0.0007</v>
      </c>
      <c r="DY164" s="192"/>
      <c r="DZ164" s="192"/>
      <c r="EA164" s="534"/>
      <c r="EB164" s="534">
        <f t="shared" si="423"/>
        <v>0</v>
      </c>
      <c r="EC164" s="390">
        <v>4890417</v>
      </c>
      <c r="ED164" s="390">
        <v>4895817</v>
      </c>
      <c r="EE164" s="414">
        <v>-5400</v>
      </c>
      <c r="EF164" s="415">
        <v>-0.0011</v>
      </c>
      <c r="EG164" s="192"/>
      <c r="EH164" s="192"/>
      <c r="EJ164" s="8">
        <f t="shared" si="424"/>
        <v>0</v>
      </c>
      <c r="EN164" s="192"/>
      <c r="EO164" s="192"/>
      <c r="EP164" s="192"/>
      <c r="EQ164" s="192"/>
      <c r="ER164" s="8">
        <f t="shared" si="425"/>
        <v>0</v>
      </c>
      <c r="ES164" s="192"/>
      <c r="ET164" s="192"/>
      <c r="EU164" s="192"/>
      <c r="EV164" s="192"/>
      <c r="EW164" s="192"/>
      <c r="EX164" s="192"/>
      <c r="EY164" s="534"/>
      <c r="EZ164" s="534">
        <f t="shared" si="426"/>
        <v>0</v>
      </c>
      <c r="FA164" s="390">
        <v>1243208</v>
      </c>
      <c r="FB164" s="390">
        <v>1235008</v>
      </c>
      <c r="FC164" s="416">
        <v>8200</v>
      </c>
      <c r="FD164" s="417">
        <v>0.0066</v>
      </c>
      <c r="FE164" s="192"/>
      <c r="FF164" s="192"/>
      <c r="FG164" s="192"/>
      <c r="FH164" s="8">
        <f t="shared" si="427"/>
        <v>0</v>
      </c>
      <c r="FI164" s="191"/>
      <c r="FJ164" s="8"/>
      <c r="FK164" s="8"/>
      <c r="FL164" s="535"/>
      <c r="FM164" s="516"/>
      <c r="FN164" s="516"/>
      <c r="FO164" s="534"/>
      <c r="FP164" s="534">
        <f t="shared" si="428"/>
        <v>0</v>
      </c>
      <c r="FQ164" s="390">
        <v>2243669</v>
      </c>
      <c r="FR164" s="390">
        <v>2252969</v>
      </c>
      <c r="FS164" s="414">
        <v>-9300</v>
      </c>
      <c r="FT164" s="415">
        <v>-0.0041</v>
      </c>
      <c r="FU164" s="192"/>
      <c r="FV164" s="192"/>
      <c r="FW164" s="534"/>
      <c r="FX164" s="534">
        <f t="shared" si="429"/>
        <v>0</v>
      </c>
      <c r="FY164" s="390">
        <v>6910182</v>
      </c>
      <c r="FZ164" s="390">
        <v>6913782</v>
      </c>
      <c r="GA164" s="414">
        <v>-3600</v>
      </c>
      <c r="GB164" s="415">
        <v>-0.0005</v>
      </c>
      <c r="GC164" s="192"/>
      <c r="GD164" s="192"/>
      <c r="GE164" s="534"/>
      <c r="GF164" s="534">
        <f t="shared" si="430"/>
        <v>0</v>
      </c>
      <c r="GG164" s="390">
        <v>4040469</v>
      </c>
      <c r="GH164" s="390">
        <v>3998569</v>
      </c>
      <c r="GI164" s="416">
        <v>41900</v>
      </c>
      <c r="GJ164" s="417">
        <v>0.0105</v>
      </c>
      <c r="GK164" s="192"/>
      <c r="GL164" s="192"/>
      <c r="GN164" s="8">
        <f t="shared" si="431"/>
        <v>0</v>
      </c>
      <c r="GR164" s="192"/>
      <c r="GS164" s="192"/>
      <c r="GT164" s="192"/>
      <c r="GV164" s="8">
        <f t="shared" si="432"/>
        <v>0</v>
      </c>
      <c r="GZ164" s="192"/>
      <c r="HA164" s="192"/>
      <c r="HB164" s="192"/>
      <c r="HC164" s="534"/>
      <c r="HD164" s="534">
        <f t="shared" si="433"/>
        <v>0</v>
      </c>
      <c r="HE164" s="534"/>
      <c r="HF164" s="534"/>
      <c r="HG164" s="541"/>
      <c r="HH164" s="536"/>
      <c r="HI164" s="539"/>
      <c r="HJ164" s="192"/>
      <c r="HK164" s="534"/>
      <c r="HL164" s="534">
        <f t="shared" si="434"/>
        <v>0</v>
      </c>
      <c r="HM164" s="534"/>
      <c r="HN164" s="534"/>
      <c r="HO164" s="8"/>
      <c r="HP164" s="192"/>
      <c r="HQ164" s="192"/>
      <c r="HR164" s="192"/>
      <c r="HS164" s="534"/>
      <c r="HT164" s="534">
        <f t="shared" si="435"/>
        <v>0</v>
      </c>
      <c r="HU164" s="534"/>
      <c r="HV164" s="534"/>
      <c r="HW164" s="8"/>
      <c r="HX164" s="536"/>
      <c r="HY164" s="536"/>
      <c r="HZ164" s="192"/>
      <c r="IB164" s="8">
        <f t="shared" si="436"/>
        <v>0</v>
      </c>
      <c r="IG164" s="192"/>
      <c r="IH164" s="192"/>
      <c r="IJ164" s="8">
        <f t="shared" si="437"/>
        <v>0</v>
      </c>
      <c r="IN164" s="192"/>
      <c r="IO164" s="192"/>
      <c r="IP164" s="192"/>
      <c r="IR164" s="8">
        <f t="shared" si="438"/>
        <v>0</v>
      </c>
      <c r="IV164" s="192"/>
      <c r="IW164" s="192"/>
      <c r="IX164" s="192"/>
      <c r="IY164" s="534"/>
      <c r="IZ164" s="534">
        <f t="shared" si="439"/>
        <v>0</v>
      </c>
      <c r="JA164" s="390">
        <v>4756229</v>
      </c>
      <c r="JB164" s="390">
        <v>4742929</v>
      </c>
      <c r="JC164" s="416">
        <v>13300</v>
      </c>
      <c r="JD164" s="417">
        <v>0.0028</v>
      </c>
      <c r="JE164" s="192"/>
      <c r="JF164" s="192"/>
      <c r="JH164" s="8">
        <f t="shared" si="440"/>
        <v>0</v>
      </c>
      <c r="JL164" s="192"/>
      <c r="JM164" s="192"/>
      <c r="JN164" s="192"/>
      <c r="JO164" s="192"/>
      <c r="JP164" s="534">
        <f t="shared" si="441"/>
        <v>0</v>
      </c>
      <c r="JQ164" s="390">
        <v>1263390</v>
      </c>
      <c r="JR164" s="390">
        <v>1264390</v>
      </c>
      <c r="JS164" s="414">
        <v>-1000</v>
      </c>
      <c r="JT164" s="415">
        <v>-0.0008</v>
      </c>
      <c r="JU164" s="192"/>
      <c r="JV164" s="192"/>
      <c r="JW164" s="536"/>
      <c r="JX164" s="534">
        <f t="shared" si="442"/>
        <v>0</v>
      </c>
      <c r="JY164" s="390">
        <v>1465099</v>
      </c>
      <c r="JZ164" s="390">
        <v>1465099</v>
      </c>
      <c r="KA164" s="410">
        <v>0</v>
      </c>
      <c r="KB164" s="409">
        <v>0</v>
      </c>
      <c r="KC164" s="192"/>
      <c r="KD164" s="192"/>
      <c r="KE164" s="192"/>
      <c r="KF164" s="8">
        <f t="shared" si="443"/>
        <v>0</v>
      </c>
      <c r="KG164" s="192"/>
      <c r="KH164" s="192"/>
      <c r="KI164" s="8"/>
      <c r="KJ164" s="192"/>
      <c r="KK164" s="391"/>
      <c r="KL164" s="391"/>
      <c r="KM164" s="192"/>
      <c r="KN164" s="8">
        <f t="shared" si="444"/>
        <v>0</v>
      </c>
      <c r="KR164" s="192"/>
      <c r="KS164" s="192"/>
      <c r="KT164" s="192"/>
      <c r="KV164" s="8">
        <f t="shared" si="445"/>
        <v>0</v>
      </c>
      <c r="KZ164" s="192"/>
      <c r="LA164" s="192"/>
      <c r="LB164" s="192"/>
      <c r="LD164" s="8">
        <f t="shared" si="446"/>
        <v>0</v>
      </c>
      <c r="LH164" s="192"/>
      <c r="LI164" s="192"/>
      <c r="LJ164" s="192"/>
      <c r="LL164" s="8">
        <f t="shared" si="447"/>
        <v>0</v>
      </c>
      <c r="LM164" s="191"/>
      <c r="LN164" s="8"/>
      <c r="LO164" s="8"/>
      <c r="LP164" s="192"/>
      <c r="LQ164" s="192"/>
      <c r="LR164" s="192"/>
      <c r="LT164" s="8">
        <f t="shared" si="448"/>
        <v>0</v>
      </c>
      <c r="LX164" s="192"/>
      <c r="LY164" s="192"/>
      <c r="LZ164" s="192"/>
      <c r="MB164" s="8">
        <f t="shared" si="449"/>
        <v>0</v>
      </c>
      <c r="MF164" s="192"/>
      <c r="MG164" s="192"/>
      <c r="MH164" s="192"/>
      <c r="MI164" s="8"/>
      <c r="MJ164" s="8"/>
      <c r="MK164" s="8">
        <f t="shared" si="450"/>
        <v>0</v>
      </c>
      <c r="MM164" s="203"/>
      <c r="MN164" s="8"/>
      <c r="MO164" s="192"/>
      <c r="MP164" s="192"/>
      <c r="MQ164" s="192"/>
      <c r="MR164" s="192"/>
      <c r="MS164" s="192"/>
      <c r="MT164" s="26">
        <f t="shared" si="451"/>
        <v>0</v>
      </c>
      <c r="MX164" s="192"/>
      <c r="MY164" s="192"/>
      <c r="MZ164" s="192"/>
      <c r="NA164" s="192"/>
      <c r="NB164" s="192"/>
      <c r="NC164" s="8">
        <f t="shared" si="452"/>
        <v>0</v>
      </c>
      <c r="NG164" s="192"/>
      <c r="NH164" s="192"/>
      <c r="NI164" s="192"/>
      <c r="NJ164" s="192"/>
      <c r="NK164" s="192"/>
      <c r="NL164" s="8"/>
      <c r="NM164" s="8">
        <f t="shared" si="453"/>
        <v>0</v>
      </c>
      <c r="NQ164" s="192"/>
      <c r="NR164" s="192"/>
      <c r="NS164" s="8"/>
      <c r="NU164" s="8">
        <f t="shared" si="454"/>
        <v>0</v>
      </c>
      <c r="NY164" s="192"/>
      <c r="NZ164" s="192"/>
      <c r="OA164" s="8"/>
      <c r="OC164" s="8">
        <f t="shared" si="455"/>
        <v>0</v>
      </c>
      <c r="OG164" s="192"/>
      <c r="OH164" s="192"/>
      <c r="OI164" s="192"/>
      <c r="OK164" s="8">
        <f t="shared" si="456"/>
        <v>0</v>
      </c>
      <c r="OO164" s="192"/>
      <c r="OP164" s="192"/>
      <c r="OQ164" s="192"/>
      <c r="OT164" s="26">
        <f t="shared" si="407"/>
        <v>0</v>
      </c>
      <c r="OX164" s="192"/>
    </row>
  </sheetData>
  <conditionalFormatting sqref="O2">
    <cfRule type="cellIs" dxfId="425" priority="439" operator="between">
      <formula>-10</formula>
      <formula>-0.1</formula>
    </cfRule>
    <cfRule type="cellIs" dxfId="426" priority="440" operator="between">
      <formula>0.1</formula>
      <formula>5</formula>
    </cfRule>
    <cfRule type="cellIs" dxfId="425" priority="441" operator="between">
      <formula>-0.2</formula>
      <formula>-0.05</formula>
    </cfRule>
    <cfRule type="cellIs" dxfId="426" priority="442" operator="between">
      <formula>0.05</formula>
      <formula>1.5</formula>
    </cfRule>
    <cfRule type="cellIs" dxfId="427" priority="443" operator="lessThan">
      <formula>0</formula>
    </cfRule>
    <cfRule type="cellIs" dxfId="428" priority="444" operator="greaterThan">
      <formula>0</formula>
    </cfRule>
  </conditionalFormatting>
  <conditionalFormatting sqref="W2">
    <cfRule type="cellIs" dxfId="425" priority="433" operator="between">
      <formula>-10</formula>
      <formula>-0.1</formula>
    </cfRule>
    <cfRule type="cellIs" dxfId="426" priority="434" operator="between">
      <formula>0.1</formula>
      <formula>5</formula>
    </cfRule>
    <cfRule type="cellIs" dxfId="425" priority="435" operator="between">
      <formula>-0.2</formula>
      <formula>-0.05</formula>
    </cfRule>
    <cfRule type="cellIs" dxfId="426" priority="436" operator="between">
      <formula>0.05</formula>
      <formula>1.5</formula>
    </cfRule>
    <cfRule type="cellIs" dxfId="427" priority="437" operator="lessThan">
      <formula>0</formula>
    </cfRule>
    <cfRule type="cellIs" dxfId="428" priority="438" operator="greaterThan">
      <formula>0</formula>
    </cfRule>
  </conditionalFormatting>
  <conditionalFormatting sqref="AE2">
    <cfRule type="cellIs" dxfId="425" priority="427" operator="between">
      <formula>-10</formula>
      <formula>-0.1</formula>
    </cfRule>
    <cfRule type="cellIs" dxfId="426" priority="428" operator="between">
      <formula>0.1</formula>
      <formula>5</formula>
    </cfRule>
    <cfRule type="cellIs" dxfId="425" priority="429" operator="between">
      <formula>-0.2</formula>
      <formula>-0.05</formula>
    </cfRule>
    <cfRule type="cellIs" dxfId="426" priority="430" operator="between">
      <formula>0.05</formula>
      <formula>1.5</formula>
    </cfRule>
    <cfRule type="cellIs" dxfId="427" priority="431" operator="lessThan">
      <formula>0</formula>
    </cfRule>
    <cfRule type="cellIs" dxfId="428" priority="432" operator="greaterThan">
      <formula>0</formula>
    </cfRule>
  </conditionalFormatting>
  <conditionalFormatting sqref="AM2">
    <cfRule type="cellIs" dxfId="425" priority="421" operator="between">
      <formula>-10</formula>
      <formula>-0.1</formula>
    </cfRule>
    <cfRule type="cellIs" dxfId="426" priority="422" operator="between">
      <formula>0.1</formula>
      <formula>5</formula>
    </cfRule>
    <cfRule type="cellIs" dxfId="425" priority="423" operator="between">
      <formula>-0.2</formula>
      <formula>-0.05</formula>
    </cfRule>
    <cfRule type="cellIs" dxfId="426" priority="424" operator="between">
      <formula>0.05</formula>
      <formula>1.5</formula>
    </cfRule>
    <cfRule type="cellIs" dxfId="427" priority="425" operator="lessThan">
      <formula>0</formula>
    </cfRule>
    <cfRule type="cellIs" dxfId="428" priority="426" operator="greaterThan">
      <formula>0</formula>
    </cfRule>
  </conditionalFormatting>
  <conditionalFormatting sqref="AU2">
    <cfRule type="cellIs" dxfId="425" priority="415" operator="between">
      <formula>-10</formula>
      <formula>-0.1</formula>
    </cfRule>
    <cfRule type="cellIs" dxfId="426" priority="416" operator="between">
      <formula>0.1</formula>
      <formula>5</formula>
    </cfRule>
    <cfRule type="cellIs" dxfId="425" priority="417" operator="between">
      <formula>-0.2</formula>
      <formula>-0.05</formula>
    </cfRule>
    <cfRule type="cellIs" dxfId="426" priority="418" operator="between">
      <formula>0.05</formula>
      <formula>1.5</formula>
    </cfRule>
    <cfRule type="cellIs" dxfId="427" priority="419" operator="lessThan">
      <formula>0</formula>
    </cfRule>
    <cfRule type="cellIs" dxfId="428" priority="420" operator="greaterThan">
      <formula>0</formula>
    </cfRule>
  </conditionalFormatting>
  <conditionalFormatting sqref="BD2">
    <cfRule type="cellIs" dxfId="425" priority="391" operator="between">
      <formula>-10</formula>
      <formula>-0.1</formula>
    </cfRule>
    <cfRule type="cellIs" dxfId="426" priority="392" operator="between">
      <formula>0.1</formula>
      <formula>5</formula>
    </cfRule>
    <cfRule type="cellIs" dxfId="425" priority="393" operator="between">
      <formula>-0.2</formula>
      <formula>-0.05</formula>
    </cfRule>
    <cfRule type="cellIs" dxfId="426" priority="394" operator="between">
      <formula>0.05</formula>
      <formula>1.5</formula>
    </cfRule>
    <cfRule type="cellIs" dxfId="427" priority="395" operator="lessThan">
      <formula>0</formula>
    </cfRule>
    <cfRule type="cellIs" dxfId="428" priority="396" operator="greaterThan">
      <formula>0</formula>
    </cfRule>
  </conditionalFormatting>
  <conditionalFormatting sqref="BL2">
    <cfRule type="cellIs" dxfId="428" priority="374" operator="greaterThan">
      <formula>0</formula>
    </cfRule>
    <cfRule type="cellIs" dxfId="427" priority="373" operator="lessThan">
      <formula>0</formula>
    </cfRule>
    <cfRule type="cellIs" dxfId="426" priority="372" operator="between">
      <formula>0.05</formula>
      <formula>1.5</formula>
    </cfRule>
    <cfRule type="cellIs" dxfId="425" priority="371" operator="between">
      <formula>-0.2</formula>
      <formula>-0.05</formula>
    </cfRule>
    <cfRule type="cellIs" dxfId="426" priority="370" operator="between">
      <formula>0.1</formula>
      <formula>5</formula>
    </cfRule>
    <cfRule type="cellIs" dxfId="425" priority="369" operator="between">
      <formula>-10</formula>
      <formula>-0.1</formula>
    </cfRule>
  </conditionalFormatting>
  <conditionalFormatting sqref="BT2">
    <cfRule type="cellIs" dxfId="428" priority="368" operator="greaterThan">
      <formula>0</formula>
    </cfRule>
    <cfRule type="cellIs" dxfId="427" priority="367" operator="lessThan">
      <formula>0</formula>
    </cfRule>
    <cfRule type="cellIs" dxfId="426" priority="366" operator="between">
      <formula>0.05</formula>
      <formula>1.5</formula>
    </cfRule>
    <cfRule type="cellIs" dxfId="425" priority="365" operator="between">
      <formula>-0.2</formula>
      <formula>-0.05</formula>
    </cfRule>
    <cfRule type="cellIs" dxfId="426" priority="364" operator="between">
      <formula>0.1</formula>
      <formula>5</formula>
    </cfRule>
    <cfRule type="cellIs" dxfId="425" priority="363" operator="between">
      <formula>-10</formula>
      <formula>-0.1</formula>
    </cfRule>
  </conditionalFormatting>
  <conditionalFormatting sqref="CB2">
    <cfRule type="cellIs" dxfId="428" priority="362" operator="greaterThan">
      <formula>0</formula>
    </cfRule>
    <cfRule type="cellIs" dxfId="427" priority="361" operator="lessThan">
      <formula>0</formula>
    </cfRule>
    <cfRule type="cellIs" dxfId="426" priority="360" operator="between">
      <formula>0.05</formula>
      <formula>1.5</formula>
    </cfRule>
    <cfRule type="cellIs" dxfId="425" priority="359" operator="between">
      <formula>-0.2</formula>
      <formula>-0.05</formula>
    </cfRule>
    <cfRule type="cellIs" dxfId="426" priority="358" operator="between">
      <formula>0.1</formula>
      <formula>5</formula>
    </cfRule>
    <cfRule type="cellIs" dxfId="425" priority="357" operator="between">
      <formula>-10</formula>
      <formula>-0.1</formula>
    </cfRule>
  </conditionalFormatting>
  <conditionalFormatting sqref="CJ2">
    <cfRule type="cellIs" dxfId="428" priority="356" operator="greaterThan">
      <formula>0</formula>
    </cfRule>
    <cfRule type="cellIs" dxfId="427" priority="355" operator="lessThan">
      <formula>0</formula>
    </cfRule>
    <cfRule type="cellIs" dxfId="426" priority="354" operator="between">
      <formula>0.05</formula>
      <formula>1.5</formula>
    </cfRule>
    <cfRule type="cellIs" dxfId="425" priority="353" operator="between">
      <formula>-0.2</formula>
      <formula>-0.05</formula>
    </cfRule>
    <cfRule type="cellIs" dxfId="426" priority="352" operator="between">
      <formula>0.1</formula>
      <formula>5</formula>
    </cfRule>
    <cfRule type="cellIs" dxfId="425" priority="351" operator="between">
      <formula>-10</formula>
      <formula>-0.1</formula>
    </cfRule>
  </conditionalFormatting>
  <conditionalFormatting sqref="CR2">
    <cfRule type="cellIs" dxfId="428" priority="350" operator="greaterThan">
      <formula>0</formula>
    </cfRule>
    <cfRule type="cellIs" dxfId="427" priority="349" operator="lessThan">
      <formula>0</formula>
    </cfRule>
    <cfRule type="cellIs" dxfId="426" priority="348" operator="between">
      <formula>0.05</formula>
      <formula>1.5</formula>
    </cfRule>
    <cfRule type="cellIs" dxfId="425" priority="347" operator="between">
      <formula>-0.2</formula>
      <formula>-0.05</formula>
    </cfRule>
    <cfRule type="cellIs" dxfId="426" priority="346" operator="between">
      <formula>0.1</formula>
      <formula>5</formula>
    </cfRule>
    <cfRule type="cellIs" dxfId="425" priority="345" operator="between">
      <formula>-10</formula>
      <formula>-0.1</formula>
    </cfRule>
  </conditionalFormatting>
  <conditionalFormatting sqref="CZ2">
    <cfRule type="cellIs" dxfId="428" priority="344" operator="greaterThan">
      <formula>0</formula>
    </cfRule>
    <cfRule type="cellIs" dxfId="427" priority="343" operator="lessThan">
      <formula>0</formula>
    </cfRule>
    <cfRule type="cellIs" dxfId="426" priority="342" operator="between">
      <formula>0.05</formula>
      <formula>1.5</formula>
    </cfRule>
    <cfRule type="cellIs" dxfId="425" priority="341" operator="between">
      <formula>-0.2</formula>
      <formula>-0.05</formula>
    </cfRule>
    <cfRule type="cellIs" dxfId="426" priority="340" operator="between">
      <formula>0.1</formula>
      <formula>5</formula>
    </cfRule>
    <cfRule type="cellIs" dxfId="425" priority="339" operator="between">
      <formula>-10</formula>
      <formula>-0.1</formula>
    </cfRule>
  </conditionalFormatting>
  <conditionalFormatting sqref="DH2">
    <cfRule type="cellIs" dxfId="428" priority="338" operator="greaterThan">
      <formula>0</formula>
    </cfRule>
    <cfRule type="cellIs" dxfId="427" priority="337" operator="lessThan">
      <formula>0</formula>
    </cfRule>
    <cfRule type="cellIs" dxfId="426" priority="336" operator="between">
      <formula>0.05</formula>
      <formula>1.5</formula>
    </cfRule>
    <cfRule type="cellIs" dxfId="425" priority="335" operator="between">
      <formula>-0.2</formula>
      <formula>-0.05</formula>
    </cfRule>
    <cfRule type="cellIs" dxfId="426" priority="334" operator="between">
      <formula>0.1</formula>
      <formula>5</formula>
    </cfRule>
    <cfRule type="cellIs" dxfId="425" priority="333" operator="between">
      <formula>-10</formula>
      <formula>-0.1</formula>
    </cfRule>
  </conditionalFormatting>
  <conditionalFormatting sqref="DP2">
    <cfRule type="cellIs" dxfId="428" priority="332" operator="greaterThan">
      <formula>0</formula>
    </cfRule>
    <cfRule type="cellIs" dxfId="427" priority="331" operator="lessThan">
      <formula>0</formula>
    </cfRule>
    <cfRule type="cellIs" dxfId="426" priority="330" operator="between">
      <formula>0.05</formula>
      <formula>1.5</formula>
    </cfRule>
    <cfRule type="cellIs" dxfId="425" priority="329" operator="between">
      <formula>-0.2</formula>
      <formula>-0.05</formula>
    </cfRule>
    <cfRule type="cellIs" dxfId="426" priority="328" operator="between">
      <formula>0.1</formula>
      <formula>5</formula>
    </cfRule>
    <cfRule type="cellIs" dxfId="425" priority="327" operator="between">
      <formula>-10</formula>
      <formula>-0.1</formula>
    </cfRule>
  </conditionalFormatting>
  <conditionalFormatting sqref="DX2">
    <cfRule type="cellIs" dxfId="428" priority="326" operator="greaterThan">
      <formula>0</formula>
    </cfRule>
    <cfRule type="cellIs" dxfId="427" priority="325" operator="lessThan">
      <formula>0</formula>
    </cfRule>
    <cfRule type="cellIs" dxfId="426" priority="324" operator="between">
      <formula>0.05</formula>
      <formula>1.5</formula>
    </cfRule>
    <cfRule type="cellIs" dxfId="425" priority="323" operator="between">
      <formula>-0.2</formula>
      <formula>-0.05</formula>
    </cfRule>
    <cfRule type="cellIs" dxfId="426" priority="322" operator="between">
      <formula>0.1</formula>
      <formula>5</formula>
    </cfRule>
    <cfRule type="cellIs" dxfId="425" priority="321" operator="between">
      <formula>-10</formula>
      <formula>-0.1</formula>
    </cfRule>
  </conditionalFormatting>
  <conditionalFormatting sqref="EF2">
    <cfRule type="cellIs" dxfId="428" priority="320" operator="greaterThan">
      <formula>0</formula>
    </cfRule>
    <cfRule type="cellIs" dxfId="427" priority="319" operator="lessThan">
      <formula>0</formula>
    </cfRule>
    <cfRule type="cellIs" dxfId="426" priority="318" operator="between">
      <formula>0.05</formula>
      <formula>1.5</formula>
    </cfRule>
    <cfRule type="cellIs" dxfId="425" priority="317" operator="between">
      <formula>-0.2</formula>
      <formula>-0.05</formula>
    </cfRule>
    <cfRule type="cellIs" dxfId="426" priority="316" operator="between">
      <formula>0.1</formula>
      <formula>5</formula>
    </cfRule>
    <cfRule type="cellIs" dxfId="425" priority="315" operator="between">
      <formula>-10</formula>
      <formula>-0.1</formula>
    </cfRule>
  </conditionalFormatting>
  <conditionalFormatting sqref="EN2">
    <cfRule type="cellIs" dxfId="428" priority="314" operator="greaterThan">
      <formula>0</formula>
    </cfRule>
    <cfRule type="cellIs" dxfId="427" priority="313" operator="lessThan">
      <formula>0</formula>
    </cfRule>
    <cfRule type="cellIs" dxfId="426" priority="312" operator="between">
      <formula>0.05</formula>
      <formula>1.5</formula>
    </cfRule>
    <cfRule type="cellIs" dxfId="425" priority="311" operator="between">
      <formula>-0.2</formula>
      <formula>-0.05</formula>
    </cfRule>
    <cfRule type="cellIs" dxfId="426" priority="310" operator="between">
      <formula>0.1</formula>
      <formula>5</formula>
    </cfRule>
    <cfRule type="cellIs" dxfId="425" priority="309" operator="between">
      <formula>-10</formula>
      <formula>-0.1</formula>
    </cfRule>
  </conditionalFormatting>
  <conditionalFormatting sqref="EV2">
    <cfRule type="cellIs" dxfId="428" priority="308" operator="greaterThan">
      <formula>0</formula>
    </cfRule>
    <cfRule type="cellIs" dxfId="427" priority="307" operator="lessThan">
      <formula>0</formula>
    </cfRule>
    <cfRule type="cellIs" dxfId="426" priority="306" operator="between">
      <formula>0.05</formula>
      <formula>1.5</formula>
    </cfRule>
    <cfRule type="cellIs" dxfId="425" priority="305" operator="between">
      <formula>-0.2</formula>
      <formula>-0.05</formula>
    </cfRule>
    <cfRule type="cellIs" dxfId="426" priority="304" operator="between">
      <formula>0.1</formula>
      <formula>5</formula>
    </cfRule>
    <cfRule type="cellIs" dxfId="425" priority="303" operator="between">
      <formula>-10</formula>
      <formula>-0.1</formula>
    </cfRule>
  </conditionalFormatting>
  <conditionalFormatting sqref="FD2">
    <cfRule type="cellIs" dxfId="428" priority="302" operator="greaterThan">
      <formula>0</formula>
    </cfRule>
    <cfRule type="cellIs" dxfId="427" priority="301" operator="lessThan">
      <formula>0</formula>
    </cfRule>
    <cfRule type="cellIs" dxfId="426" priority="300" operator="between">
      <formula>0.05</formula>
      <formula>1.5</formula>
    </cfRule>
    <cfRule type="cellIs" dxfId="425" priority="299" operator="between">
      <formula>-0.2</formula>
      <formula>-0.05</formula>
    </cfRule>
    <cfRule type="cellIs" dxfId="426" priority="298" operator="between">
      <formula>0.1</formula>
      <formula>5</formula>
    </cfRule>
    <cfRule type="cellIs" dxfId="425" priority="297" operator="between">
      <formula>-10</formula>
      <formula>-0.1</formula>
    </cfRule>
  </conditionalFormatting>
  <conditionalFormatting sqref="FL2">
    <cfRule type="cellIs" dxfId="428" priority="296" operator="greaterThan">
      <formula>0</formula>
    </cfRule>
    <cfRule type="cellIs" dxfId="427" priority="295" operator="lessThan">
      <formula>0</formula>
    </cfRule>
    <cfRule type="cellIs" dxfId="426" priority="294" operator="between">
      <formula>0.05</formula>
      <formula>1.5</formula>
    </cfRule>
    <cfRule type="cellIs" dxfId="425" priority="293" operator="between">
      <formula>-0.2</formula>
      <formula>-0.05</formula>
    </cfRule>
    <cfRule type="cellIs" dxfId="426" priority="292" operator="between">
      <formula>0.1</formula>
      <formula>5</formula>
    </cfRule>
    <cfRule type="cellIs" dxfId="425" priority="291" operator="between">
      <formula>-10</formula>
      <formula>-0.1</formula>
    </cfRule>
  </conditionalFormatting>
  <conditionalFormatting sqref="FT2">
    <cfRule type="cellIs" dxfId="428" priority="290" operator="greaterThan">
      <formula>0</formula>
    </cfRule>
    <cfRule type="cellIs" dxfId="427" priority="289" operator="lessThan">
      <formula>0</formula>
    </cfRule>
    <cfRule type="cellIs" dxfId="426" priority="288" operator="between">
      <formula>0.05</formula>
      <formula>1.5</formula>
    </cfRule>
    <cfRule type="cellIs" dxfId="425" priority="287" operator="between">
      <formula>-0.2</formula>
      <formula>-0.05</formula>
    </cfRule>
    <cfRule type="cellIs" dxfId="426" priority="286" operator="between">
      <formula>0.1</formula>
      <formula>5</formula>
    </cfRule>
    <cfRule type="cellIs" dxfId="425" priority="285" operator="between">
      <formula>-10</formula>
      <formula>-0.1</formula>
    </cfRule>
  </conditionalFormatting>
  <conditionalFormatting sqref="GB2">
    <cfRule type="cellIs" dxfId="428" priority="284" operator="greaterThan">
      <formula>0</formula>
    </cfRule>
    <cfRule type="cellIs" dxfId="427" priority="283" operator="lessThan">
      <formula>0</formula>
    </cfRule>
    <cfRule type="cellIs" dxfId="426" priority="282" operator="between">
      <formula>0.05</formula>
      <formula>1.5</formula>
    </cfRule>
    <cfRule type="cellIs" dxfId="425" priority="281" operator="between">
      <formula>-0.2</formula>
      <formula>-0.05</formula>
    </cfRule>
    <cfRule type="cellIs" dxfId="426" priority="280" operator="between">
      <formula>0.1</formula>
      <formula>5</formula>
    </cfRule>
    <cfRule type="cellIs" dxfId="425" priority="279" operator="between">
      <formula>-10</formula>
      <formula>-0.1</formula>
    </cfRule>
  </conditionalFormatting>
  <conditionalFormatting sqref="GJ2">
    <cfRule type="cellIs" dxfId="428" priority="278" operator="greaterThan">
      <formula>0</formula>
    </cfRule>
    <cfRule type="cellIs" dxfId="427" priority="277" operator="lessThan">
      <formula>0</formula>
    </cfRule>
    <cfRule type="cellIs" dxfId="426" priority="276" operator="between">
      <formula>0.05</formula>
      <formula>1.5</formula>
    </cfRule>
    <cfRule type="cellIs" dxfId="425" priority="275" operator="between">
      <formula>-0.2</formula>
      <formula>-0.05</formula>
    </cfRule>
    <cfRule type="cellIs" dxfId="426" priority="274" operator="between">
      <formula>0.1</formula>
      <formula>5</formula>
    </cfRule>
    <cfRule type="cellIs" dxfId="425" priority="273" operator="between">
      <formula>-10</formula>
      <formula>-0.1</formula>
    </cfRule>
  </conditionalFormatting>
  <conditionalFormatting sqref="GR2">
    <cfRule type="cellIs" dxfId="428" priority="272" operator="greaterThan">
      <formula>0</formula>
    </cfRule>
    <cfRule type="cellIs" dxfId="427" priority="271" operator="lessThan">
      <formula>0</formula>
    </cfRule>
    <cfRule type="cellIs" dxfId="426" priority="270" operator="between">
      <formula>0.05</formula>
      <formula>1.5</formula>
    </cfRule>
    <cfRule type="cellIs" dxfId="425" priority="269" operator="between">
      <formula>-0.2</formula>
      <formula>-0.05</formula>
    </cfRule>
    <cfRule type="cellIs" dxfId="426" priority="268" operator="between">
      <formula>0.1</formula>
      <formula>5</formula>
    </cfRule>
    <cfRule type="cellIs" dxfId="425" priority="267" operator="between">
      <formula>-10</formula>
      <formula>-0.1</formula>
    </cfRule>
  </conditionalFormatting>
  <conditionalFormatting sqref="GZ2">
    <cfRule type="cellIs" dxfId="428" priority="266" operator="greaterThan">
      <formula>0</formula>
    </cfRule>
    <cfRule type="cellIs" dxfId="427" priority="265" operator="lessThan">
      <formula>0</formula>
    </cfRule>
    <cfRule type="cellIs" dxfId="426" priority="264" operator="between">
      <formula>0.05</formula>
      <formula>1.5</formula>
    </cfRule>
    <cfRule type="cellIs" dxfId="425" priority="263" operator="between">
      <formula>-0.2</formula>
      <formula>-0.05</formula>
    </cfRule>
    <cfRule type="cellIs" dxfId="426" priority="262" operator="between">
      <formula>0.1</formula>
      <formula>5</formula>
    </cfRule>
    <cfRule type="cellIs" dxfId="425" priority="261" operator="between">
      <formula>-10</formula>
      <formula>-0.1</formula>
    </cfRule>
  </conditionalFormatting>
  <conditionalFormatting sqref="HH2">
    <cfRule type="cellIs" dxfId="428" priority="260" operator="greaterThan">
      <formula>0</formula>
    </cfRule>
    <cfRule type="cellIs" dxfId="427" priority="259" operator="lessThan">
      <formula>0</formula>
    </cfRule>
    <cfRule type="cellIs" dxfId="426" priority="258" operator="between">
      <formula>0.05</formula>
      <formula>1.5</formula>
    </cfRule>
    <cfRule type="cellIs" dxfId="425" priority="257" operator="between">
      <formula>-0.2</formula>
      <formula>-0.05</formula>
    </cfRule>
    <cfRule type="cellIs" dxfId="426" priority="256" operator="between">
      <formula>0.1</formula>
      <formula>5</formula>
    </cfRule>
    <cfRule type="cellIs" dxfId="425" priority="255" operator="between">
      <formula>-10</formula>
      <formula>-0.1</formula>
    </cfRule>
  </conditionalFormatting>
  <conditionalFormatting sqref="HP2">
    <cfRule type="cellIs" dxfId="428" priority="254" operator="greaterThan">
      <formula>0</formula>
    </cfRule>
    <cfRule type="cellIs" dxfId="427" priority="253" operator="lessThan">
      <formula>0</formula>
    </cfRule>
    <cfRule type="cellIs" dxfId="426" priority="252" operator="between">
      <formula>0.05</formula>
      <formula>1.5</formula>
    </cfRule>
    <cfRule type="cellIs" dxfId="425" priority="251" operator="between">
      <formula>-0.2</formula>
      <formula>-0.05</formula>
    </cfRule>
    <cfRule type="cellIs" dxfId="426" priority="250" operator="between">
      <formula>0.1</formula>
      <formula>5</formula>
    </cfRule>
    <cfRule type="cellIs" dxfId="425" priority="249" operator="between">
      <formula>-10</formula>
      <formula>-0.1</formula>
    </cfRule>
  </conditionalFormatting>
  <conditionalFormatting sqref="HX2">
    <cfRule type="cellIs" dxfId="428" priority="248" operator="greaterThan">
      <formula>0</formula>
    </cfRule>
    <cfRule type="cellIs" dxfId="427" priority="247" operator="lessThan">
      <formula>0</formula>
    </cfRule>
    <cfRule type="cellIs" dxfId="426" priority="246" operator="between">
      <formula>0.05</formula>
      <formula>1.5</formula>
    </cfRule>
    <cfRule type="cellIs" dxfId="425" priority="245" operator="between">
      <formula>-0.2</formula>
      <formula>-0.05</formula>
    </cfRule>
    <cfRule type="cellIs" dxfId="426" priority="244" operator="between">
      <formula>0.1</formula>
      <formula>5</formula>
    </cfRule>
    <cfRule type="cellIs" dxfId="425" priority="243" operator="between">
      <formula>-10</formula>
      <formula>-0.1</formula>
    </cfRule>
  </conditionalFormatting>
  <conditionalFormatting sqref="IF2">
    <cfRule type="cellIs" dxfId="428" priority="242" operator="greaterThan">
      <formula>0</formula>
    </cfRule>
    <cfRule type="cellIs" dxfId="427" priority="241" operator="lessThan">
      <formula>0</formula>
    </cfRule>
    <cfRule type="cellIs" dxfId="426" priority="240" operator="between">
      <formula>0.05</formula>
      <formula>1.5</formula>
    </cfRule>
    <cfRule type="cellIs" dxfId="425" priority="239" operator="between">
      <formula>-0.2</formula>
      <formula>-0.05</formula>
    </cfRule>
    <cfRule type="cellIs" dxfId="426" priority="238" operator="between">
      <formula>0.1</formula>
      <formula>5</formula>
    </cfRule>
    <cfRule type="cellIs" dxfId="425" priority="237" operator="between">
      <formula>-10</formula>
      <formula>-0.1</formula>
    </cfRule>
  </conditionalFormatting>
  <conditionalFormatting sqref="IN2">
    <cfRule type="cellIs" dxfId="428" priority="236" operator="greaterThan">
      <formula>0</formula>
    </cfRule>
    <cfRule type="cellIs" dxfId="427" priority="235" operator="lessThan">
      <formula>0</formula>
    </cfRule>
    <cfRule type="cellIs" dxfId="426" priority="234" operator="between">
      <formula>0.05</formula>
      <formula>1.5</formula>
    </cfRule>
    <cfRule type="cellIs" dxfId="425" priority="233" operator="between">
      <formula>-0.2</formula>
      <formula>-0.05</formula>
    </cfRule>
    <cfRule type="cellIs" dxfId="426" priority="232" operator="between">
      <formula>0.1</formula>
      <formula>5</formula>
    </cfRule>
    <cfRule type="cellIs" dxfId="425" priority="231" operator="between">
      <formula>-10</formula>
      <formula>-0.1</formula>
    </cfRule>
  </conditionalFormatting>
  <conditionalFormatting sqref="IV2">
    <cfRule type="cellIs" dxfId="428" priority="230" operator="greaterThan">
      <formula>0</formula>
    </cfRule>
    <cfRule type="cellIs" dxfId="427" priority="229" operator="lessThan">
      <formula>0</formula>
    </cfRule>
    <cfRule type="cellIs" dxfId="426" priority="228" operator="between">
      <formula>0.05</formula>
      <formula>1.5</formula>
    </cfRule>
    <cfRule type="cellIs" dxfId="425" priority="227" operator="between">
      <formula>-0.2</formula>
      <formula>-0.05</formula>
    </cfRule>
    <cfRule type="cellIs" dxfId="426" priority="226" operator="between">
      <formula>0.1</formula>
      <formula>5</formula>
    </cfRule>
    <cfRule type="cellIs" dxfId="425" priority="225" operator="between">
      <formula>-10</formula>
      <formula>-0.1</formula>
    </cfRule>
  </conditionalFormatting>
  <conditionalFormatting sqref="JD2">
    <cfRule type="cellIs" dxfId="428" priority="224" operator="greaterThan">
      <formula>0</formula>
    </cfRule>
    <cfRule type="cellIs" dxfId="427" priority="223" operator="lessThan">
      <formula>0</formula>
    </cfRule>
    <cfRule type="cellIs" dxfId="426" priority="222" operator="between">
      <formula>0.05</formula>
      <formula>1.5</formula>
    </cfRule>
    <cfRule type="cellIs" dxfId="425" priority="221" operator="between">
      <formula>-0.2</formula>
      <formula>-0.05</formula>
    </cfRule>
    <cfRule type="cellIs" dxfId="426" priority="220" operator="between">
      <formula>0.1</formula>
      <formula>5</formula>
    </cfRule>
    <cfRule type="cellIs" dxfId="425" priority="219" operator="between">
      <formula>-10</formula>
      <formula>-0.1</formula>
    </cfRule>
  </conditionalFormatting>
  <conditionalFormatting sqref="JL2">
    <cfRule type="cellIs" dxfId="428" priority="218" operator="greaterThan">
      <formula>0</formula>
    </cfRule>
    <cfRule type="cellIs" dxfId="427" priority="217" operator="lessThan">
      <formula>0</formula>
    </cfRule>
    <cfRule type="cellIs" dxfId="426" priority="216" operator="between">
      <formula>0.05</formula>
      <formula>1.5</formula>
    </cfRule>
    <cfRule type="cellIs" dxfId="425" priority="215" operator="between">
      <formula>-0.2</formula>
      <formula>-0.05</formula>
    </cfRule>
    <cfRule type="cellIs" dxfId="426" priority="214" operator="between">
      <formula>0.1</formula>
      <formula>5</formula>
    </cfRule>
    <cfRule type="cellIs" dxfId="425" priority="213" operator="between">
      <formula>-10</formula>
      <formula>-0.1</formula>
    </cfRule>
  </conditionalFormatting>
  <conditionalFormatting sqref="JT2">
    <cfRule type="cellIs" dxfId="428" priority="212" operator="greaterThan">
      <formula>0</formula>
    </cfRule>
    <cfRule type="cellIs" dxfId="427" priority="211" operator="lessThan">
      <formula>0</formula>
    </cfRule>
    <cfRule type="cellIs" dxfId="426" priority="210" operator="between">
      <formula>0.05</formula>
      <formula>1.5</formula>
    </cfRule>
    <cfRule type="cellIs" dxfId="425" priority="209" operator="between">
      <formula>-0.2</formula>
      <formula>-0.05</formula>
    </cfRule>
    <cfRule type="cellIs" dxfId="426" priority="208" operator="between">
      <formula>0.1</formula>
      <formula>5</formula>
    </cfRule>
    <cfRule type="cellIs" dxfId="425" priority="207" operator="between">
      <formula>-10</formula>
      <formula>-0.1</formula>
    </cfRule>
  </conditionalFormatting>
  <conditionalFormatting sqref="KB2">
    <cfRule type="cellIs" dxfId="428" priority="206" operator="greaterThan">
      <formula>0</formula>
    </cfRule>
    <cfRule type="cellIs" dxfId="427" priority="205" operator="lessThan">
      <formula>0</formula>
    </cfRule>
    <cfRule type="cellIs" dxfId="426" priority="204" operator="between">
      <formula>0.05</formula>
      <formula>1.5</formula>
    </cfRule>
    <cfRule type="cellIs" dxfId="425" priority="203" operator="between">
      <formula>-0.2</formula>
      <formula>-0.05</formula>
    </cfRule>
    <cfRule type="cellIs" dxfId="426" priority="202" operator="between">
      <formula>0.1</formula>
      <formula>5</formula>
    </cfRule>
    <cfRule type="cellIs" dxfId="425" priority="201" operator="between">
      <formula>-10</formula>
      <formula>-0.1</formula>
    </cfRule>
  </conditionalFormatting>
  <conditionalFormatting sqref="KJ2">
    <cfRule type="cellIs" dxfId="428" priority="200" operator="greaterThan">
      <formula>0</formula>
    </cfRule>
    <cfRule type="cellIs" dxfId="427" priority="199" operator="lessThan">
      <formula>0</formula>
    </cfRule>
    <cfRule type="cellIs" dxfId="426" priority="198" operator="between">
      <formula>0.05</formula>
      <formula>1.5</formula>
    </cfRule>
    <cfRule type="cellIs" dxfId="425" priority="197" operator="between">
      <formula>-0.2</formula>
      <formula>-0.05</formula>
    </cfRule>
    <cfRule type="cellIs" dxfId="426" priority="196" operator="between">
      <formula>0.1</formula>
      <formula>5</formula>
    </cfRule>
    <cfRule type="cellIs" dxfId="425" priority="195" operator="between">
      <formula>-10</formula>
      <formula>-0.1</formula>
    </cfRule>
  </conditionalFormatting>
  <conditionalFormatting sqref="KR2">
    <cfRule type="cellIs" dxfId="428" priority="194" operator="greaterThan">
      <formula>0</formula>
    </cfRule>
    <cfRule type="cellIs" dxfId="427" priority="193" operator="lessThan">
      <formula>0</formula>
    </cfRule>
    <cfRule type="cellIs" dxfId="426" priority="192" operator="between">
      <formula>0.05</formula>
      <formula>1.5</formula>
    </cfRule>
    <cfRule type="cellIs" dxfId="425" priority="191" operator="between">
      <formula>-0.2</formula>
      <formula>-0.05</formula>
    </cfRule>
    <cfRule type="cellIs" dxfId="426" priority="190" operator="between">
      <formula>0.1</formula>
      <formula>5</formula>
    </cfRule>
    <cfRule type="cellIs" dxfId="425" priority="189" operator="between">
      <formula>-10</formula>
      <formula>-0.1</formula>
    </cfRule>
  </conditionalFormatting>
  <conditionalFormatting sqref="KZ2">
    <cfRule type="cellIs" dxfId="428" priority="188" operator="greaterThan">
      <formula>0</formula>
    </cfRule>
    <cfRule type="cellIs" dxfId="427" priority="187" operator="lessThan">
      <formula>0</formula>
    </cfRule>
    <cfRule type="cellIs" dxfId="426" priority="186" operator="between">
      <formula>0.05</formula>
      <formula>1.5</formula>
    </cfRule>
    <cfRule type="cellIs" dxfId="425" priority="185" operator="between">
      <formula>-0.2</formula>
      <formula>-0.05</formula>
    </cfRule>
    <cfRule type="cellIs" dxfId="426" priority="184" operator="between">
      <formula>0.1</formula>
      <formula>5</formula>
    </cfRule>
    <cfRule type="cellIs" dxfId="425" priority="183" operator="between">
      <formula>-10</formula>
      <formula>-0.1</formula>
    </cfRule>
  </conditionalFormatting>
  <conditionalFormatting sqref="LH2">
    <cfRule type="cellIs" dxfId="428" priority="182" operator="greaterThan">
      <formula>0</formula>
    </cfRule>
    <cfRule type="cellIs" dxfId="427" priority="181" operator="lessThan">
      <formula>0</formula>
    </cfRule>
    <cfRule type="cellIs" dxfId="426" priority="180" operator="between">
      <formula>0.05</formula>
      <formula>1.5</formula>
    </cfRule>
    <cfRule type="cellIs" dxfId="425" priority="179" operator="between">
      <formula>-0.2</formula>
      <formula>-0.05</formula>
    </cfRule>
    <cfRule type="cellIs" dxfId="426" priority="178" operator="between">
      <formula>0.1</formula>
      <formula>5</formula>
    </cfRule>
    <cfRule type="cellIs" dxfId="425" priority="177" operator="between">
      <formula>-10</formula>
      <formula>-0.1</formula>
    </cfRule>
  </conditionalFormatting>
  <conditionalFormatting sqref="LP2">
    <cfRule type="cellIs" dxfId="428" priority="176" operator="greaterThan">
      <formula>0</formula>
    </cfRule>
    <cfRule type="cellIs" dxfId="427" priority="175" operator="lessThan">
      <formula>0</formula>
    </cfRule>
    <cfRule type="cellIs" dxfId="426" priority="174" operator="between">
      <formula>0.05</formula>
      <formula>1.5</formula>
    </cfRule>
    <cfRule type="cellIs" dxfId="425" priority="173" operator="between">
      <formula>-0.2</formula>
      <formula>-0.05</formula>
    </cfRule>
    <cfRule type="cellIs" dxfId="426" priority="172" operator="between">
      <formula>0.1</formula>
      <formula>5</formula>
    </cfRule>
    <cfRule type="cellIs" dxfId="425" priority="171" operator="between">
      <formula>-10</formula>
      <formula>-0.1</formula>
    </cfRule>
  </conditionalFormatting>
  <conditionalFormatting sqref="LX2">
    <cfRule type="cellIs" dxfId="428" priority="170" operator="greaterThan">
      <formula>0</formula>
    </cfRule>
    <cfRule type="cellIs" dxfId="427" priority="169" operator="lessThan">
      <formula>0</formula>
    </cfRule>
    <cfRule type="cellIs" dxfId="426" priority="168" operator="between">
      <formula>0.05</formula>
      <formula>1.5</formula>
    </cfRule>
    <cfRule type="cellIs" dxfId="425" priority="167" operator="between">
      <formula>-0.2</formula>
      <formula>-0.05</formula>
    </cfRule>
    <cfRule type="cellIs" dxfId="426" priority="166" operator="between">
      <formula>0.1</formula>
      <formula>5</formula>
    </cfRule>
    <cfRule type="cellIs" dxfId="425" priority="165" operator="between">
      <formula>-10</formula>
      <formula>-0.1</formula>
    </cfRule>
  </conditionalFormatting>
  <conditionalFormatting sqref="MF2">
    <cfRule type="cellIs" dxfId="428" priority="164" operator="greaterThan">
      <formula>0</formula>
    </cfRule>
    <cfRule type="cellIs" dxfId="427" priority="163" operator="lessThan">
      <formula>0</formula>
    </cfRule>
    <cfRule type="cellIs" dxfId="426" priority="162" operator="between">
      <formula>0.05</formula>
      <formula>1.5</formula>
    </cfRule>
    <cfRule type="cellIs" dxfId="425" priority="161" operator="between">
      <formula>-0.2</formula>
      <formula>-0.05</formula>
    </cfRule>
    <cfRule type="cellIs" dxfId="426" priority="160" operator="between">
      <formula>0.1</formula>
      <formula>5</formula>
    </cfRule>
    <cfRule type="cellIs" dxfId="425" priority="159" operator="between">
      <formula>-10</formula>
      <formula>-0.1</formula>
    </cfRule>
  </conditionalFormatting>
  <conditionalFormatting sqref="MO2">
    <cfRule type="cellIs" dxfId="428" priority="158" operator="greaterThan">
      <formula>0</formula>
    </cfRule>
    <cfRule type="cellIs" dxfId="427" priority="157" operator="lessThan">
      <formula>0</formula>
    </cfRule>
    <cfRule type="cellIs" dxfId="426" priority="156" operator="between">
      <formula>0.05</formula>
      <formula>1.5</formula>
    </cfRule>
    <cfRule type="cellIs" dxfId="425" priority="155" operator="between">
      <formula>-0.2</formula>
      <formula>-0.05</formula>
    </cfRule>
    <cfRule type="cellIs" dxfId="426" priority="154" operator="between">
      <formula>0.1</formula>
      <formula>5</formula>
    </cfRule>
    <cfRule type="cellIs" dxfId="425" priority="153" operator="between">
      <formula>-10</formula>
      <formula>-0.1</formula>
    </cfRule>
  </conditionalFormatting>
  <conditionalFormatting sqref="MX2">
    <cfRule type="cellIs" dxfId="428" priority="152" operator="greaterThan">
      <formula>0</formula>
    </cfRule>
    <cfRule type="cellIs" dxfId="427" priority="151" operator="lessThan">
      <formula>0</formula>
    </cfRule>
    <cfRule type="cellIs" dxfId="426" priority="150" operator="between">
      <formula>0.05</formula>
      <formula>1.5</formula>
    </cfRule>
    <cfRule type="cellIs" dxfId="425" priority="149" operator="between">
      <formula>-0.2</formula>
      <formula>-0.05</formula>
    </cfRule>
    <cfRule type="cellIs" dxfId="426" priority="148" operator="between">
      <formula>0.1</formula>
      <formula>5</formula>
    </cfRule>
    <cfRule type="cellIs" dxfId="425" priority="147" operator="between">
      <formula>-10</formula>
      <formula>-0.1</formula>
    </cfRule>
  </conditionalFormatting>
  <conditionalFormatting sqref="NG2">
    <cfRule type="cellIs" dxfId="428" priority="146" operator="greaterThan">
      <formula>0</formula>
    </cfRule>
    <cfRule type="cellIs" dxfId="427" priority="145" operator="lessThan">
      <formula>0</formula>
    </cfRule>
    <cfRule type="cellIs" dxfId="426" priority="144" operator="between">
      <formula>0.05</formula>
      <formula>1.5</formula>
    </cfRule>
    <cfRule type="cellIs" dxfId="425" priority="143" operator="between">
      <formula>-0.2</formula>
      <formula>-0.05</formula>
    </cfRule>
    <cfRule type="cellIs" dxfId="426" priority="142" operator="between">
      <formula>0.1</formula>
      <formula>5</formula>
    </cfRule>
    <cfRule type="cellIs" dxfId="425" priority="141" operator="between">
      <formula>-10</formula>
      <formula>-0.1</formula>
    </cfRule>
  </conditionalFormatting>
  <conditionalFormatting sqref="NQ2">
    <cfRule type="cellIs" dxfId="428" priority="140" operator="greaterThan">
      <formula>0</formula>
    </cfRule>
    <cfRule type="cellIs" dxfId="427" priority="139" operator="lessThan">
      <formula>0</formula>
    </cfRule>
    <cfRule type="cellIs" dxfId="426" priority="138" operator="between">
      <formula>0.05</formula>
      <formula>1.5</formula>
    </cfRule>
    <cfRule type="cellIs" dxfId="425" priority="137" operator="between">
      <formula>-0.2</formula>
      <formula>-0.05</formula>
    </cfRule>
    <cfRule type="cellIs" dxfId="426" priority="136" operator="between">
      <formula>0.1</formula>
      <formula>5</formula>
    </cfRule>
    <cfRule type="cellIs" dxfId="425" priority="135" operator="between">
      <formula>-10</formula>
      <formula>-0.1</formula>
    </cfRule>
  </conditionalFormatting>
  <conditionalFormatting sqref="NY2">
    <cfRule type="cellIs" dxfId="428" priority="134" operator="greaterThan">
      <formula>0</formula>
    </cfRule>
    <cfRule type="cellIs" dxfId="427" priority="133" operator="lessThan">
      <formula>0</formula>
    </cfRule>
    <cfRule type="cellIs" dxfId="426" priority="132" operator="between">
      <formula>0.05</formula>
      <formula>1.5</formula>
    </cfRule>
    <cfRule type="cellIs" dxfId="425" priority="131" operator="between">
      <formula>-0.2</formula>
      <formula>-0.05</formula>
    </cfRule>
    <cfRule type="cellIs" dxfId="426" priority="130" operator="between">
      <formula>0.1</formula>
      <formula>5</formula>
    </cfRule>
    <cfRule type="cellIs" dxfId="425" priority="129" operator="between">
      <formula>-10</formula>
      <formula>-0.1</formula>
    </cfRule>
  </conditionalFormatting>
  <conditionalFormatting sqref="OG2">
    <cfRule type="cellIs" dxfId="428" priority="128" operator="greaterThan">
      <formula>0</formula>
    </cfRule>
    <cfRule type="cellIs" dxfId="427" priority="127" operator="lessThan">
      <formula>0</formula>
    </cfRule>
    <cfRule type="cellIs" dxfId="426" priority="126" operator="between">
      <formula>0.05</formula>
      <formula>1.5</formula>
    </cfRule>
    <cfRule type="cellIs" dxfId="425" priority="125" operator="between">
      <formula>-0.2</formula>
      <formula>-0.05</formula>
    </cfRule>
    <cfRule type="cellIs" dxfId="426" priority="124" operator="between">
      <formula>0.1</formula>
      <formula>5</formula>
    </cfRule>
    <cfRule type="cellIs" dxfId="425" priority="123" operator="between">
      <formula>-10</formula>
      <formula>-0.1</formula>
    </cfRule>
  </conditionalFormatting>
  <conditionalFormatting sqref="OO2">
    <cfRule type="cellIs" dxfId="428" priority="122" operator="greaterThan">
      <formula>0</formula>
    </cfRule>
    <cfRule type="cellIs" dxfId="427" priority="121" operator="lessThan">
      <formula>0</formula>
    </cfRule>
    <cfRule type="cellIs" dxfId="426" priority="120" operator="between">
      <formula>0.05</formula>
      <formula>1.5</formula>
    </cfRule>
    <cfRule type="cellIs" dxfId="425" priority="119" operator="between">
      <formula>-0.2</formula>
      <formula>-0.05</formula>
    </cfRule>
    <cfRule type="cellIs" dxfId="426" priority="118" operator="between">
      <formula>0.1</formula>
      <formula>5</formula>
    </cfRule>
    <cfRule type="cellIs" dxfId="425" priority="117" operator="between">
      <formula>-10</formula>
      <formula>-0.1</formula>
    </cfRule>
  </conditionalFormatting>
  <conditionalFormatting sqref="DG5">
    <cfRule type="cellIs" dxfId="427" priority="561" operator="lessThan">
      <formula>0</formula>
    </cfRule>
    <cfRule type="cellIs" dxfId="428" priority="562" operator="greaterThan">
      <formula>0</formula>
    </cfRule>
  </conditionalFormatting>
  <conditionalFormatting sqref="OX10">
    <cfRule type="cellIs" dxfId="428" priority="116" operator="greaterThan">
      <formula>0</formula>
    </cfRule>
    <cfRule type="cellIs" dxfId="427" priority="115" operator="lessThan">
      <formula>0</formula>
    </cfRule>
    <cfRule type="cellIs" dxfId="426" priority="114" operator="between">
      <formula>0.1</formula>
      <formula>3</formula>
    </cfRule>
    <cfRule type="cellIs" dxfId="425" priority="113" operator="between">
      <formula>-3</formula>
      <formula>-0.1</formula>
    </cfRule>
  </conditionalFormatting>
  <conditionalFormatting sqref="NB11">
    <cfRule type="cellIs" dxfId="427" priority="628" operator="lessThan">
      <formula>0</formula>
    </cfRule>
  </conditionalFormatting>
  <conditionalFormatting sqref="H18">
    <cfRule type="cellIs" dxfId="425" priority="34" operator="between">
      <formula>-1</formula>
      <formula>-0.2</formula>
    </cfRule>
    <cfRule type="cellIs" dxfId="427" priority="35" operator="lessThan">
      <formula>0</formula>
    </cfRule>
    <cfRule type="cellIs" dxfId="428" priority="36" operator="greaterThan">
      <formula>0</formula>
    </cfRule>
  </conditionalFormatting>
  <conditionalFormatting sqref="P18">
    <cfRule type="cellIs" dxfId="425" priority="31" operator="between">
      <formula>-1</formula>
      <formula>-0.2</formula>
    </cfRule>
    <cfRule type="cellIs" dxfId="427" priority="32" operator="lessThan">
      <formula>0</formula>
    </cfRule>
    <cfRule type="cellIs" dxfId="428" priority="33" operator="greaterThan">
      <formula>0</formula>
    </cfRule>
  </conditionalFormatting>
  <conditionalFormatting sqref="BC18:BD18">
    <cfRule type="cellIs" dxfId="425" priority="15" operator="between">
      <formula>-0.05</formula>
      <formula>-3</formula>
    </cfRule>
    <cfRule type="cellIs" dxfId="426" priority="16" operator="between">
      <formula>0.05</formula>
      <formula>2</formula>
    </cfRule>
    <cfRule type="cellIs" dxfId="427" priority="17" operator="lessThan">
      <formula>0</formula>
    </cfRule>
    <cfRule type="cellIs" dxfId="428" priority="18" operator="greaterThan">
      <formula>0</formula>
    </cfRule>
    <cfRule type="cellIs" dxfId="427" priority="23" operator="lessThan">
      <formula>0</formula>
    </cfRule>
    <cfRule type="cellIs" dxfId="428" priority="24" operator="greaterThan">
      <formula>0</formula>
    </cfRule>
  </conditionalFormatting>
  <conditionalFormatting sqref="BD18">
    <cfRule type="cellIs" dxfId="425" priority="19" operator="between">
      <formula>-10</formula>
      <formula>-0.1</formula>
    </cfRule>
    <cfRule type="cellIs" dxfId="426" priority="20" operator="between">
      <formula>0.1</formula>
      <formula>5</formula>
    </cfRule>
    <cfRule type="cellIs" dxfId="425" priority="21" operator="between">
      <formula>-0.2</formula>
      <formula>-0.05</formula>
    </cfRule>
    <cfRule type="cellIs" dxfId="426" priority="22" operator="between">
      <formula>0.05</formula>
      <formula>1.5</formula>
    </cfRule>
  </conditionalFormatting>
  <conditionalFormatting sqref="BF18">
    <cfRule type="cellIs" dxfId="427" priority="13" operator="lessThan">
      <formula>0</formula>
    </cfRule>
    <cfRule type="cellIs" dxfId="428" priority="14" operator="greaterThan">
      <formula>0</formula>
    </cfRule>
  </conditionalFormatting>
  <conditionalFormatting sqref="BM18">
    <cfRule type="cellIs" dxfId="429" priority="94" operator="between">
      <formula>1</formula>
      <formula>30</formula>
    </cfRule>
    <cfRule type="cellIs" dxfId="430" priority="95" operator="between">
      <formula>1</formula>
      <formula>50</formula>
    </cfRule>
    <cfRule type="cellIs" dxfId="428" priority="96" operator="between">
      <formula>1</formula>
      <formula>50</formula>
    </cfRule>
    <cfRule type="cellIs" dxfId="429" priority="97" operator="between">
      <formula>1</formula>
      <formula>50</formula>
    </cfRule>
  </conditionalFormatting>
  <conditionalFormatting sqref="CI18">
    <cfRule type="cellIs" dxfId="425" priority="110" operator="lessThan">
      <formula>0</formula>
    </cfRule>
  </conditionalFormatting>
  <conditionalFormatting sqref="CQ18">
    <cfRule type="cellIs" dxfId="427" priority="104" operator="lessThan">
      <formula>0</formula>
    </cfRule>
    <cfRule type="cellIs" dxfId="428" priority="105" operator="greaterThan">
      <formula>0</formula>
    </cfRule>
  </conditionalFormatting>
  <conditionalFormatting sqref="CR18">
    <cfRule type="cellIs" dxfId="425" priority="102" operator="between">
      <formula>-3</formula>
      <formula>-0.1</formula>
    </cfRule>
    <cfRule type="cellIs" dxfId="426" priority="103" operator="between">
      <formula>0.1</formula>
      <formula>3</formula>
    </cfRule>
    <cfRule type="cellIs" dxfId="427" priority="106" operator="lessThan">
      <formula>0</formula>
    </cfRule>
    <cfRule type="cellIs" dxfId="428" priority="107" operator="greaterThan">
      <formula>0</formula>
    </cfRule>
    <cfRule type="cellIs" dxfId="426" priority="108" operator="greaterThan">
      <formula>0.2</formula>
    </cfRule>
    <cfRule type="cellIs" dxfId="431" priority="109" operator="greaterThan">
      <formula>0.1</formula>
    </cfRule>
  </conditionalFormatting>
  <conditionalFormatting sqref="EU18">
    <cfRule type="cellIs" dxfId="427" priority="87" operator="lessThan">
      <formula>0</formula>
    </cfRule>
    <cfRule type="cellIs" dxfId="428" priority="88" operator="greaterThan">
      <formula>0</formula>
    </cfRule>
  </conditionalFormatting>
  <conditionalFormatting sqref="EV18">
    <cfRule type="cellIs" dxfId="426" priority="77" operator="between">
      <formula>0.1</formula>
      <formula>3</formula>
    </cfRule>
    <cfRule type="cellIs" dxfId="425" priority="78" operator="between">
      <formula>-0.05</formula>
      <formula>-3</formula>
    </cfRule>
    <cfRule type="cellIs" dxfId="427" priority="79" operator="lessThan">
      <formula>0</formula>
    </cfRule>
    <cfRule type="cellIs" dxfId="428" priority="84" operator="greaterThan">
      <formula>0</formula>
    </cfRule>
    <cfRule type="cellIs" dxfId="425" priority="85" operator="between">
      <formula>-3</formula>
      <formula>-0.5</formula>
    </cfRule>
    <cfRule type="cellIs" dxfId="426" priority="86" operator="between">
      <formula>0.5</formula>
      <formula>30</formula>
    </cfRule>
  </conditionalFormatting>
  <conditionalFormatting sqref="MN18:MO18">
    <cfRule type="cellIs" dxfId="427" priority="82" operator="lessThan">
      <formula>0</formula>
    </cfRule>
    <cfRule type="cellIs" dxfId="428" priority="83" operator="greaterThan">
      <formula>0</formula>
    </cfRule>
  </conditionalFormatting>
  <conditionalFormatting sqref="MO18">
    <cfRule type="cellIs" dxfId="425" priority="80" operator="between">
      <formula>-5</formula>
      <formula>-0.5</formula>
    </cfRule>
    <cfRule type="cellIs" dxfId="426" priority="81" operator="between">
      <formula>0.5</formula>
      <formula>5</formula>
    </cfRule>
  </conditionalFormatting>
  <conditionalFormatting sqref="MP18">
    <cfRule type="cellIs" dxfId="425" priority="45" operator="between">
      <formula>-0.08</formula>
      <formula>-5</formula>
    </cfRule>
    <cfRule type="cellIs" dxfId="426" priority="46" operator="between">
      <formula>0.08</formula>
      <formula>20</formula>
    </cfRule>
    <cfRule type="cellIs" dxfId="427" priority="47" operator="lessThan">
      <formula>0</formula>
    </cfRule>
    <cfRule type="cellIs" dxfId="428" priority="48" operator="greaterThan">
      <formula>0</formula>
    </cfRule>
  </conditionalFormatting>
  <conditionalFormatting sqref="MV18">
    <cfRule type="cellIs" dxfId="427" priority="89" operator="lessThan">
      <formula>0</formula>
    </cfRule>
  </conditionalFormatting>
  <conditionalFormatting sqref="MW18:MX18">
    <cfRule type="cellIs" dxfId="426" priority="73" operator="between">
      <formula>0.1</formula>
      <formula>5</formula>
    </cfRule>
    <cfRule type="cellIs" dxfId="425" priority="74" operator="between">
      <formula>-0.1</formula>
      <formula>-5</formula>
    </cfRule>
    <cfRule type="cellIs" dxfId="427" priority="75" operator="lessThan">
      <formula>0</formula>
    </cfRule>
    <cfRule type="cellIs" dxfId="428" priority="76" operator="greaterThan">
      <formula>0</formula>
    </cfRule>
  </conditionalFormatting>
  <conditionalFormatting sqref="MX18">
    <cfRule type="cellIs" dxfId="426" priority="72" operator="between">
      <formula>0.1</formula>
      <formula>20</formula>
    </cfRule>
  </conditionalFormatting>
  <conditionalFormatting sqref="NF18:NG18">
    <cfRule type="cellIs" dxfId="427" priority="70" operator="lessThan">
      <formula>0</formula>
    </cfRule>
    <cfRule type="cellIs" dxfId="428" priority="71" operator="greaterThan">
      <formula>0</formula>
    </cfRule>
  </conditionalFormatting>
  <conditionalFormatting sqref="NG18">
    <cfRule type="cellIs" dxfId="425" priority="67" operator="between">
      <formula>-0.1</formula>
      <formula>-5</formula>
    </cfRule>
    <cfRule type="cellIs" dxfId="425" priority="68" operator="between">
      <formula>-10</formula>
      <formula>-5</formula>
    </cfRule>
    <cfRule type="cellIs" dxfId="426" priority="69" operator="between">
      <formula>0.1</formula>
      <formula>20</formula>
    </cfRule>
  </conditionalFormatting>
  <conditionalFormatting sqref="NH18">
    <cfRule type="cellIs" dxfId="425" priority="49" operator="between">
      <formula>-0.08</formula>
      <formula>-5</formula>
    </cfRule>
    <cfRule type="cellIs" dxfId="426" priority="50" operator="between">
      <formula>0.08</formula>
      <formula>20</formula>
    </cfRule>
    <cfRule type="cellIs" dxfId="427" priority="51" operator="lessThan">
      <formula>0</formula>
    </cfRule>
    <cfRule type="cellIs" dxfId="428" priority="52" operator="greaterThan">
      <formula>0</formula>
    </cfRule>
  </conditionalFormatting>
  <conditionalFormatting sqref="NP18:NQ18">
    <cfRule type="cellIs" dxfId="427" priority="55" operator="lessThan">
      <formula>0</formula>
    </cfRule>
    <cfRule type="cellIs" dxfId="428" priority="56" operator="greaterThan">
      <formula>0</formula>
    </cfRule>
  </conditionalFormatting>
  <conditionalFormatting sqref="NQ18">
    <cfRule type="cellIs" dxfId="425" priority="53" operator="between">
      <formula>-0.05</formula>
      <formula>-5</formula>
    </cfRule>
    <cfRule type="cellIs" dxfId="426" priority="54" operator="between">
      <formula>0.05</formula>
      <formula>20</formula>
    </cfRule>
  </conditionalFormatting>
  <conditionalFormatting sqref="NS18">
    <cfRule type="cellIs" dxfId="427" priority="5" operator="lessThan">
      <formula>0</formula>
    </cfRule>
    <cfRule type="cellIs" dxfId="428" priority="6" operator="greaterThan">
      <formula>0</formula>
    </cfRule>
  </conditionalFormatting>
  <conditionalFormatting sqref="NX18:NY18">
    <cfRule type="cellIs" dxfId="427" priority="59" operator="lessThan">
      <formula>0</formula>
    </cfRule>
    <cfRule type="cellIs" dxfId="428" priority="60" operator="greaterThan">
      <formula>0</formula>
    </cfRule>
  </conditionalFormatting>
  <conditionalFormatting sqref="NY18">
    <cfRule type="cellIs" dxfId="425" priority="57" operator="between">
      <formula>-0.05</formula>
      <formula>-5</formula>
    </cfRule>
    <cfRule type="cellIs" dxfId="426" priority="58" operator="between">
      <formula>0.05</formula>
      <formula>20</formula>
    </cfRule>
  </conditionalFormatting>
  <conditionalFormatting sqref="NZ18">
    <cfRule type="cellIs" dxfId="427" priority="43" operator="lessThan">
      <formula>0</formula>
    </cfRule>
    <cfRule type="cellIs" dxfId="428" priority="44" operator="greaterThan">
      <formula>0</formula>
    </cfRule>
  </conditionalFormatting>
  <conditionalFormatting sqref="OA18">
    <cfRule type="cellIs" dxfId="427" priority="3" operator="lessThan">
      <formula>0</formula>
    </cfRule>
    <cfRule type="cellIs" dxfId="428" priority="4" operator="greaterThan">
      <formula>0</formula>
    </cfRule>
  </conditionalFormatting>
  <conditionalFormatting sqref="OW18:OX18">
    <cfRule type="cellIs" dxfId="427" priority="1" operator="lessThan">
      <formula>0</formula>
    </cfRule>
    <cfRule type="cellIs" dxfId="428" priority="2" operator="greaterThan">
      <formula>0</formula>
    </cfRule>
  </conditionalFormatting>
  <conditionalFormatting sqref="A3:A4">
    <cfRule type="cellIs" dxfId="427" priority="459" operator="lessThan">
      <formula>0</formula>
    </cfRule>
  </conditionalFormatting>
  <conditionalFormatting sqref="M5:M9">
    <cfRule type="cellIs" dxfId="427" priority="385" operator="lessThan">
      <formula>0</formula>
    </cfRule>
    <cfRule type="cellIs" dxfId="428" priority="386" operator="greaterThan">
      <formula>0</formula>
    </cfRule>
  </conditionalFormatting>
  <conditionalFormatting sqref="CI94:CI163">
    <cfRule type="cellIs" dxfId="427" priority="925" operator="lessThan">
      <formula>0</formula>
    </cfRule>
    <cfRule type="cellIs" dxfId="426" priority="926" operator="greaterThan">
      <formula>0</formula>
    </cfRule>
    <cfRule type="cellIs" dxfId="428" priority="930" operator="greaterThan">
      <formula>0</formula>
    </cfRule>
  </conditionalFormatting>
  <conditionalFormatting sqref="CJ94:CJ163">
    <cfRule type="cellIs" dxfId="426" priority="919" operator="greaterThan">
      <formula>0.2</formula>
    </cfRule>
    <cfRule type="cellIs" dxfId="425" priority="927" operator="lessThan">
      <formula>0</formula>
    </cfRule>
    <cfRule type="cellIs" dxfId="426" priority="928" operator="greaterThan">
      <formula>0</formula>
    </cfRule>
    <cfRule type="cellIs" dxfId="428" priority="931" operator="greaterThan">
      <formula>0</formula>
    </cfRule>
    <cfRule type="cellIs" dxfId="429" priority="932" operator="greaterThan">
      <formula>0</formula>
    </cfRule>
  </conditionalFormatting>
  <conditionalFormatting sqref="DH3:DH9">
    <cfRule type="cellIs" dxfId="426" priority="578" operator="between">
      <formula>0.1</formula>
      <formula>10</formula>
    </cfRule>
  </conditionalFormatting>
  <conditionalFormatting sqref="DO4:DO9">
    <cfRule type="cellIs" dxfId="425" priority="579" operator="between">
      <formula>-0.05</formula>
      <formula>-5</formula>
    </cfRule>
    <cfRule type="cellIs" dxfId="426" priority="580" operator="between">
      <formula>0.05</formula>
      <formula>5</formula>
    </cfRule>
  </conditionalFormatting>
  <conditionalFormatting sqref="DO6:DO7">
    <cfRule type="cellIs" dxfId="427" priority="559" operator="lessThan">
      <formula>0</formula>
    </cfRule>
    <cfRule type="cellIs" dxfId="428" priority="560" operator="greaterThan">
      <formula>0</formula>
    </cfRule>
  </conditionalFormatting>
  <conditionalFormatting sqref="DP3:DP9">
    <cfRule type="cellIs" dxfId="425" priority="576" operator="between">
      <formula>-0.1</formula>
      <formula>-5</formula>
    </cfRule>
    <cfRule type="cellIs" dxfId="426" priority="577" operator="between">
      <formula>0.1</formula>
      <formula>10</formula>
    </cfRule>
  </conditionalFormatting>
  <conditionalFormatting sqref="DW3:DW9">
    <cfRule type="cellIs" dxfId="425" priority="574" operator="between">
      <formula>-0.05</formula>
      <formula>-5</formula>
    </cfRule>
    <cfRule type="cellIs" dxfId="426" priority="575" operator="between">
      <formula>0.05</formula>
      <formula>5</formula>
    </cfRule>
  </conditionalFormatting>
  <conditionalFormatting sqref="EE4:EE9">
    <cfRule type="cellIs" dxfId="425" priority="572" operator="between">
      <formula>-0.05</formula>
      <formula>-5</formula>
    </cfRule>
    <cfRule type="cellIs" dxfId="426" priority="573" operator="between">
      <formula>0.05</formula>
      <formula>5</formula>
    </cfRule>
  </conditionalFormatting>
  <conditionalFormatting sqref="EK3:EK9">
    <cfRule type="cellIs" dxfId="427" priority="872" operator="lessThan">
      <formula>0</formula>
    </cfRule>
    <cfRule type="cellIs" dxfId="428" priority="873" operator="greaterThan">
      <formula>0</formula>
    </cfRule>
  </conditionalFormatting>
  <conditionalFormatting sqref="EM3:EM9">
    <cfRule type="cellIs" dxfId="425" priority="570" operator="between">
      <formula>-0.05</formula>
      <formula>-5</formula>
    </cfRule>
    <cfRule type="cellIs" dxfId="426" priority="571" operator="between">
      <formula>0.05</formula>
      <formula>5</formula>
    </cfRule>
  </conditionalFormatting>
  <conditionalFormatting sqref="EN3:EN9">
    <cfRule type="cellIs" dxfId="425" priority="568" operator="between">
      <formula>-0.1</formula>
      <formula>-5</formula>
    </cfRule>
    <cfRule type="cellIs" dxfId="426" priority="569" operator="between">
      <formula>0.1</formula>
      <formula>8</formula>
    </cfRule>
  </conditionalFormatting>
  <conditionalFormatting sqref="EV10:EV11">
    <cfRule type="cellIs" dxfId="425" priority="891" operator="between">
      <formula>-3</formula>
      <formula>-0.1</formula>
    </cfRule>
    <cfRule type="cellIs" dxfId="426" priority="892" operator="between">
      <formula>0.1</formula>
      <formula>3</formula>
    </cfRule>
  </conditionalFormatting>
  <conditionalFormatting sqref="FB3:FB9">
    <cfRule type="cellIs" dxfId="427" priority="541" operator="lessThan">
      <formula>0</formula>
    </cfRule>
    <cfRule type="cellIs" dxfId="428" priority="542" operator="greaterThan">
      <formula>0</formula>
    </cfRule>
  </conditionalFormatting>
  <conditionalFormatting sqref="FC4:FC9">
    <cfRule type="cellIs" dxfId="425" priority="566" operator="between">
      <formula>-0.05</formula>
      <formula>-5</formula>
    </cfRule>
    <cfRule type="cellIs" dxfId="426" priority="567" operator="between">
      <formula>0.05</formula>
      <formula>5</formula>
    </cfRule>
  </conditionalFormatting>
  <conditionalFormatting sqref="GO3:GO9">
    <cfRule type="cellIs" dxfId="427" priority="870" operator="lessThan">
      <formula>0</formula>
    </cfRule>
    <cfRule type="cellIs" dxfId="428" priority="871" operator="greaterThan">
      <formula>0</formula>
    </cfRule>
  </conditionalFormatting>
  <conditionalFormatting sqref="GX3:GX9">
    <cfRule type="cellIs" dxfId="427" priority="479" operator="lessThan">
      <formula>0</formula>
    </cfRule>
    <cfRule type="cellIs" dxfId="428" priority="480" operator="greaterThan">
      <formula>0</formula>
    </cfRule>
  </conditionalFormatting>
  <conditionalFormatting sqref="HF3:HF9">
    <cfRule type="cellIs" dxfId="427" priority="477" operator="lessThan">
      <formula>0</formula>
    </cfRule>
    <cfRule type="cellIs" dxfId="428" priority="478" operator="greaterThan">
      <formula>0</formula>
    </cfRule>
  </conditionalFormatting>
  <conditionalFormatting sqref="JI3:JI9">
    <cfRule type="cellIs" dxfId="427" priority="676" operator="lessThan">
      <formula>0</formula>
    </cfRule>
  </conditionalFormatting>
  <conditionalFormatting sqref="JJ3:JJ9">
    <cfRule type="cellIs" dxfId="427" priority="539" operator="lessThan">
      <formula>0</formula>
    </cfRule>
    <cfRule type="cellIs" dxfId="428" priority="540" operator="greaterThan">
      <formula>0</formula>
    </cfRule>
  </conditionalFormatting>
  <conditionalFormatting sqref="JS3:JS9">
    <cfRule type="cellIs" dxfId="426" priority="597" operator="between">
      <formula>0.1</formula>
      <formula>10</formula>
    </cfRule>
    <cfRule type="cellIs" dxfId="425" priority="598" operator="between">
      <formula>-0.1</formula>
      <formula>-2</formula>
    </cfRule>
  </conditionalFormatting>
  <conditionalFormatting sqref="JY3:JY9">
    <cfRule type="cellIs" dxfId="427" priority="675" operator="lessThan">
      <formula>0</formula>
    </cfRule>
  </conditionalFormatting>
  <conditionalFormatting sqref="KG3:KG9">
    <cfRule type="cellIs" dxfId="427" priority="674" operator="lessThan">
      <formula>0</formula>
    </cfRule>
  </conditionalFormatting>
  <conditionalFormatting sqref="LG3:LG9">
    <cfRule type="cellIs" dxfId="425" priority="543" operator="between">
      <formula>-0.08</formula>
      <formula>-5</formula>
    </cfRule>
    <cfRule type="cellIs" dxfId="426" priority="544" operator="between">
      <formula>0.08</formula>
      <formula>20</formula>
    </cfRule>
    <cfRule type="cellIs" dxfId="427" priority="545" operator="lessThan">
      <formula>0</formula>
    </cfRule>
    <cfRule type="cellIs" dxfId="428" priority="546" operator="greaterThan">
      <formula>0</formula>
    </cfRule>
    <cfRule type="cellIs" dxfId="425" priority="595" operator="between">
      <formula>-0.06</formula>
      <formula>-5</formula>
    </cfRule>
    <cfRule type="cellIs" dxfId="426" priority="596" operator="between">
      <formula>0.06</formula>
      <formula>5</formula>
    </cfRule>
  </conditionalFormatting>
  <conditionalFormatting sqref="LH3:LH9">
    <cfRule type="cellIs" dxfId="425" priority="593" operator="between">
      <formula>-0.1</formula>
      <formula>-5</formula>
    </cfRule>
    <cfRule type="cellIs" dxfId="426" priority="594" operator="between">
      <formula>0.1</formula>
      <formula>10</formula>
    </cfRule>
  </conditionalFormatting>
  <conditionalFormatting sqref="MO10:MO11">
    <cfRule type="cellIs" dxfId="425" priority="880" operator="between">
      <formula>-3</formula>
      <formula>-0.1</formula>
    </cfRule>
    <cfRule type="cellIs" dxfId="426" priority="881" operator="between">
      <formula>0.1</formula>
      <formula>3</formula>
    </cfRule>
  </conditionalFormatting>
  <conditionalFormatting sqref="MW3:MW9">
    <cfRule type="cellIs" dxfId="425" priority="591" operator="between">
      <formula>-0.1</formula>
      <formula>-5</formula>
    </cfRule>
    <cfRule type="cellIs" dxfId="426" priority="592" operator="between">
      <formula>0.1</formula>
      <formula>20</formula>
    </cfRule>
  </conditionalFormatting>
  <conditionalFormatting sqref="MW10:MW11">
    <cfRule type="cellIs" dxfId="427" priority="666" operator="lessThan">
      <formula>0</formula>
    </cfRule>
    <cfRule type="cellIs" dxfId="428" priority="667" operator="greaterThan">
      <formula>0</formula>
    </cfRule>
  </conditionalFormatting>
  <conditionalFormatting sqref="MX10:MX11">
    <cfRule type="cellIs" dxfId="425" priority="662" operator="between">
      <formula>-3</formula>
      <formula>-0.1</formula>
    </cfRule>
    <cfRule type="cellIs" dxfId="426" priority="663" operator="between">
      <formula>0.1</formula>
      <formula>3</formula>
    </cfRule>
    <cfRule type="cellIs" dxfId="427" priority="664" operator="lessThan">
      <formula>0</formula>
    </cfRule>
    <cfRule type="cellIs" dxfId="428" priority="665" operator="greaterThan">
      <formula>0</formula>
    </cfRule>
  </conditionalFormatting>
  <conditionalFormatting sqref="NF3:NF9">
    <cfRule type="cellIs" dxfId="425" priority="589" operator="between">
      <formula>-0.1</formula>
      <formula>-5</formula>
    </cfRule>
    <cfRule type="cellIs" dxfId="426" priority="590" operator="between">
      <formula>0.1</formula>
      <formula>20</formula>
    </cfRule>
  </conditionalFormatting>
  <conditionalFormatting sqref="NF10:NF11">
    <cfRule type="cellIs" dxfId="427" priority="626" operator="lessThan">
      <formula>0</formula>
    </cfRule>
    <cfRule type="cellIs" dxfId="428" priority="627" operator="greaterThan">
      <formula>0</formula>
    </cfRule>
  </conditionalFormatting>
  <conditionalFormatting sqref="NG10:NG11">
    <cfRule type="cellIs" dxfId="426" priority="617" operator="between">
      <formula>0.1</formula>
      <formula>20</formula>
    </cfRule>
    <cfRule type="cellIs" dxfId="425" priority="622" operator="between">
      <formula>-3</formula>
      <formula>-0.1</formula>
    </cfRule>
    <cfRule type="cellIs" dxfId="426" priority="623" operator="between">
      <formula>0.1</formula>
      <formula>3</formula>
    </cfRule>
    <cfRule type="cellIs" dxfId="427" priority="624" operator="lessThan">
      <formula>0</formula>
    </cfRule>
    <cfRule type="cellIs" dxfId="428" priority="625" operator="greaterThan">
      <formula>0</formula>
    </cfRule>
  </conditionalFormatting>
  <conditionalFormatting sqref="NP3:NP9">
    <cfRule type="cellIs" dxfId="425" priority="481" operator="between">
      <formula>-0.08</formula>
      <formula>-5</formula>
    </cfRule>
    <cfRule type="cellIs" dxfId="426" priority="482" operator="between">
      <formula>0.08</formula>
      <formula>20</formula>
    </cfRule>
  </conditionalFormatting>
  <conditionalFormatting sqref="NP10:NP11">
    <cfRule type="cellIs" dxfId="427" priority="511" operator="lessThan">
      <formula>0</formula>
    </cfRule>
    <cfRule type="cellIs" dxfId="428" priority="512" operator="greaterThan">
      <formula>0</formula>
    </cfRule>
  </conditionalFormatting>
  <conditionalFormatting sqref="NQ3:NQ9">
    <cfRule type="cellIs" dxfId="425" priority="483" operator="between">
      <formula>-0.16</formula>
      <formula>-5</formula>
    </cfRule>
    <cfRule type="cellIs" dxfId="426" priority="484" operator="between">
      <formula>0.16</formula>
      <formula>20</formula>
    </cfRule>
    <cfRule type="cellIs" dxfId="427" priority="485" operator="lessThan">
      <formula>0</formula>
    </cfRule>
    <cfRule type="cellIs" dxfId="428" priority="486" operator="greaterThan">
      <formula>0</formula>
    </cfRule>
  </conditionalFormatting>
  <conditionalFormatting sqref="NQ10:NQ11">
    <cfRule type="cellIs" dxfId="425" priority="497" operator="between">
      <formula>-0.1</formula>
      <formula>-3</formula>
    </cfRule>
    <cfRule type="cellIs" dxfId="426" priority="498" operator="between">
      <formula>0.1</formula>
      <formula>20</formula>
    </cfRule>
    <cfRule type="cellIs" dxfId="425" priority="499" operator="between">
      <formula>-10</formula>
      <formula>-5</formula>
    </cfRule>
    <cfRule type="cellIs" dxfId="426" priority="500" operator="between">
      <formula>0.1</formula>
      <formula>5</formula>
    </cfRule>
    <cfRule type="cellIs" dxfId="425" priority="507" operator="between">
      <formula>-3</formula>
      <formula>-0.1</formula>
    </cfRule>
    <cfRule type="cellIs" dxfId="426" priority="508" operator="between">
      <formula>0.1</formula>
      <formula>3</formula>
    </cfRule>
    <cfRule type="cellIs" dxfId="427" priority="509" operator="lessThan">
      <formula>0</formula>
    </cfRule>
    <cfRule type="cellIs" dxfId="428" priority="510" operator="greaterThan">
      <formula>0</formula>
    </cfRule>
  </conditionalFormatting>
  <conditionalFormatting sqref="NX3:NX9">
    <cfRule type="cellIs" dxfId="425" priority="513" operator="between">
      <formula>-0.08</formula>
      <formula>-5</formula>
    </cfRule>
    <cfRule type="cellIs" dxfId="426" priority="514" operator="between">
      <formula>0.08</formula>
      <formula>20</formula>
    </cfRule>
  </conditionalFormatting>
  <conditionalFormatting sqref="NY3:NY9">
    <cfRule type="cellIs" dxfId="425" priority="515" operator="between">
      <formula>-0.16</formula>
      <formula>-5</formula>
    </cfRule>
    <cfRule type="cellIs" dxfId="426" priority="516" operator="between">
      <formula>0.16</formula>
      <formula>20</formula>
    </cfRule>
  </conditionalFormatting>
  <conditionalFormatting sqref="NY10:NY11">
    <cfRule type="cellIs" dxfId="425" priority="527" operator="between">
      <formula>-3</formula>
      <formula>-0.1</formula>
    </cfRule>
    <cfRule type="cellIs" dxfId="426" priority="528" operator="between">
      <formula>0.1</formula>
      <formula>3</formula>
    </cfRule>
  </conditionalFormatting>
  <conditionalFormatting sqref="OD3:OD9">
    <cfRule type="cellIs" dxfId="427" priority="672" operator="lessThan">
      <formula>0</formula>
    </cfRule>
    <cfRule type="cellIs" dxfId="428" priority="673" operator="greaterThan">
      <formula>0</formula>
    </cfRule>
  </conditionalFormatting>
  <conditionalFormatting sqref="OL3:OL9">
    <cfRule type="cellIs" dxfId="427" priority="670" operator="lessThan">
      <formula>0</formula>
    </cfRule>
    <cfRule type="cellIs" dxfId="428" priority="671" operator="greaterThan">
      <formula>0</formula>
    </cfRule>
  </conditionalFormatting>
  <conditionalFormatting sqref="F1:G1 N1:O1 V1:W1 AD1:AE1 AL1:AM1 AT1:AU1 G2 G6:G7 O6:O7 W6:W7 AE6:AE7 AM6:AM7 AU6:AU7 G8:G9 O8:O9 W8:W9 AE8:AE9 AM8:AM9 AU8:AU9 F10:G11 N10:O11 V10:W11 AD10:AE11 AL10:AM11 AT10:AU11 F13:G13 N13:O13 V13:W13 AD13:AE13 AL13:AM13 AT13:AU13 F14:G14 N14:O14 V14:W14 AD14:AE14 AL14:AM14 AT14:AU14 F15:G15 N15:O15 V15:W15 AD15:AE15 AL15:AM15 AT15:AU15 F16:G17 N16:O17 V16:W17 AD16:AE17 AL16:AM17 AT16:AU17 F19:G19 N19:O19 V19:W19 AD19:AE19 AL19:AM19 AT19:AU19 F20:G20 N20:O20 V20:W20 AD20:AE20 AL20:AM20 AT20:AU20 F21:G21 N21:O21 V21:W21 AD21:AE21 AL21:AM21 AT21:AU21 F22:G22 N22:O22 V22:W22 AD22:AE22 AL22:AM22 AT22:AU22 F23:G23 N23:O23 V23:W23 AD23:AE23 AL23:AM23 AT23:AU23 F24:G24 N24:O24 V24:W24 AD24:AE24 AL24:AM24 AT24:AU24 F25:G25 N25:O25 V25:W25 AD25:AE25 AL25:AM25 AT25:AU25 F26:G26 N26:O26 V26:W26 AD26:AE26 AL26:AM26 AT26:AU26 F27:G27 N27:O27 V27:W27 AD27:AE27 AL27:AM27 AT27:AU27 F28:G28 N28:O28 V28:W28 AD28:AE28 AL28:AM28 AT28:AU28 F29:G29 N29:O29 V29:W29 AD29:AE29 AL29:AM29 AT29:AU29 F30:G30 N30:O30 V30:W30 AD30:AE30 AL30:AM30 AT30:AU30 F31:G31 N31:O31 V31:W31 AD31:AE31 AL31:AM31 AT31:AU31 F32:G32 N32:O32 V32:W32 AD32:AE32 AL32:AM32 AT32:AU32 F33:G33 N33:O33 V33:W33 AD33:AE33 AL33:AM33 AT33:AU33 F34:G34 N34:O34 V34:W34 AD34:AE34 AL34:AM34 AT34:AU34 F35:G35 N35:O35 V35:W35 AD35:AE35 AL35:AM35 AT35:AU35 F36:G36 N36:O36 V36:W36 AD36:AE36 AL36:AM36 AT36:AU36 F37:G37 N37:O37 V37:W37 AD37:AE37 AL37:AM37 AT37:AU37 F38:G38 N38:O38 V38:W38 AD38:AE38 AL38:AM38 AT38:AU38 F39:G39 N39:O39 V39:W39 AD39:AE39 AL39:AM39 AT39:AU39 F40:G40 N40:O40 V40:W40 AD40:AE40 AL40:AM40 AT40:AU40 F41:G41 N41:O41 V41:W41 AD41:AE41 AL41:AM41 AT41:AU41 F42:G42 N42:O42 V42:W42 AD42:AE42 AL42:AM42 AT42:AU42 F43:G43 N43:O43 V43:W43 AD43:AE43 AL43:AM43 AT43:AU43 F44:G44 N44:O44 V44:W44 AD44:AE44 AL44:AM44 AT44:AU44 F45:G45 N45:O45 V45:W45 AD45:AE45 AL45:AM45 AT45:AU45 F46:G46 N46:O46 V46:W46 AD46:AE46 AL46:AM46 AT46:AU46 F47:G47 N47:O47 V47:W47 AD47:AE47 AL47:AM47 AT47:AU47 F48:G48 N48:O48 V48:W48 AD48:AE48 AL48:AM48 AT48:AU48 F49:G49 N49:O49 V49:W49 AD49:AE49 AL49:AM49 AT49:AU49 F50:G50 N50:O50 V50:W50 AD50:AE50 AL50:AM50 AT50:AU50 F51:G51 N51:O51 V51:W51 AD51:AE51 AL51:AM51 AT51:AU51 F52:G52 N52:O52 V52:W52 AD52:AE52 AL52:AM52 AT52:AU52 F53:G53 N53:O53 V53:W53 AD53:AE53 AL53:AM53 AT53:AU53 F54:G54 N54:O54 V54:W54 AD54:AE54 AL54:AM54 AT54:AU54 F55:G55 N55:O55 V55:W55 AD55:AE55 AL55:AM55 AT55:AU55 F56:G56 N56:O56 V56:W56 AD56:AE56 AL56:AM56 AT56:AU56 F57:G57 N57:O57 V57:W57 AD57:AE57 AL57:AM57 AT57:AU57 F58:G58 N58:O58 V58:W58 AD58:AE58 AL58:AM58 AT58:AU58 F59:G68 N59:O68 V59:W68 AD59:AE68 AL59:AM68 AT59:AU68 F69:G69 N69:O69 V69:W69 AD69:AE69 AL69:AM69 AT69:AU69 F70:G70 N70:O70 V70:W70 AD70:AE70 AL70:AM70 AT70:AU70 F71:G71 N71:O71 V71:W71 AD71:AE71 AL71:AM71 AT71:AU71 F72:G72 N72:O72 V72:W72 AD72:AE72 AL72:AM72 AT72:AU72 F73:G73 N73:O73 V73:W73 AD73:AE73 AL73:AM73 AT73:AU73 F74:G74 N74:O74 V74:W74 AD74:AE74 AL74:AM74 AT74:AU74 F75:G75 N75:O75 V75:W75 AD75:AE75 AL75:AM75 AT75:AU75 F76:G76 N76:O76 V76:W76 AD76:AE76 AL76:AM76 AT76:AU76 F77:G77 N77:O77 V77:W77 AD77:AE77 AL77:AM77 AT77:AU77 F78:G164 N78:O164 V78:W164 AD78:AE164 AL78:AM164 AT78:AU164">
    <cfRule type="cellIs" dxfId="427" priority="464" operator="lessThan">
      <formula>0</formula>
    </cfRule>
    <cfRule type="cellIs" dxfId="428" priority="465" operator="greaterThan">
      <formula>0</formula>
    </cfRule>
  </conditionalFormatting>
  <conditionalFormatting sqref="G1 O1 W1 AE1 AM1 AU1 G2 G6:G7 O6:O7 W6:W7 AE6:AE7 AM6:AM7 AU6:AU7 G8:G9 O8:O9 W8:W9 AE8:AE9 AM8:AM9 AU8:AU9 G10:G11 O10:O11 W10:W11 AE10:AE11 AM10:AM11 AU10:AU11 G13 O13 W13 AE13 AM13 AU13 G14 O14 W14 AE14 AM14 AU14 G15 O15 W15 AE15 AM15 AU15 G16:G17 O16:O17 W16:W17 AE16:AE17 AM16:AM17 AU16:AU17 G19 O19 W19 AE19 AM19 AU19 G20 O20 W20 AE20 AM20 AU20 G21 O21 W21 AE21 AM21 AU21 G22 O22 W22 AE22 AM22 AU22 G23 O23 W23 AE23 AM23 AU23 G24 O24 W24 AE24 AM24 AU24 G25 O25 W25 AE25 AM25 AU25 G26 O26 W26 AE26 AM26 AU26 G27 O27 W27 AE27 AM27 AU27 G28 O28 W28 AE28 AM28 AU28 G29 O29 W29 AE29 AM29 AU29 G30 O30 W30 AE30 AM30 AU30 G31 O31 W31 AE31 AM31 AU31 G32 O32 W32 AE32 AM32 AU32 G33 O33 W33 AE33 AM33 AU33 G34 O34 W34 AE34 AM34 AU34 G35 O35 W35 AE35 AM35 AU35 G36 O36 W36 AE36 AM36 AU36 G37 O37 W37 AE37 AM37 AU37 G38 O38 W38 AE38 AM38 AU38 G39 O39 W39 AE39 AM39 AU39 G40 O40 W40 AE40 AM40 AU40 G41 O41 W41 AE41 AM41 AU41 G42 O42 W42 AE42 AM42 AU42 G43 O43 W43 AE43 AM43 AU43 G44 O44 W44 AE44 AM44 AU44 G45 O45 W45 AE45 AM45 AU45 G46 O46 W46 AE46 AM46 AU46 G47 O47 W47 AE47 AM47 AU47 G48 O48 W48 AE48 AM48 AU48 G49 O49 W49 AE49 AM49 AU49 G50 O50 W50 AE50 AM50 AU50 G51 O51 W51 AE51 AM51 AU51 G52 O52 W52 AE52 AM52 AU52 G53 O53 W53 AE53 AM53 AU53 G54 O54 W54 AE54 AM54 AU54 G55 O55 W55 AE55 AM55 AU55 G56 O56 W56 AE56 AM56 AU56 G57 O57 W57 AE57 AM57 AU57 G58 O58 W58 AE58 AM58 AU58 G59:G68 O59:O68 W59:W68 AE59:AE68 AM59:AM68 AU59:AU68 G69 O69 W69 AE69 AM69 AU69 G70 O70 W70 AE70 AM70 AU70 G71 O71 W71 AE71 AM71 AU71 G72 O72 W72 AE72 AM72 AU72 G73 O73 W73 AE73 AM73 AU73 G74 O74 W74 AE74 AM74 AU74 G75 O75 W75 AE75 AM75 AU75 G76 O76 W76 AE76 AM76 AU76 G77 O77 W77 AE77 AM77 AU77 G78:G164 O78:O164 W78:W164 AE78:AE164 AM78:AM164 AU78:AU164">
    <cfRule type="cellIs" dxfId="425" priority="462" operator="between">
      <formula>-0.2</formula>
      <formula>-0.05</formula>
    </cfRule>
    <cfRule type="cellIs" dxfId="426" priority="463" operator="between">
      <formula>0.05</formula>
      <formula>1.5</formula>
    </cfRule>
  </conditionalFormatting>
  <conditionalFormatting sqref="G1:H1 O1:P1 W1:X1 AE1:AF1 AM1:AN1 AU1:AV1 G2:H2 P2 X2 AF2 AN2 AV2 G3:H4 O3:P4 W3:X4 AE3:AF4 AM3:AN4 AU3:AV4 G5:H5 O5:P5 W5:X5 AE5:AF5 AM5:AN5 AU5:AV5 G6:H7 O6:P7 W6:X7 AE6:AF7 AM6:AN7 AU6:AV7 G8:H9 O8:P9 W8:X9 AE8:AF9 AM8:AN9 AU8:AV9 G10:H11 O10:P11 W10:X11 AE10:AF11 AM10:AN11 AU10:AV11 G13:H13 O13:P13 W13:X13 AE13:AF13 AM13:AN13 AU13:AV13 G14:H14 O14:P14 W14:X14 AE14:AF14 AM14:AN14 AU14:AV14 G15:H15 O15:P15 W15:X15 AE15:AF15 AM15:AN15 AU15:AV15 G16:H17 O16:P17 W16:X17 AE16:AF17 AM16:AN17 AU16:AV17 G19:H19 O19:P19 W19:X19 AE19:AF19 AM19:AN19 AU19:AV19 G20:H20 O20:P20 W20:X20 AE20:AF20 AM20:AN20 AU20:AV20 G21:H21 O21:P21 W21:X21 AE21:AF21 AM21:AN21 AU21:AV21 G22:H22 O22:P22 W22:X22 AE22:AF22 AM22:AN22 AU22:AV22 G23:H23 O23:P23 W23:X23 AE23:AF23 AM23:AN23 AU23:AV23 G24:H24 O24:P24 W24:X24 AE24:AF24 AM24:AN24 AU24:AV24 G25:H25 O25:P25 W25:X25 AE25:AF25 AM25:AN25 AU25:AV25 G26:H26 O26:P26 W26:X26 AE26:AF26 AM26:AN26 AU26:AV26 G27:H27 O27:P27 W27:X27 AE27:AF27 AM27:AN27 AU27:AV27 G28:H28 O28:P28 W28:X28 AE28:AF28 AM28:AN28 AU28:AV28 G29:H29 O29:P29 W29:X29 AE29:AF29 AM29:AN29 AU29:AV29 G30:H30 O30:P30 W30:X30 AE30:AF30 AM30:AN30 AU30:AV30 G31:H31 O31:P31 W31:X31 AE31:AF31 AM31:AN31 AU31:AV31 G32:H32 O32:P32 W32:X32 AE32:AF32 AM32:AN32 AU32:AV32 G33:H33 O33:P33 W33:X33 AE33:AF33 AM33:AN33 AU33:AV33 G34:H34 O34:P34 W34:X34 AE34:AF34 AM34:AN34 AU34:AV34 G35:H35 O35:P35 W35:X35 AE35:AF35 AM35:AN35 AU35:AV35 G36:H36 O36:P36 W36:X36 AE36:AF36 AM36:AN36 AU36:AV36 G37:H37 O37:P37 W37:X37 AE37:AF37 AM37:AN37 AU37:AV37 G38:H38 O38:P38 W38:X38 AE38:AF38 AM38:AN38 AU38:AV38 G39:H39 O39:P39 W39:X39 AE39:AF39 AM39:AN39 AU39:AV39 G40:H40 O40:P40 W40:X40 AE40:AF40 AM40:AN40 AU40:AV40 G41:H41 O41:P41 W41:X41 AE41:AF41 AM41:AN41 AU41:AV41 G42:H42 O42:P42 W42:X42 AE42:AF42 AM42:AN42 AU42:AV42 G43:H43 O43:P43 W43:X43 AE43:AF43 AM43:AN43 AU43:AV43 G44:H44 O44:P44 W44:X44 AE44:AF44 AM44:AN44 AU44:AV44 G45:H45 O45:P45 W45:X45 AE45:AF45 AM45:AN45 AU45:AV45 G46:H46 O46:P46 W46:X46 AE46:AF46 AM46:AN46 AU46:AV46 G47:H47 O47:P47 W47:X47 AE47:AF47 AM47:AN47 AU47:AV47 G48:H48 O48:P48 W48:X48 AE48:AF48 AM48:AN48 AU48:AV48 G49:H49 O49:P49 W49:X49 AE49:AF49 AM49:AN49 AU49:AV49 G50:H50 O50:P50 W50:X50 AE50:AF50 AM50:AN50 AU50:AV50 G51:H51 O51:P51 W51:X51 AE51:AF51 AM51:AN51 AU51:AV51 G52:H52 O52:P52 W52:X52 AE52:AF52 AM52:AN52 AU52:AV52 G53:H53 O53:P53 W53:X53 AE53:AF53 AM53:AN53 AU53:AV53 G54:H54 O54:P54 W54:X54 AE54:AF54 AM54:AN54 AU54:AV54 G55:H55 O55:P55 W55:X55 AE55:AF55 AM55:AN55 AU55:AV55 G56:H56 O56:P56 W56:X56 AE56:AF56 AM56:AN56 AU56:AV56 G57:H57 O57:P57 W57:X57 AE57:AF57 AM57:AN57 AU57:AV57 G58:H58 O58:P58 W58:X58 AE58:AF58 AM58:AN58 AU58:AV58 G59:H68 O59:P68 W59:X68 AE59:AF68 AM59:AN68 AU59:AV68 G69:H69 O69:P69 W69:X69 AE69:AF69 AM69:AN69 AU69:AV69 G70:H70 O70:P70 W70:X70 AE70:AF70 AM70:AN70 AU70:AV70 G71:H71 O71:P71 W71:X71 AE71:AF71 AM71:AN71 AU71:AV71 G72:H72 O72:P72 W72:X72 AE72:AF72 AM72:AN72 AU72:AV72 G73:H73 O73:P73 W73:X73 AE73:AF73 AM73:AN73 AU73:AV73 G74:H74 O74:P74 W74:X74 AE74:AF74 AM74:AN74 AU74:AV74 G75:H75 O75:P75 W75:X75 AE75:AF75 AM75:AN75 AU75:AV75 G76:H76 O76:P76 W76:X76 AE76:AF76 AM76:AN76 AU76:AV76 G77:H77 O77:P77 W77:X77 AE77:AF77 AM77:AN77 AU77:AV77 G78:H164 O78:P164 W78:X164 AE78:AF164 AM78:AN164 AU78:AV164">
    <cfRule type="cellIs" dxfId="425" priority="445" operator="between">
      <formula>-10</formula>
      <formula>-0.1</formula>
    </cfRule>
    <cfRule type="cellIs" dxfId="426" priority="446" operator="between">
      <formula>0.1</formula>
      <formula>5</formula>
    </cfRule>
  </conditionalFormatting>
  <conditionalFormatting sqref="H1:I1 P1:Q1 X1:Y1 AF1:AG1 AN1:AO1 AV1:AW1 BE1:BF1 H2:I2 P2:Q2 X2:Y2 AF2:AG2 AN2:AO2 AV2:AW2 BE2 H3:I3 P3:Q3 X3:Y3 AF3:AG3 AN3:AO3 AV3:AW3 BE3 H4:I4 P4:Q4 X4:Y4 AF4:AG4 AN4:AO4 AV4:AW4 BE4 H5:I5 P5:Q5 X5:Y5 AF5:AG5 AN5:AO5 AV5:AW5 BE5 H6:I6 P6:Q6 X6:Y6 AF6:AG6 AN6:AO6 AV6:AW6 BE6:BF6 H7:I7 P7:Q7 X7:Y7 AF7:AG7 AN7:AO7 AV7:AW7 BE7:BF7 H8:I9 P8:Q9 X8:Y9 AF8:AG9 AN8:AO9 AV8:AW9 BE8:BF9 H10:I11 P10:Q11 X10:Y11 AF10:AG11 AN10:AO11 AV10:AW11 BE10:BF12 H13:I13 P13:Q13 X13:Y13 AF13:AG13 AN13:AO13 AV13:AW13 BE13:BF13 H14:I14 P14:Q14 X14:Y14 AF14:AG14 AN14:AO14 AV14:AW14 BE14:BF14 H15:I15 P15:Q15 X15:Y15 AF15:AG15 AN15:AO15 AV15:AW15 BE15:BF15 H16:I17 P16:Q17 X16:Y17 AF16:AG17 AN16:AO17 AV16:AW17 BE16:BF17 H19:I23 P19:Q23 X19:Y23 AF19:AG23 AN19:AO23 AV19:AW23 BE19:BF23 H24:I24 P24:Q24 X24:Y24 AF24:AG24 AN24:AO24 AV24:AW24 BE24:BF24 H25:I25 P25:Q25 X25:Y25 AF25:AG25 AN25:AO25 AV25:AW25 BE25:BF25 H26:I26 P26:Q26 X26:Y26 AF26:AG26 AN26:AO26 AV26:AW26 BE26:BF26 H27:I29 P27:Q29 X27:Y29 AF27:AG29 AN27:AO29 AV27:AW29 BE27:BF29 H30:I34 P30:Q34 X30:Y34 AF30:AG34 AN30:AO34 AV30:AW34 BE30:BF34 H35:I39 P35:Q39 X35:Y39 AF35:AG39 AN35:AO39 AV35:AW39 BE35:BF39 H40:I49 P40:Q49 X40:Y49 AF40:AG49 AN40:AO49 AV40:AW49 BE40:BF49 H50:I53 P50:Q53 X50:Y53 AF50:AG53 AN50:AO53 AV50:AW53 BE50:BF53 H54:I57 P54:Q57 X54:Y57 AF54:AG57 AN54:AO57 AV54:AW57 BE54:BF57 H58:I58 P58:Q58 X58:Y58 AF58:AG58 AN58:AO58 AV58:AW58 BE58:BF58 H59:I68 P59:Q68 X59:Y68 AF59:AG68 AN59:AO68 AV59:AW68 BE59:BF68 H69:I164 P69:Q164 X69:Y164 AF69:AG164 AN69:AO164 AV69:AW164 BE69:BF164">
    <cfRule type="cellIs" dxfId="427" priority="383" operator="lessThan">
      <formula>0</formula>
    </cfRule>
    <cfRule type="cellIs" dxfId="428" priority="384" operator="greaterThan">
      <formula>0</formula>
    </cfRule>
  </conditionalFormatting>
  <conditionalFormatting sqref="H1:H11 H13:H17 H19:H164">
    <cfRule type="cellIs" dxfId="425" priority="454" operator="between">
      <formula>-1</formula>
      <formula>-0.2</formula>
    </cfRule>
    <cfRule type="cellIs" dxfId="427" priority="455" operator="lessThan">
      <formula>0</formula>
    </cfRule>
    <cfRule type="cellIs" dxfId="428" priority="456" operator="greaterThan">
      <formula>0</formula>
    </cfRule>
  </conditionalFormatting>
  <conditionalFormatting sqref="H1:H2 P1:P2 X1:X2 AF1:AF2 AN1:AN2 AV1:AV2 H6:H7 P6:P7 X6:X7 AF6:AF7 AN6:AN7 AV6:AV7 H8:H9 P8:P9 X8:X9 AF8:AF9 AN8:AN9 AV8:AV9 H10:H11 P10:P11 X10:X11 AF10:AF11 AN10:AN11 AV10:AV11 H13 P13 X13 AF13 AN13 AV13 H14 P14 X14 AF14 AN14 AV14 H15 P15 X15 AF15 AN15 AV15 H16:H17 P16:P17 X16:X17 AF16:AF17 AN16:AN17 AV16:AV17 H19:H23 P19:P23 X19:X23 AF19:AF23 AN19:AN23 AV19:AV23 H24 P24 X24 AF24 AN24 AV24 H25 P25 X25 AF25 AN25 AV25 H26 P26 X26 AF26 AN26 AV26 H27:H29 P27:P29 X27:X29 AF27:AF29 AN27:AN29 AV27:AV29 H30:H34 P30:P34 X30:X34 AF30:AF34 AN30:AN34 AV30:AV34 H35:H39 P35:P39 X35:X39 AF35:AF39 AN35:AN39 AV35:AV39 H40:H49 P40:P49 X40:X49 AF40:AF49 AN40:AN49 AV40:AV49 H50:H53 P50:P53 X50:X53 AF50:AF53 AN50:AN53 AV50:AV53 H54:H57 P54:P57 X54:X57 AF54:AF57 AN54:AN57 AV54:AV57 H58 P58 X58 AF58 AN58 AV58 H59:H68 P59:P68 X59:X68 AF59:AF68 AN59:AN68 AV59:AV68 H69:H77 P69:P77 X69:X77 AF69:AF77 AN69:AN77 AV69:AV77 H78:H164 P78:P164 X78:X164 AF78:AF164 AN78:AN164 AV78:AV164">
    <cfRule type="cellIs" dxfId="425" priority="460" operator="lessThan">
      <formula>-0.5</formula>
    </cfRule>
    <cfRule type="cellIs" dxfId="426" priority="461" operator="greaterThan">
      <formula>0.5</formula>
    </cfRule>
  </conditionalFormatting>
  <conditionalFormatting sqref="H1:H2 P1:P2 X1:X2 AF1:AF2 AN1:AN2 AV1:AV2 BE1:BE2 H3:H4 P3:P4 X3:X4 AF3:AF4 AN3:AN4 AV3:AV4 BE3:BE4 H5 P5 X5 AF5 AN5 AV5 BE5 H6:H7 P6:P7 X6:X7 AF6:AF7 AN6:AN7 AV6:AV7 BE6:BE7 H8:H9 P8:P9 X8:X9 AF8:AF9 AN8:AN9 AV8:AV9 BE8:BE9 H10:H11 P10:P11 X10:X11 AF10:AF11 AN10:AN11 AV10:AV11 BE10:BE12 H13 P13 X13 AF13 AN13 AV13 BE13 H14 P14 X14 AF14 AN14 AV14 BE14 H15 P15 X15 AF15 AN15 AV15 BE15 H16:H17 P16:P17 X16:X17 AF16:AF17 AN16:AN17 AV16:AV17 BE16:BE17 H19:H23 P19:P23 X19:X23 AF19:AF23 AN19:AN23 AV19:AV23 BE19:BE23 H24 P24 X24 AF24 AN24 AV24 BE24 H25 P25 X25 AF25 AN25 AV25 BE25 H26 P26 X26 AF26 AN26 AV26 BE26 H27:H29 P27:P29 X27:X29 AF27:AF29 AN27:AN29 AV27:AV29 BE27:BE29 H30:H34 P30:P34 X30:X34 AF30:AF34 AN30:AN34 AV30:AV34 BE30:BE34 H35:H39 P35:P39 X35:X39 AF35:AF39 AN35:AN39 AV35:AV39 BE35:BE39 H40:H49 P40:P49 X40:X49 AF40:AF49 AN40:AN49 AV40:AV49 BE40:BE49 H50:H53 P50:P53 X50:X53 AF50:AF53 AN50:AN53 AV50:AV53 BE50:BE53 H54:H57 P54:P57 X54:X57 AF54:AF57 AN54:AN57 AV54:AV57 BE54:BE57 H58 P58 X58 AF58 AN58 AV58 BE58 H59:H68 P59:P68 X59:X68 AF59:AF68 AN59:AN68 AV59:AV68 BE59:BE68 H69:H164 P69:P164 X69:X164 AF69:AF164 AN69:AN164 AV69:AV164 BE69:BE164">
    <cfRule type="cellIs" dxfId="425" priority="381" operator="between">
      <formula>-0.08</formula>
      <formula>-5</formula>
    </cfRule>
    <cfRule type="cellIs" dxfId="426" priority="382" operator="between">
      <formula>0.08</formula>
      <formula>10</formula>
    </cfRule>
  </conditionalFormatting>
  <conditionalFormatting sqref="I1:I2 Q1:Q2 Y1:Y2 AG1:AG2 AO1:AO2 AW1:AW2 I3:I4 Q3:Q4 Y3:Y4 AG3:AG4 AO3:AO4 AW3:AW4 I5 Q5 Y5 AG5 AO5 AW5 I6:I7 Q6:Q7 Y6:Y7 AG6:AG7 AO6:AO7 AW6:AW7 I8:I9 Q8:Q9 Y8:Y9 AG8:AG9 AO8:AO9 AW8:AW9 I10:I11 Q10:Q11 Y10:Y11 AG10:AG11 AO10:AO11 AW10:AW11 I13 Q13 Y13 AG13 AO13 AW13 I14 Q14 Y14 AG14 AO14 AW14 I15 Q15 Y15 AG15 AO15 AW15 I16:I17 Q16:Q17 Y16:Y17 AG16:AG17 AO16:AO17 AW16:AW17 I19:I23 Q19:Q23 Y19:Y23 AG19:AG23 AO19:AO23 AW19:AW23 I24 Q24 Y24 AG24 AO24 AW24 I25 Q25 Y25 AG25 AO25 AW25 I26 Q26 Y26 AG26 AO26 AW26 I27:I29 Q27:Q29 Y27:Y29 AG27:AG29 AO27:AO29 AW27:AW29 I30:I34 Q30:Q34 Y30:Y34 AG30:AG34 AO30:AO34 AW30:AW34 I35:I39 Q35:Q39 Y35:Y39 AG35:AG39 AO35:AO39 AW35:AW39 I40:I49 Q40:Q49 Y40:Y49 AG40:AG49 AO40:AO49 AW40:AW49 I50:I53 Q50:Q53 Y50:Y53 AG50:AG53 AO50:AO53 AW50:AW53 I54:I57 Q54:Q57 Y54:Y57 AG54:AG57 AO54:AO57 AW54:AW57 I58 Q58 Y58 AG58 AO58 AW58 I59:I68 Q59:Q68 Y59:Y68 AG59:AG68 AO59:AO68 AW59:AW68 I69:I164 Q69:Q164 Y69:Y164 AG69:AG164 AO69:AO164 AW69:AW164">
    <cfRule type="cellIs" dxfId="425" priority="379" operator="between">
      <formula>-0.16</formula>
      <formula>-5</formula>
    </cfRule>
    <cfRule type="cellIs" dxfId="426" priority="380" operator="between">
      <formula>0.16</formula>
      <formula>10</formula>
    </cfRule>
  </conditionalFormatting>
  <conditionalFormatting sqref="P1:P11 P13:P17 P19:P164">
    <cfRule type="cellIs" dxfId="425" priority="451" operator="between">
      <formula>-1</formula>
      <formula>-0.2</formula>
    </cfRule>
    <cfRule type="cellIs" dxfId="427" priority="452" operator="lessThan">
      <formula>0</formula>
    </cfRule>
    <cfRule type="cellIs" dxfId="428" priority="453" operator="greaterThan">
      <formula>0</formula>
    </cfRule>
  </conditionalFormatting>
  <conditionalFormatting sqref="X1:X2 AF1:AF2 AN1:AN2 AV1:AV2 X3:X4 AF3:AF4 AN3:AN4 AV3:AV4 X5 AF5 AN5 AV5 X6:X7 AF6:AF7 AN6:AN7 AV6:AV7 X8:X9 AF8:AF9 AN8:AN9 AV8:AV9 X10:X11 AF10:AF11 AN10:AN11 AV10:AV11 X13 AF13 AN13 AV13 X14 AF14 AN14 AV14 X15 AF15 AN15 AV15 X16:X17 AF16:AF17 AN16:AN17 AV16:AV17 X19:X23 AF19:AF23 AN19:AN23 AV19:AV23 X24 AF24 AN24 AV24 X25 AF25 AN25 AV25 X26 AF26 AN26 AV26 X27:X29 AF27:AF29 AN27:AN29 AV27:AV29 X30:X34 AF30:AF34 AN30:AN34 AV30:AV34 X35:X39 AF35:AF39 AN35:AN39 AV35:AV39 X40:X49 AF40:AF49 AN40:AN49 AV40:AV49 X50:X53 AF50:AF53 AN50:AN53 AV50:AV53 X54:X57 AF54:AF57 AN54:AN57 AV54:AV57 X58 AF58 AN58 AV58 X59:X68 AF59:AF68 AN59:AN68 AV59:AV68 X69:X77 AF69:AF77 AN69:AN77 AV69:AV77 X78:X164 AF78:AF164 AN78:AN164 AV78:AV164">
    <cfRule type="cellIs" dxfId="426" priority="447" operator="between">
      <formula>0.2</formula>
      <formula>50</formula>
    </cfRule>
    <cfRule type="cellIs" dxfId="425" priority="448" operator="between">
      <formula>-1</formula>
      <formula>-0.2</formula>
    </cfRule>
    <cfRule type="cellIs" dxfId="427" priority="449" operator="lessThan">
      <formula>0</formula>
    </cfRule>
    <cfRule type="cellIs" dxfId="428" priority="450" operator="greaterThan">
      <formula>0</formula>
    </cfRule>
  </conditionalFormatting>
  <conditionalFormatting sqref="BC1:BD1 BC3:BD11 BC13:BD17 BC19:BD164">
    <cfRule type="cellIs" dxfId="425" priority="397" operator="between">
      <formula>-0.05</formula>
      <formula>-3</formula>
    </cfRule>
    <cfRule type="cellIs" dxfId="426" priority="398" operator="between">
      <formula>0.05</formula>
      <formula>2</formula>
    </cfRule>
    <cfRule type="cellIs" dxfId="427" priority="399" operator="lessThan">
      <formula>0</formula>
    </cfRule>
    <cfRule type="cellIs" dxfId="428" priority="400" operator="greaterThan">
      <formula>0</formula>
    </cfRule>
  </conditionalFormatting>
  <conditionalFormatting sqref="BF1 BF6:BF17 BF19:BF164">
    <cfRule type="cellIs" dxfId="427" priority="387" operator="lessThan">
      <formula>0</formula>
    </cfRule>
    <cfRule type="cellIs" dxfId="428" priority="388" operator="greaterThan">
      <formula>0</formula>
    </cfRule>
  </conditionalFormatting>
  <conditionalFormatting sqref="BK1:BL1 BS1:BT1 CA1:CB1 CI1:CJ1 CQ1:CR1 CY1:CZ1 DG1:DH1 DO1:DP1 DW1:DX1 EE1:EF1 EM1:EN1 FC1:FD1 FK1:FL1 FS1:FT1 GA1:GB1 GI1:GJ1 GQ1:GR1 GY1:GZ1 HG1:HH1 HO1:HP1 HW1:HX1 IE1:IF1 IM1:IN1 IU1:IV1 JC1:JD1 JK1:JL1 JS1:JT1 KA1:KB1 KI1:KJ1 KQ1:KR1 KY1:KZ1 LG1:LH1 LO1:LP1 LW1:LX1 ME1:MF1 OF1:OG1 ON1:OO1 BK3:BL4 BS3:BT4 CA3:CB4 CI3:CJ4 CQ3:CR4 CY3:CZ4 DG3:DH4 DO3:DP4 DW3:DX4 EE3:EF4 EM3:EN4 FC3:FD4 FK3:FL4 FS3:FT4 GA3:GB4 GI3:GJ4 GQ3:GR4 GY3:GZ4 HG3:HH4 HO3:HP4 HW3:HX4 IE3:IF4 IM3:IN4 IU3:IV4 JC3:JD4 JK3:JL4 JS3:JT4 KA3:KB4 KI3:KJ4 KQ3:KR4 KY3:KZ4 LG3:LH4 LO3:LP4 LW3:LX4 ME3:MF4 OF3:OG4 ON3:OO4 BK5 BS5 CA5 CI5 CQ5 CY5 DO5 DW5 EE5 EM5 FC5 FK5 FS5 GA5 GI5 GQ5 GY5 HG5 HO5 HW5 IE5 IM5 IU5 JC5 JK5 JS5 KA5 KI5 KQ5 KY5 LG5 LO5 LW5 ME5 OF5 ON5 BK6:BK7 BS6:BS7 CA6:CA7 CI6:CI7 CQ6:CQ7 CY6:CY7 DG6:DG7 DO6:DO7 DW6:DW7 EE6:EE7 EM6:EM7 FC6:FC7 FK6:FK7 FS6:FS7 GA6:GA7 GI6:GI7 GQ6:GQ7 GY6:GY7 HG6:HG7 HO6:HO7 HW6:HW7 IE6:IE7 IM6:IM7 IU6:IU7 JC6:JC7 JK6:JK7 JS6:JS7 KA6:KA7 KI6:KI7 KQ6:KQ7 KY6:KY7 LG6:LG7 LO6:LO7 LW6:LW7 ME6:ME7 OF6:OF7 ON6:ON7 BK8 BS8 CA8 CI8 CQ8 GY8 HW8 JC8 BK9 BS9 CA9 CI9 CQ9 HW9 JC9 BK10:BL12 BS10:BT12 CA10:CB12 CI10:CJ12 CQ10:CR12 CY10:CZ12 DG10:DH12 DO10:DP12 DW10:DX12 EE10:EF12 EM10:EN12 FC10:FD12 FK10:FL12 FS10:FT12 GA10:GB12 GI10:GJ12 GQ10:GR12 GY10:GZ12 HG10:HH12 HO10:HP12 HW10:HX12 IE10:IF12 IM10:IN12 IU10:IV12 JC10:JD12 JK10:JL12 JS10:JT12 KA10:KB12 KI10:KJ12 KQ10:KR12 KY10:KZ12 LG10:LH12 LO10:LP12 LW10:LX12 ME10:MF12 OF10:OG12 ON10:OO12 BK13:BL13 BS13:BT13 CA13:CB13 CI13:CJ13 CQ13:CR13 CY13:CZ13 DG13:DH13 DO13:DP13 DW13:DX13 EE13:EF13 EM13:EN13 FC13:FD13 FK13:FL13 FS13:FT13 GA13:GB13 GI13:GJ13 GQ13:GR13 GY13:GZ13 HG13:HH13 HO13:HP13 HW13:HX13 IE13:IF13 IM13:IN13 IU13:IV13 JC13:JD13 JK13:JL13 JS13:JT13 KA13:KB13 KI13:KJ13 KQ13:KR13 KY13:KZ13 LG13:LH13 LO13:LP13 LW13:LX13 ME13:MF13 OF13:OG13 ON13:OO13 BK14:BL14 BS14:BT14 CA14:CB14 CI14:CJ14 CQ14:CR14 CY14:CZ14 DG14:DH14 DO14:DP14 DW14:DX14 EE14:EF14 EM14:EN14 FC14:FD14 FK14:FL14 FS14:FT14 GA14:GB14 GI14:GJ14 GQ14:GR14 GY14:GZ14 HG14:HH14 HO14:HP14 HW14:HX14 IE14:IF14 IM14:IN14 IU14:IV14 JC14:JD14 JK14:JL14 JS14:JT14 KA14:KB14 KI14:KJ14 KQ14:KR14 KY14:KZ14 LG14:LH14 LO14:LP14 LW14:LX14 ME14:MF14 OF14:OG14 ON14:OO14 BK15:BL15 BS15:BT15 CA15:CB15 CI15:CJ15 CQ15:CR15 CY15:CZ15 DG15:DH15 DO15:DP15 DW15:DX15 EE15:EF15 EM15:EN15 FC15:FD15 FK15:FL15 FS15:FT15 GA15:GB15 GI15:GJ15 GQ15:GR15 GY15:GZ15 HG15:HH15 HO15:HP15 HW15:HX15 IE15:IF15 IM15:IN15 IU15:IV15 JC15:JD15 JK15:JL15 JS15:JT15 KA15:KB15 KI15:KJ15 KQ15:KR15 KY15:KZ15 LG15:LH15 LO15:LP15 LW15:LX15 ME15:MF15 OF15:OG15 ON15:OO15 BK16:BL17 BS16:BT17 CA16:CB17 CI16:CJ17 CQ16:CR17 CY16:CZ17 DG16:DH17 DO16:DP17 DW16:DX17 EE16:EF17 EM16:EN17 FC16:FD17 FK16:FL17 FS16:FT17 GA16:GB17 GI16:GJ17 GQ16:GR17 GY16:GZ17 HG16:HH17 HO16:HP17 HW16:HX17 IE16:IF17 IM16:IN17 IU16:IV17 JC16:JD17 JK16:JL17 JS16:JT17 KA16:KB17 KI16:KJ17 KQ16:KR17 KY16:KZ17 LG16:LH17 LO16:LP17 LW16:LX17 ME16:MF17 OF16:OG17 ON16:OO17 BK19:BL23 BS19:BT23 CA19:CB23 CI19:CJ23 CQ19:CR23 CY19:CZ23 DG19:DH23 DO19:DP23 DW19:DX23 EE19:EF23 EM19:EN23 FC19:FD23 FK19:FL23 FS19:FT23 GA19:GB23 GI19:GJ23 GQ19:GR23 GY19:GZ23 HG19:HH23 HO19:HP23 HW19:HX23 IE19:IF23 IM19:IN23 IU19:IV23 JC19:JD23 JK19:JL23 JS19:JT23 KA19:KB23 KI19:KJ23 KQ19:KR23 KY19:KZ23 LG19:LH23 LO19:LP23 LW19:LX23 ME19:MF23 OF19:OG23 ON19:OO23 BK24:BL24 BS24:BT24 CA24:CB24 CI24:CJ24 CQ24:CR24 CY24:CZ24 DG24:DH24 DO24:DP24 DW24:DX24 EE24:EF24 EM24:EN24 FC24:FD24 FK24:FL24 FS24:FT24 GA24:GB24 GI24:GJ24 GQ24:GR24 GY24:GZ24 HG24:HH24 HO24:HP24 HW24:HX24 IE24:IF24 IM24:IN24 IU24:IV24 JC24:JD24 JK24:JL24 JS24:JT24 KA24:KB24 KI24:KJ24 KQ24:KR24 KY24:KZ24 LG24:LH24 LO24:LP24 LW24:LX24 ME24:MF24 OF24:OG24 ON24:OO24 BK25:BL25 BS25:BT25 CA25:CB25 CI25:CJ25 CQ25:CR25 CY25:CZ25 DG25:DH25 DO25:DP25 DW25:DX25 EE25:EF25 EM25:EN25 FC25:FD25 FK25:FL25 FS25:FT25 GA25:GB25 GI25:GJ25 GQ25:GR25 GY25:GZ25 HG25:HH25 HO25:HP25 HW25:HX25 IE25:IF25 IM25:IN25 IU25:IV25 JC25:JD25 JK25:JL25 JS25:JT25 KA25:KB25 KI25:KJ25 KQ25:KR25 KY25:KZ25 LG25:LH25 LO25:LP25 LW25:LX25 ME25:MF25 OF25:OG25 ON25:OO25 BK26:BL26 BS26:BT26 CA26:CB26 CI26:CJ26 CQ26:CR26 CY26:CZ26 DG26:DH26 DO26:DP26 DW26:DX26 EE26:EF26 EM26:EN26 FC26:FD26 FK26:FL26 FS26:FT26 GA26:GB26 GI26:GJ26 GQ26:GR26 GY26:GZ26 HG26:HH26 HO26:HP26 HW26:HX26 IE26:IF26 IM26:IN26 IU26:IV26 JC26:JD26 JK26:JL26 JS26:JT26 KA26:KB26 KI26:KJ26 KQ26:KR26 KY26:KZ26 LG26:LH26 LO26:LP26 LW26:LX26 ME26:MF26 OF26:OG26 ON26:OO26 BK27:BL29 BS27:BT29 CA27:CB29 CI27:CJ29 CQ27:CR29 CY27:CZ29 DG27:DH29 DO27:DP29 DW27:DX29 EE27:EF29 EM27:EN29 FC27:FD29 FK27:FL29 FS27:FT29 GA27:GB29 GI27:GJ29 GQ27:GR29 GY27:GZ29 HG27:HH29 HO27:HP29 HW27:HX29 IE27:IF29 IM27:IN29 IU27:IV29 JC27:JD29 JK27:JL29 JS27:JT29 KA27:KB29 KI27:KJ29 KQ27:KR29 KY27:KZ29 LG27:LH29 LO27:LP29 LW27:LX29 ME27:MF29 OF27:OG29 ON27:OO29 BK30:BL34 BS30:BT34 CA30:CB34 CI30:CJ34 CQ30:CR34 CY30:CZ34 DG30:DH34 DO30:DP34 DW30:DX34 EE30:EF34 EM30:EN34 FC30:FD34 FK30:FL34 FS30:FT34 GA30:GB34 GI30:GJ34 GQ30:GR34 GY30:GZ34 HG30:HH34 HO30:HP34 HW30:HX34 IE30:IF34 IM30:IN34 IU30:IV34 JC30:JD34 JK30:JL34 JS30:JT34 KA30:KB34 KI30:KJ34 KQ30:KR34 KY30:KZ34 LG30:LH34 LO30:LP34 LW30:LX34 ME30:MF34 OF30:OG34 ON30:OO34 BK35:BL39 BS35:BT39 CA35:CB39 CI35:CJ39 CQ35:CR39 CY35:CZ39 DG35:DH39 DO35:DP39 DW35:DX39 EE35:EF39 EM35:EN39 FC35:FD39 FK35:FL39 FS35:FT39 GA35:GB39 GI35:GJ39 GQ35:GR39 GY35:GZ39 HG35:HH39 HO35:HP39 HW35:HX39 IE35:IF39 IM35:IN39 IU35:IV39 JC35:JD39 JK35:JL39 JS35:JT39 KA35:KB39 KI35:KJ39 KQ35:KR39 KY35:KZ39 LG35:LH39 LO35:LP39 LW35:LX39 ME35:MF39 OF35:OG39 ON35:OO39 BK40:BL164 BS40:BT164 CA40:CB164 CI40:CJ164 CQ40:CR164 CY40:CZ164 DG40:DH164 DO40:DP164 DW40:DX164 EE40:EF164 EM40:EN164 FC40:FD164 FK40:FL164 FS40:FT164 GA40:GB164 GI40:GJ164 GQ40:GR164 GY40:GZ164 HG40:HH164 HO40:HP164 HW40:HX164 IE40:IF164 IM40:IN164 IU40:IV164 JC40:JD164 JK40:JL164 JS40:JT164 KA40:KB164 KI40:KJ164 KQ40:KR164 KY40:KZ164 LG40:LH164 LO40:LP164 LW40:LX164 ME40:MF164 OF40:OG164 ON40:OO164">
    <cfRule type="cellIs" dxfId="427" priority="908" operator="lessThan">
      <formula>0</formula>
    </cfRule>
    <cfRule type="cellIs" dxfId="428" priority="909" operator="greaterThan">
      <formula>0</formula>
    </cfRule>
  </conditionalFormatting>
  <conditionalFormatting sqref="BL1 BT1 CB1 CJ1 CR1 CZ1 DH1 DP1 DX1 EF1 EN1 FD1 FL1 FT1 GB1 GJ1 GR1 GZ1 HH1 HP1 HX1 IF1 IN1 IV1 JD1 JL1 JT1 KB1 KJ1 KR1 KZ1 LH1 LP1 LX1 MF1 OG1 OO1 BL3:BL4 BT3:BT4 CB3:CB4 CJ3:CJ4 CR3:CR4 CZ3:CZ4 DH3:DH4 DP3:DP4 DX3:DX4 EF3:EF4 EN3:EN4 FD3:FD4 FL3:FL4 FT3:FT4 GB3:GB4 GJ3:GJ4 GR3:GR4 GZ3:GZ4 HH3:HH4 HP3:HP4 HX3:HX4 IF3:IF4 IN3:IN4 IV3:IV4 JD3:JD4 JL3:JL4 JT3:JT4 KB3:KB4 KJ3:KJ4 KR3:KR4 KZ3:KZ4 LH3:LH4 LP3:LP4 LX3:LX4 MF3:MF4 OG3:OG4 OO3:OO4 BL10:BL13 BT10:BT13 CB10:CB13 CJ10:CJ13 CR10:CR13 CZ10:CZ13 DH10:DH13 DP10:DP13 DX10:DX13 EF10:EF13 EN10:EN13 FD10:FD13 FL10:FL13 FT10:FT13 GB10:GB13 GJ10:GJ13 GR10:GR13 GZ10:GZ13 HH10:HH13 HP10:HP13 HX10:HX13 IF10:IF13 IN10:IN13 IV10:IV13 JD10:JD13 JL10:JL13 JT10:JT13 KB10:KB13 KJ10:KJ13 KR10:KR13 KZ10:KZ13 LH10:LH13 LP10:LP13 LX10:LX13 MF10:MF13 OG10:OG13 OO10:OO13 BL14 BT14 CB14 CJ14 CR14 CZ14 DH14 DP14 DX14 EF14 EN14 FD14 FL14 FT14 GB14 GJ14 GR14 GZ14 HH14 HP14 HX14 IF14 IN14 IV14 JD14 JL14 JT14 KB14 KJ14 KR14 KZ14 LH14 LP14 LX14 MF14 OG14 OO14 BL15 BT15 CB15 CJ15 CR15 CZ15 DH15 DP15 DX15 EF15 EN15 FD15 FL15 FT15 GB15 GJ15 GR15 GZ15 HH15 HP15 HX15 IF15 IN15 IV15 JD15 JL15 JT15 KB15 KJ15 KR15 KZ15 LH15 LP15 LX15 MF15 OG15 OO15 BL16:BL17 BT16:BT17 CB16:CB17 CJ16:CJ17 CR16:CR17 CZ16:CZ17 DH16:DH17 DP16:DP17 DX16:DX17 EF16:EF17 EN16:EN17 FD16:FD17 FL16:FL17 FT16:FT17 GB16:GB17 GJ16:GJ17 GR16:GR17 GZ16:GZ17 HH16:HH17 HP16:HP17 HX16:HX17 IF16:IF17 IN16:IN17 IV16:IV17 JD16:JD17 JL16:JL17 JT16:JT17 KB16:KB17 KJ16:KJ17 KR16:KR17 KZ16:KZ17 LH16:LH17 LP16:LP17 LX16:LX17 MF16:MF17 OG16:OG17 OO16:OO17 BL19:BL23 BT19:BT23 CB19:CB23 CJ19:CJ23 CR19:CR23 CZ19:CZ23 DH19:DH23 DP19:DP23 DX19:DX23 EF19:EF23 EN19:EN23 FD19:FD23 FL19:FL23 FT19:FT23 GB19:GB23 GJ19:GJ23 GR19:GR23 GZ19:GZ23 HH19:HH23 HP19:HP23 HX19:HX23 IF19:IF23 IN19:IN23 IV19:IV23 JD19:JD23 JL19:JL23 JT19:JT23 KB19:KB23 KJ19:KJ23 KR19:KR23 KZ19:KZ23 LH19:LH23 LP19:LP23 LX19:LX23 MF19:MF23 OG19:OG23 OO19:OO23 BL24 BT24 CB24 CJ24 CR24 CZ24 DH24 DP24 DX24 EF24 EN24 FD24 FL24 FT24 GB24 GJ24 GR24 GZ24 HH24 HP24 HX24 IF24 IN24 IV24 JD24 JL24 JT24 KB24 KJ24 KR24 KZ24 LH24 LP24 LX24 MF24 OG24 OO24 BL25 BT25 CB25 CJ25 CR25 CZ25 DH25 DP25 DX25 EF25 EN25 FD25 FL25 FT25 GB25 GJ25 GR25 GZ25 HH25 HP25 HX25 IF25 IN25 IV25 JD25 JL25 JT25 KB25 KJ25 KR25 KZ25 LH25 LP25 LX25 MF25 OG25 OO25 BL26 BT26 CB26 CJ26 CR26 CZ26 DH26 DP26 DX26 EF26 EN26 FD26 FL26 FT26 GB26 GJ26 GR26 GZ26 HH26 HP26 HX26 IF26 IN26 IV26 JD26 JL26 JT26 KB26 KJ26 KR26 KZ26 LH26 LP26 LX26 MF26 OG26 OO26 BL27:BL29 BT27:BT29 CB27:CB29 CJ27:CJ29 CR27:CR29 CZ27:CZ29 DH27:DH29 DP27:DP29 DX27:DX29 EF27:EF29 EN27:EN29 FD27:FD29 FL27:FL29 FT27:FT29 GB27:GB29 GJ27:GJ29 GR27:GR29 GZ27:GZ29 HH27:HH29 HP27:HP29 HX27:HX29 IF27:IF29 IN27:IN29 IV27:IV29 JD27:JD29 JL27:JL29 JT27:JT29 KB27:KB29 KJ27:KJ29 KR27:KR29 KZ27:KZ29 LH27:LH29 LP27:LP29 LX27:LX29 MF27:MF29 OG27:OG29 OO27:OO29 BL30:BL34 BT30:BT34 CB30:CB34 CJ30:CJ34 CR30:CR34 CZ30:CZ34 DH30:DH34 DP30:DP34 DX30:DX34 EF30:EF34 EN30:EN34 FD30:FD34 FL30:FL34 FT30:FT34 GB30:GB34 GJ30:GJ34 GR30:GR34 GZ30:GZ34 HH30:HH34 HP30:HP34 HX30:HX34 IF30:IF34 IN30:IN34 IV30:IV34 JD30:JD34 JL30:JL34 JT30:JT34 KB30:KB34 KJ30:KJ34 KR30:KR34 KZ30:KZ34 LH30:LH34 LP30:LP34 LX30:LX34 MF30:MF34 OG30:OG34 OO30:OO34 BL35:BL39 BT35:BT39 CB35:CB39 CJ35:CJ39 CR35:CR39 CZ35:CZ39 DH35:DH39 DP35:DP39 DX35:DX39 EF35:EF39 EN35:EN39 FD35:FD39 FL35:FL39 FT35:FT39 GB35:GB39 GJ35:GJ39 GR35:GR39 GZ35:GZ39 HH35:HH39 HP35:HP39 HX35:HX39 IF35:IF39 IN35:IN39 IV35:IV39 JD35:JD39 JL35:JL39 JT35:JT39 KB35:KB39 KJ35:KJ39 KR35:KR39 KZ35:KZ39 LH35:LH39 LP35:LP39 LX35:LX39 MF35:MF39 OG35:OG39 OO35:OO39 BL40:BL164 BT40:BT164 CB40:CB164 CJ40:CJ164 CR40:CR164 CZ40:CZ164 DH40:DH164 DP40:DP164 DX40:DX164 EF40:EF164 EN40:EN164 FD40:FD164 FL40:FL164 FT40:FT164 GB40:GB164 GJ40:GJ164 GR40:GR164 GZ40:GZ164 HH40:HH164 HP40:HP164 HX40:HX164 IF40:IF164 IN40:IN164 IV40:IV164 JD40:JD164 JL40:JL164 JT40:JT164 KB40:KB164 KJ40:KJ164 KR40:KR164 KZ40:KZ164 LH40:LH164 LP40:LP164 LX40:LX164 MF40:MF164 OG40:OG164 OO40:OO164">
    <cfRule type="cellIs" dxfId="425" priority="906" operator="between">
      <formula>-3</formula>
      <formula>-0.1</formula>
    </cfRule>
    <cfRule type="cellIs" dxfId="426" priority="907" operator="between">
      <formula>0.1</formula>
      <formula>3</formula>
    </cfRule>
  </conditionalFormatting>
  <conditionalFormatting sqref="BM1:BM13 BU1:BU13 CC1:CC13 CK1:CK13 CS1:CS13 DA1:DA13 DI1:DI13 DQ1:DQ13 DY1:DY13 EG1:EG13 EO1:EO13 EW1:EW13 FE1:FF13 FM1:FM13 FU1:FU13 GC1:GC13 GK1:GK13 GS1:GS13 HA1:HA13 HI1:HI13 HQ1:HQ13 HY1:HY13 IG1:IG13 IO1:IO13 IW1:IW13 JE1:JE13 JM1:JN13 JU1:JV13 KC1:KD13 KK1:KK13 KS1:KS13 LA1:LA13 LI1:LI13 LQ1:LQ13 LY1:LY13 MG1:MG13 MY1:MY13 NH1:NH13 OH1:OH13 OP1:OP13 BM14 BU14 CC14 CK14 CS14 DA14 DI14 DQ14 DY14 EG14 EO14 EW14 FE14:FF14 FM14 FU14 GC14 GK14 GS14 HA14 HI14 HQ14 HY14 IG14 IO14 IW14 JE14 JM14:JN14 JU14:JV14 KC14:KD14 KK14 KS14 LA14 LI14 LQ14 LY14 MG14 MY14 NH14 OH14 OP14 BM15 BU15 CC15 CK15 CS15 DA15 DI15 DQ15 DY15 EG15 EO15 EW15 FE15:FF15 FM15 FU15 GC15 GK15 GS15 HA15 HI15 HQ15 HY15 IG15 IO15 IW15 JE15 JM15:JN15 JU15:JV15 KC15:KD15 KK15 KS15 LA15 LI15 LQ15 LY15 MG15 MY15 NH15 OH15 OP15 BM16:BM17 BU16:BU17 CC16:CC17 CK16:CK17 CS16:CS17 DA16:DA17 DI16:DI17 DQ16:DQ17 DY16:DY17 EG16:EG17 EO16:EO17 EW16:EW17 FE16:FF17 FM16:FM17 FU16:FU17 GC16:GC17 GK16:GK17 GS16:GS17 HA16:HA17 HI16:HI17 HQ16:HQ17 HY16:HY17 IG16:IG17 IO16:IO17 IW16:IW17 JE16:JE17 JM16:JN17 JU16:JV17 KC16:KD17 KK16:KK17 KS16:KS17 LA16:LA17 LI16:LI17 LQ16:LQ17 LY16:LY17 MG16:MG17 MY16:MY17 NH16:NH17 OH16:OH17 OP16:OP17 BM19:BM23 BU19:BU23 CC19:CC23 CK19:CK23 CS19:CS23 DA19:DA23 DI19:DI23 DQ19:DQ23 DY19:DY23 EG19:EG23 EO19:EO23 EW19:EW23 FE19:FF23 FM19:FM23 FU19:FU23 GC19:GC23 GK19:GK23 GS19:GS23 HA19:HA23 HI19:HI23 HQ19:HQ23 HY19:HY23 IG19:IG23 IO19:IO23 IW19:IW23 JE19:JE23 JM19:JN23 JU19:JV23 KC19:KD23 KK19:KK23 KS19:KS23 LA19:LA23 LI19:LI23 LQ19:LQ23 LY19:LY23 MG19:MG23 MY19:MY23 NH19:NH23 OH19:OH23 OP19:OP23 BM24 BU24 CC24 CK24 CS24 DA24 DI24 DQ24 DY24 EG24 EO24 EW24 FE24:FF24 FM24 FU24 GC24 GK24 GS24 HA24 HI24 HQ24 HY24 IG24 IO24 IW24 JE24 JM24:JN24 JU24:JV24 KC24:KD24 KK24 KS24 LA24 LI24 LQ24 LY24 MG24 MY24 NH24 OH24 OP24 BM25:BM61 BU25:BU61 CC25:CC61 CK25:CK61 CS25:CS61 DA25:DA61 DI25:DI61 DQ25:DQ61 DY25:DY61 EG25:EG61 EO25:EO61 EW25:EW61 FE25:FF61 FM25:FM61 FU25:FU61 GC25:GC61 GK25:GK61 GS25:GS61 HA25:HA61 HI25:HI61 HQ25:HQ61 HY25:HY61 IG25:IG61 IO25:IO61 IW25:IW61 JE25:JE61 JM25:JN61 JU25:JV61 KC25:KD61 KK25:KK61 KS25:KS61 LA25:LA61 LI25:LI61 LQ25:LQ61 LY25:LY61 MG25:MG61 MY25:MY61 NH25:NH61 OH25:OH61 OP25:OP61 BM62:BM70 BU62:BU70 CC62:CC70 CK62:CK70 CS62:CS70 DA62:DA70 DI62:DI70 DQ62:DQ70 DY62:DY70 EG62:EG70 EO62:EO70 EW62:EW70 FE62:FE70 FM62:FM70 FU62:FU70 GC62:GC70 GK62:GK70 GS62:GS70 HA62:HA70 HI62:HI70 HQ62:HQ70 HY62:HY70 IG62:IG70 IO62:IO70 IW62:IW70 JE62:JE70 JM62:JM70 JU62:JU70 KC62:KC70 KK62:KK70 KS62:KS70 LA62:LA70 LI62:LI70 LQ62:LQ70 LY62:LY70 MG62:MG70 MY62:MY70 NH62:NH70 OH62:OH70 OP62:OP70 BM71:BM72 BU71:BW72 CC71:CC72 CK71:CK72 CS71:CS72 DA71:DA72 DI71:DI72 DQ71:DQ72 DY71:DY72 EG71:EG72 EO71:EO72 EW71:EW72 FE71:FE72 FM71:FM72 FU71:FU72 GC71:GC72 GK71:GK72 GS71:GS72 HA71:HA72 HI71:HI72 HQ71:HQ72 HY71:HY72 IG71:IG72 IO71:IO72 IW71:IW72 JE71:JE72 JM71:JM72 JU71:JU72 KC71:KC72 KK71:KK72 KS71:KS72 LA71:LA72 LI71:LI72 LQ71:LQ72 LY71:LY72 MG71:MG72 MY71:MY72 NH71:NH72 OH71:OH72 OP71:OP72 BM73:BM118 BU73:BU118 CC73:CC118 CK73:CK118 CS73:CS118 DA73:DA118 DI73:DI118 DQ73:DQ118 DY73:DY118 EG73:EG118 EO73:EO118 EW73:EW118 FE73:FE118 FM73:FM118 FU73:FU118 GC73:GC118 GK73:GK118 GS73:GS118 HA73:HA118 HI73:HI118 HQ73:HQ118 HY73:HY118 IG73:IG118 IO73:IO118 IW73:IW118 JE73:JE118 JM73:JM118 JU73:JU118 KC73:KC118 KK73:KK118 KS73:KS118 LA73:LA118 LI73:LI118 LQ73:LQ118 LY73:LY118 MG73:MG118 MY73:MY118 NH73:NH118 OH73:OH118 OP73:OP118 BM119:BM121 BU119:BU121 CC119:CC121 CK119:CK121 CS119:CS121 DA119:DA121 DI119:DI121 DQ119:DQ121 DY119:DY121 EG119:EG121 EO119:EO121 EW119:EW121 FE119:FF121 FM119:FM121 FU119:FU121 GC119:GC121 GK119:GK121 GS119:GS121 HA119:HA121 HI119:HI121 HQ119:HQ121 HY119:HY121 IG119:IG121 IO119:IO121 IW119:IW121 JE119:JE121 JM119:JM121 JU119:JU121 KC119:KC121 KK119:KK121 KS119:KS121 LA119:LA121 LI119:LI121 LQ119:LQ121 LY119:LY121 MG119:MG121 MY119:MY121 NH119:NH121 OH119:OH121 OP119:OP121 BM122:BM125 BU122:BU125 CC122:CC125 CK122:CK125 CS122:CS125 DA122:DA125 DI122:DI125 DQ122:DQ125 DY122:DY125 EG122:EG125 EO122:EO125 EW122:EW125 FE122:FF125 FM122:FM125 FU122:FU125 GC122:GC125 GK122:GK125 GS122:GS125 HA122:HA125 HI122:HI125 HQ122:HQ125 HY122:HY125 IG122:IG125 IO122:IO125 IW122:IW125 JE122:JE125 JM122:JM125 JU122:JV125 KC122:KC125 KK122:KK125 KS122:KS125 LA122:LA125 LI122:LI125 LQ122:LQ125 LY122:LY125 MG122:MG125 MY122:MY125 NH122:NH125 OH122:OH125 OP122:OP125 BM126:BM134 BU126:BU134 CC126:CC134 CK126:CK134 CS126:CS134 DA126:DA134 DI126:DI134 DQ126:DQ134 DY126:DY134 EG126:EG134 EO126:EO134 EW126:EW134 FE126:FF134 FM126:FM134 FU126:FU134 GC126:GC134 GK126:GK134 GS126:GS134 HA126:HA134 HI126:HI134 HQ126:HQ134 HY126:HY134 IG126:IG134 IO126:IO134 IW126:IW134 JE126:JE134 JM126:JN134 JU126:JV134 KC126:KC134 KK126:KK134 KS126:KS134 LA126:LA134 LI126:LI134 LQ126:LQ134 LY126:LY134 MG126:MG134 MY126:MY134 NH126:NH134 OH126:OH134 OP126:OP134 BM135:BM164 BU135:BU164 CC135:CC164 CK135:CK164 CS135:CS164 DA135:DA164 DI135:DI164 DQ135:DQ164 DY135:DY164 EG135:EG164 EO135:EO164 EW135:EW164 FE135:FF164 FM135:FM164 FU135:FU164 GC135:GC164 GK135:GK164 GS135:GS164 HA135:HA164 HI135:HI164 HQ135:HQ164 HY135:HY164 IG135:IG164 IO135:IO164 IW135:IW164 JE135:JE164 JM135:JN164 JU135:JV164 KC135:KD164 KK135:KK164 KS135:KS164 LA135:LA164 LI135:LI164 LQ135:LQ164 LY135:LY164 MG135:MG164 MY135:MY164 NH135:NH164 OH135:OH164 OP135:OP164">
    <cfRule type="cellIs" dxfId="425" priority="533" operator="between">
      <formula>-0.08</formula>
      <formula>-5</formula>
    </cfRule>
    <cfRule type="cellIs" dxfId="426" priority="534" operator="between">
      <formula>0.08</formula>
      <formula>20</formula>
    </cfRule>
  </conditionalFormatting>
  <conditionalFormatting sqref="BM1:BN1 BU1:BV1 CC1:CD1 CK1:CL1 CS1:CT1 DA1:DB1 DI1:DJ1 DQ1:DR1 DY1:DZ1 EG1:EH1 EO1:EP1 EW1:EX1 FE1:FF1 FM1:FN1 FU1:FV1 GC1:GD1 GK1:GL1 GS1:GT1 HA1:HB1 HI1:HJ1 HQ1:HR1 HY1:HZ1 IG1:IH1 IO1:IP1 IW1:IX1 JE1:JF1 JM1:JN1 JU1:JV1 KC1:KD1 KK1:KL1 KS1:KT1 LA1:LB1 LI1:LJ1 LQ1:LR1 LY1:LZ1 MG1:MI1 MQ1:MR1 MZ1:NA1 NI1:NK1 NR1:NS1 OH1:OI1 BM2:BN5 BU2:BU5 CC2:CC5 CK2:CK5 CS2:CS5 DA2:DB5 DI2:DI5 DQ2:DQ5 DY2:DY5 EG2:EG5 EO2:EO5 EW2:EW5 FE2:FF5 FM2:FN5 FU2:FV5 GC2:GD5 GK2:GL5 GS2:GT5 HA2:HB5 HI2:HJ5 HQ2:HR5 HY2:HZ5 IG2:IH5 IO2:IP5 IW2:IX5 JE2:JF5 JM2:JN5 JU2:JV5 KC2:KD5 KK2:KL5 KS2:KT5 LA2:LB5 LI2:LJ5 LQ2:LR5 LY2:LZ5 MG2:MI5 MQ2:MR5 MZ2:NA5 NI2:NK5 NR2:NS5 OH2:OI5 BM6:BO6 BU6 BW6 CC6 CE6 CK6 CM6 CS6 CU6 DA6:DC6 DI6 DK6 DQ6 DS6 DY6 EA6 EG6 EI6 EO6 EQ6 EW6 EY6 FE6:FG6 FM6:FO6 FU6:FW6 GC6:GE6 GK6:GM6 GS6:GU6 HA6:HC6 HI6:HK6 HQ6:HS6 HY6:IA6 IG6:II6 IO6:IQ6 IW6:IY6 JE6:JG6 JM6:JN6 JU6:JW6 KC6:KE6 KK6:KM6 KS6:KU6 LA6:LC6 LI6:LK6 LQ6:LS6 LY6:LZ6 MG6:MJ6 MQ6:MS6 MZ6:NA6 NI6:NK6 NR6:NT6 OH6:OJ6 BM7:BO9 BU7:BU9 BW7:BW9 CC7:CC9 CE7:CE9 CK7:CK9 CM7:CM9 CS7:CS9 CU7:CU9 DA7:DC9 DI7:DI9 DK7:DK9 DQ7:DQ9 DS7:DS9 DY7:DY9 EA7:EA9 EG7:EG9 EI7:EI9 EO7:EO9 EQ7:EQ9 EW7:EW9 EY7:EY9 FE7:FG9 FM7:FO9 FU7:FW9 GC7:GE9 GK7:GM9 GS7:GU9 HA7:HC9 HI7:HK9 HQ7:HS9 HY7:IA9 IG7:II9 IO7:IQ9 IW7:IY9 JE7:JG9 JM7:JO9 JU7:JW9 KC7:KE9 KK7:KM9 KS7:KU9 LA7:LC9 LI7:LK9 LQ7:LS9 LY7:MA9 MG7:MJ9 MQ7:MS9 MZ7:NA9 NI7:NK9 NR7:NT9 OH7:OJ9 BM10:BO12 BU10:BU12 BW10:BW12 CC10:CC12 CE10:CE12 CK10:CK12 CM10:CM12 CS10:CS12 CU10:CU12 DA10:DC12 DI10:DI12 DK10:DK12 DQ10:DQ12 DS10:DS12 DY10:DY12 EA10:EA12 EG10:EG12 EI10:EI12 EO10:EO12 EQ10:EQ12 EW10:EW12 EY10:EY12 FE10:FG12 FM10:FO12 FU10:FW12 GC10:GE12 GK10:GM12 GS10:GU12 HA10:HC12 HI10:HK12 HQ10:HS12 HY10:IA12 IG10:II12 IO10:IQ12 IW10:IY12 JE10:JG12 JM10:JO12 JU10:JW12 KC10:KE12 KK10:KM12 KS10:KU12 LA10:LC12 LI10:LK12 LQ10:LS12 LY10:MA12 MG10:MJ12 MQ10:MR12 MZ10:NA12 NI10:NK12 NR10:NR12 OH10:OJ12 BM13:BN14 BU13:BU14 CC13:CC14 CK13:CK14 CS13:CS14 DA13:DB14 DI13:DI14 DQ13:DQ14 DY13:DY14 EG13:EG14 EO13:EO14 EW13:EW14 FE13:FF14 FM13:FN14 FU13:FV14 GC13:GD14 GK13:GL14 GS13:GT14 HA13:HB14 HI13:HJ14 HQ13:HR14 HY13:HZ14 IG13:IH14 IO13:IP14 IW13:IX14 JE13:JF14 JM13:JN14 JU13:JV14 KC13:KD14 KK13:KL14 KS13:KT14 LA13:LB14 LI13:LJ14 LQ13:LR14 LY13:LZ14 MG13:MI14 MQ13:MR14 MZ13:NA14 NI13:NK14 NR13:NR14 OH13:OI14 BM15:BN15 BU15 CC15 CK15 CS15 DA15:DB15 DI15 DQ15 DY15 EG15 EO15 EW15 FE15:FF15 FM15:FN15 FU15:FV15 GC15:GD15 GK15:GL15 GS15:GT15 HA15:HB15 HI15:HJ15 HQ15:HR15 HY15:HZ15 IG15:IH15 IO15:IP15 IW15:IX15 JE15:JF15 JM15:JN15 JU15:JV15 KC15:KD15 KK15:KL15 KS15:KT15 LA15:LB15 LI15:LJ15 LQ15:LR15 LY15:LZ15 MG15:MI15 MQ15:MR15 MZ15:NA15 NI15:NK15 NR15 OH15:OI15 BM16:BN17 BU16:BU17 CC16:CC17 CK16:CK17 CS16:CS17 DA16:DB17 DI16:DI17 DQ16:DQ17 DY16:DY17 EG16:EG17 EO16:EO17 EW16:EW17 FE16:FF17 FM16:FN17 FU16:FV17 GC16:GD17 GK16:GL17 GS16:GT17 HA16:HB17 HI16:HJ17 HQ16:HR17 HY16:HZ17 IG16:IH17 IO16:IP17 IW16:IX17 JE16:JF17 JM16:JN17 JU16:JV17 KC16:KD17 KK16:KL17 KS16:KT17 LA16:LB17 LI16:LJ17 LQ16:LR17 LY16:LZ17 MG16:MI17 MQ16:MR17 MZ16:NA17 NI16:NK17 NR16:NR17 OH16:OI17 BM19:BN25 BU19:BU25 CC19:CC25 CK19:CK25 CS19:CS25 DA19:DB25 DI19:DI25 DQ19:DQ25 DY19:DY25 EG19:EG25 EO19:EO25 EW19:EW25 FE19:FF25 FM19:FN25 FU19:FV25 GC19:GD25 GK19:GL25 GS19:GT25 HA19:HB25 HI19:HJ25 HQ19:HR25 HY19:HZ25 IG19:IH25 IO19:IP25 IW19:IX25 JE19:JF25 JM19:JN25 JU19:JV25 KC19:KD25 KK19:KL25 KS19:KT25 LA19:LB25 LI19:LJ25 LQ19:LR25 LY19:LZ25 MG19:MI25 MQ19:MR25 MZ19:NA25 NI19:NK25 NR19:NR25 OH19:OI25 BM26:BO61 BU26:BW61 CC26:CE61 CK26:CM61 CS26:CU61 DA26:DC61 DI26:DK61 DQ26:DS61 DY26:EA61 EG26:EI61 EO26:EQ61 EW26:EY61 FE26:FG61 FM26:FO61 FU26:FW61 GC26:GE61 GK26:GM61 GS26:GU61 HA26:HC61 HI26:HK61 HQ26:HS61 HY26:IA61 IG26:II61 IO26:IQ61 IW26:IY61 JE26:JG61 JM26:JO61 JU26:JW61 KC26:KE61 KK26:KM61 KS26:KU61 LA26:LC61 LI26:LK61 LQ26:LS61 LY26:MA61 MG26:MJ61 MQ26:MR61 MZ26:NA61 NI26:NK61 NR26:NR61 OH26:OJ61 BM62:BO118 BU62:BW118 CC62:CE118 CK62:CM118 CS62:CU118 DA62:DC118 DI62:DK118 DQ62:DS118 DY62:EA118 EG62:EI118 EO62:EQ118 EW62:EY118 FE62:FF118 FM62:FO118 FU62:FW118 GC62:GE118 GK62:GM118 GS62:GU118 HA62:HC118 HI62:HK118 HQ62:HS118 HY62:IA118 IG62:II118 IO62:IQ118 IW62:IY118 JE62:JG118 JM62:JN118 JU62:JV118 KC62:KD118 KK62:KM118 KS62:KU118 LA62:LC118 LI62:LK118 LQ62:LS118 LY62:MA118 MG62:MJ118 MQ62:MR118 MZ62:NA118 NI62:NK118 NR62:NR118 OH62:OJ118 BM119:BO121 BU119:BW121 CC119:CE121 CK119:CM121 CS119:CU121 DA119:DC121 DI119:DK121 DQ119:DS121 DY119:EA121 EG119:EI121 EO119:EQ121 EW119:EY121 FE119:FG121 FM119:FO121 FU119:FW121 GC119:GE121 GK119:GM121 GS119:GU121 HA119:HC121 HI119:HK121 HQ119:HS121 HY119:IA121 IG119:II121 IO119:IQ121 IW119:IY121 JE119:JG121 JM119:JN121 JU119:JV121 KC119:KD121 KK119:KM121 KS119:KU121 LA119:LC121 LI119:LK121 LQ119:LS121 LY119:MA121 MG119:MJ121 MQ119:MR121 MZ119:NA121 NI119:NK121 NR119:NR121 OH119:OJ121 BM122:BO125 BU122:BW125 CC122:CE125 CK122:CM125 CS122:CU125 DA122:DC125 DI122:DK125 DQ122:DS125 DY122:EA125 EG122:EI125 EO122:EQ125 EW122:EY125 FE122:FG125 FM122:FO125 FU122:FW125 GC122:GE125 GK122:GM125 GS122:GU125 HA122:HC125 HI122:HK125 HQ122:HS125 HY122:IA125 IG122:II125 IO122:IQ125 IW122:IY125 JE122:JG125 JM122:JN125 JU122:JW125 KC122:KD125 KK122:KM125 KS122:KU125 LA122:LC125 LI122:LK125 LQ122:LS125 LY122:MA125 MG122:MJ125 MQ122:MR125 MZ122:NA125 NI122:NK125 NR122:NR125 OH122:OJ125 BM126:BO128 BU126:BW128 CC126:CE128 CK126:CM128 CS126:CU128 DA126:DC128 DI126:DK128 DQ126:DS128 DY126:EA128 EG126:EI128 EO126:EQ128 EW126:EY128 FE126:FG128 FM126:FO128 FU126:FW128 GC126:GE128 GK126:GM128 GS126:GU128 HA126:HC128 HI126:HK128 HQ126:HS128 HY126:IA128 IG126:II128 IO126:IQ128 IW126:IY128 JE126:JG128 JM126:JO128 JU126:JW128 KC126:KD128 KK126:KM128 KS126:KU128 LA126:LC128 LI126:LK128 LQ126:LS128 LY126:MA128 MG126:MJ128 MQ126:MR128 MZ126:NA128 NI126:NK128 NR126:NR128 OH126:OJ128 BM129:BO132 BU129:BW132 CC129:CE132 CK129:CM132 CS129:CU132 DA129:DC132 DI129:DK132 DQ129:DS132 DY129:EA132 EG129:EI132 EO129:EQ132 EW129:EY132 FE129:FG132 FM129:FO132 FU129:FW132 GC129:GE132 GK129:GM132 GS129:GU132 HA129:HC132 HI129:HK132 HQ129:HS132 HY129:IA132 IG129:II132 IO129:IQ132 IW129:IY132 JE129:JG132 JM129:JO132 JU129:JW132 KC129:KD132 KK129:KM132 KS129:KU132 LA129:LC132 LI129:LK132 LQ129:LS132 LY129:MA132 MG129:MJ132 MQ129:MR132 MZ129:NA132 NI129:NK132 NR129:NT132 OH129:OJ132 BM133:BO134 BU133:BW134 CC133:CE134 CK133:CM134 CS133:CU134 DA133:DC134 DI133:DK134 DQ133:DS134 DY133:EA134 EG133:EI134 EO133:EQ134 EW133:EY134 FE133:FG134 FM133:FO134 FU133:FW134 GC133:GE134 GK133:GM134 GS133:GU134 HA133:HC134 HI133:HK134 HQ133:HS134 HY133:IA134 IG133:II134 IO133:IQ134 IW133:IY134 JE133:JG134 JM133:JO134 JU133:JW134 KC133:KD134 KK133:KM134 KS133:KU134 LA133:LC134 LI133:LK134 LQ133:LS134 LY133:MA134 MG133:MJ134 MQ133:MS134 MZ133:NA134 NI133:NK134 NR133:NT134 OH133:OJ134 BM135:BO164 BU135:BW164 CC135:CE164 CK135:CM164 CS135:CU164 DA135:DC164 DI135:DK164 DQ135:DS164 DY135:EA164 EG135:EI164 EO135:EQ164 EW135:EY164 FE135:FG164 FM135:FO164 FU135:FW164 GC135:GE164 GK135:GM164 GS135:GU164 HA135:HC164 HI135:HK164 HQ135:HS164 HY135:IA164 IG135:II164 IO135:IQ164 IW135:IY164 JE135:JG164 JM135:JO164 JU135:JW164 KC135:KE164 KK135:KM164 KS135:KU164 LA135:LC164 LI135:LK164 LQ135:LS164 LY135:MA164 MG135:MJ164 MQ135:MS164 MZ135:NA164 NI135:NK164 NR135:NT164 OH135:OJ164">
    <cfRule type="cellIs" dxfId="427" priority="599" operator="lessThan">
      <formula>0</formula>
    </cfRule>
    <cfRule type="cellIs" dxfId="428" priority="600" operator="greaterThan">
      <formula>0</formula>
    </cfRule>
  </conditionalFormatting>
  <conditionalFormatting sqref="BM1:BM4 BM10:BM17 BM19:BM164">
    <cfRule type="cellIs" dxfId="429" priority="902" operator="between">
      <formula>1</formula>
      <formula>30</formula>
    </cfRule>
    <cfRule type="cellIs" dxfId="430" priority="903" operator="between">
      <formula>1</formula>
      <formula>50</formula>
    </cfRule>
    <cfRule type="cellIs" dxfId="428" priority="904" operator="between">
      <formula>1</formula>
      <formula>50</formula>
    </cfRule>
    <cfRule type="cellIs" dxfId="429" priority="905" operator="between">
      <formula>1</formula>
      <formula>50</formula>
    </cfRule>
  </conditionalFormatting>
  <conditionalFormatting sqref="BM1 BU1 CC1 CK1 CS1 DA1 DI1 DQ1 DY1 EG1:EH1 EO1:EP1 EV1:EX1 FE1:FF1 FM1:FN1 FU1 GC1 GK1 GS1 HA1 HI1 HQ1 HY1 IG1 IO1 BM2 BU2 CC2 CK2 CS2 DA2 DI2 DQ2 DY2 EG2 EO2 EW2 FE2:FF2 FM2:FN2 FU2 GC2 GK2 GS2 HA2 HI2 HQ2 HY2 IG2 IO2 BM3:BM4 BU3:BU4 CC3:CC4 CK3:CK4 CS3:CS4 DA3:DA4 DI3:DI4 DQ3:DQ4 DY3:DY4 EG3:EG4 EO3:EO4 EV3:EW4 FE3:FF4 FM3:FN4 FU3:FU4 GC3:GC4 GK3:GK4 GS3:GS4 HA3:HA4 HI3:HI4 HQ3:HQ4 HY3:HY4 IG3:IG4 IO3:IO4 BM10:BM12 BU10:BU12 CC10:CC12 CK10:CK12 CS10:CS12 DA10:DA12 DI10:DI12 DQ10:DQ12 DY10:DY12 EG10:EG12 EI10:EI12 EO10:EO12 EQ10:EQ12 EW10:EW12 EY10:EY12 FE10:FF12 FM10:FO12 FU10:FU12 GC10:GC12 GK10:GK12 GS10:GS12 HA10:HA12 HI10:HI12 HQ10:HQ12 HY10:HY12 IG10:IG12 IO10:IO12 BM13 BU13 CC13 CK13 CS13 DA13 DI13 DQ13 DY13 EG13 EO13 EW13 FE13:FF13 FM13:FN13 FU13 GC13 GK13 GS13 HA13 HI13 HQ13 HY13 IG13 IO13 BM14 BU14 CC14 CK14 CS14 DA14 DI14 DQ14 DY14 EG14 EO14 EW14 FE14:FF14 FM14:FN14 FU14 GC14 GK14 GS14 HA14 HI14 HQ14 HY14 IG14 IO14 BM15 BU15 CC15 CK15 CS15 DA15 DI15 DQ15 DY15 EG15 EO15 EW15 FE15:FF15 FM15:FN15 FU15 GC15 GK15 GS15 HA15 HI15 HQ15 HY15 IG15 IO15 BM16:BM17 BU16:BU17 CC16:CC17 CK16:CK17 CS16:CS17 DA16:DA17 DI16:DI17 DQ16:DQ17 DY16:DY17 EG16:EG17 EO16:EO17 EW16:EW17 FE16:FF17 FM16:FN17 FU16:FU17 GC16:GC17 GK16:GK17 GS16:GS17 HA16:HA17 HI16:HI17 HQ16:HQ17 HY16:HY17 IG16:IG17 IO16:IO17 BM19:BM23 BU19:BU23 CC19:CC23 CK19:CK23 CS19:CS23 DA19:DA23 DI19:DI23 DQ19:DQ23 DY19:DY23 EG19:EG23 EO19:EO23 EW19:EW23 FE19:FF23 FM19:FN23 FU19:FU23 GC19:GC23 GK19:GK23 GS19:GS23 HA19:HA23 HI19:HI23 HQ19:HQ23 HY19:HY23 IG19:IG23 IO19:IO23 BM24 BU24 CC24 CK24 CS24 DA24 DI24 DQ24 DY24 EG24 EO24 EW24 FE24:FF24 FM24:FN24 FU24 GC24 GK24 GS24 HA24 HI24 HQ24 HY24 IG24 IO24 BM25 BU25 CC25 CK25 CS25 DA25 DI25 DQ25 DY25 EG25 EO25 EW25 FE25:FF25 FM25:FN25 FU25 GC25 GK25 GS25 HA25 HI25 HQ25 HY25 IG25 IO25 BM26 BU26 CC26 CK26 CS26 DA26 DI26 DQ26 DY26 EG26:EI26 EO26:EQ26 EW26:EY26 FE26:FF26 FM26:FO26 FU26 GC26 GK26 GS26 HA26 HI26 HQ26 HY26 IG26 IO26 BM27:BM29 BU27:BU29 CC27:CC29 CK27:CK29 CS27:CS29 DA27:DA29 DI27:DI29 DQ27:DQ29 DY27:DY29 EG27:EI29 EO27:EQ29 EW27:EY29 FE27:FF29 FM27:FO29 FU27:FU29 GC27:GC29 GK27:GK29 GS27:GS29 HA27:HA29 HI27:HI29 HQ27:HQ29 HY27:HY29 IG27:IG29 IO27:IO29 BM30:BM34 BU30:BU34 CC30:CC34 CK30:CK34 CS30:CS34 DA30:DA34 DI30:DI34 DQ30:DQ34 DY30:DY34 EG30:EI34 EO30:EQ34 EW30:EY34 FE30:FF34 FM30:FO34 FU30:FU34 GC30:GC34 GK30:GK34 GS30:GS34 HA30:HA34 HI30:HI34 HQ30:HQ34 HY30:HY34 IG30:IG34 IO30:IO34 BM35:BM39 BU35:BU39 CC35:CC39 CK35:CK39 CS35:CS39 DA35:DA39 DI35:DI39 DQ35:DQ39 DY35:DY39 EG35:EI39 EO35:EQ39 EW35:EY39 FE35:FF39 FM35:FO39 FU35:FU39 GC35:GC39 GK35:GK39 GS35:GS39 HA35:HA39 HI35:HI39 HQ35:HQ39 HY35:HY39 IG35:IG39 IO35:IO39 BM40:BM49 BU40:BU49 CC40:CC49 CK40:CK49 CS40:CS49 DA40:DA49 DI40:DI49 DQ40:DQ49 DY40:DY49 EG40:EI49 EO40:EQ49 EW40:EY49 FE40:FF49 FM40:FO49 FU40:FU49 GC40:GC49 GK40:GK49 GS40:GS49 HA40:HA49 HI40:HI49 HQ40:HQ49 HY40:HY49 IG40:IG49 IO40:IO49 BM50 BU50 CC50 CK50 CS50 DA50 DI50 DQ50 DY50 EG50:EI50 EO50:EQ50 EW50:EY50 FE50:FF50 FM50:FO50 FU50 GC50 GK50 GS50 HA50 HI50 HQ50 HY50 IG50 IO50 BM51:BM53 BU51:BU53 CC51:CC53 CK51:CK53 CS51:CS53 DA51:DA53 DI51:DI53 DQ51:DQ53 DY51:DY53 EG51:EI53 EO51:EQ53 EW51:EY53 FE51:FF53 FM51:FO53 FU51:FU53 GC51:GC53 GK51:GK53 GS51:GS53 HA51:HA53 HI51:HI53 HQ51:HQ53 HY51:HY53 IG51:IG53 IO51:IO53 BM54:BM57 BU54:BU57 CC54:CC57 CK54:CK57 CS54:CS57 DA54:DA57 DI54:DI57 DQ54:DQ57 DY54:DY57 EG54:EI57 EO54:EQ57 EW54:EY57 FE54:FF57 FM54:FO57 FU54:FU57 GC54:GC57 GK54:GK57 GS54:GS57 HA54:HA57 HI54:HI57 HQ54:HQ57 HY54:HY57 IG54:IG57 IO54:IO57 BM58:BM61 BU58:BU61 CC58:CC61 CK58:CK61 CS58:CS61 DA58:DA61 DI58:DI61 DQ58:DQ61 DY58:DY61 EG58:EI61 EO58:EQ61 EW58:EY61 FE58:FF61 FM58:FO61 FU58:FU61 GC58:GC61 GK58:GK61 GS58:GS61 HA58:HA61 HI58:HI61 HQ58:HQ61 HY58:HY61 IG58:IG61 IO58:IO61 BM62 BU62 CC62 CK62 CS62 DA62 DI62 DQ62 DY62 EG62:EI62 EO62:EQ62 EW62:EY62 FE62 FM62:FO62 FU62 GC62 GK62 GS62 HA62 HI62 HQ62 HY62 IG62 IO62 BM63:BM67 BU63:BU67 CC63:CC67 CK63:CK67 CS63:CS67 DA63:DA67 DI63:DI67 DQ63:DQ67 DY63:DY67 EG63:EI67 EO63:EQ67 EW63:EY67 FE63:FE67 FM63:FO67 FU63:FU67 GC63:GC67 GK63:GK67 GS63:GS67 HA63:HA67 HI63:HI67 HQ63:HQ67 HY63:HY67 IG63:IG67 IO63:IO67 BM68:BM70 BU68:BU70 CC68:CC70 CK68:CK70 CS68:CS70 DA68:DA70 DI68:DI70 DQ68:DQ70 DY68:DY70 EG68:EI70 EO68:EQ70 EW68:EY70 FE68:FE70 FM68:FO70 FU68:FU70 GC68:GC70 GK68:GK70 GS68:GS70 HA68:HA70 HI68:HI70 HQ68:HQ70 HY68:HY70 IG68:IG70 IO68:IO70 BM71 BU71:BW71 CC71 CK71 CS71 DA71 DI71 DQ71 DY71 EG71:EI71 EO71:EQ71 EW71:EY71 FE71 FM71:FO71 FU71 GC71 GK71 GS71 HA71 HI71 HQ71 HY71 IG71 IO71 BM72 BU72:BW72 CC72 CK72 CS72 DA72 DI72 DQ72 DY72 EG72:EI72 EO72:EQ72 EW72:EY72 FE72 FM72:FO72 FU72 GC72 GK72 GS72 HA72 HI72 HQ72 HY72 IG72 IO72 BM73:BM77 BU73:BU77 CC73:CC77 CK73:CK77 CS73:CS77 DA73:DA77 DI73:DI77 DQ73:DQ77 DY73:DY77 EG73:EI77 EO73:EQ77 EW73:EY77 FE73:FE77 FM73:FO77 FU73:FU77 GC73:GC77 GK73:GK77 GS73:GS77 HA73:HA77 HI73:HI77 HQ73:HQ77 HY73:HY77 IG73:IG77 IO73:IO77 BM78:BM94 BU78:BU94 CC78:CC94 CK78:CK94 CS78:CS94 DA78:DA94 DI78:DI94 DQ78:DQ94 DY78:DY94 EG78:EI94 EO78:EQ94 EW78:EY94 FE78:FE94 FM78:FO94 FU78:FU94 GC78:GC94 GK78:GK94 GS78:GS94 HA78:HA94 HI78:HI94 HQ78:HQ94 HY78:HY94 IG78:IG94 IO78:IO94 BM95:BM118 BU95:BU118 CC95:CC118 CK95:CK118 CS95:CS118 DA95:DA118 DI95:DI118 DQ95:DQ118 DY95:DY118 EG95:EI118 EO95:EQ118 EV95:EY118 FE95:FE118 FM95:FO118 FU95:FU118 GC95:GC118 GK95:GK118 GS95:GS118 HA95:HA118 HI95:HI118 HQ95:HQ118 HY95:HY118 IG95:IG118 IO95:IO118 BM119:BM164 BU119:BU164 CC119:CC164 CK119:CK164 CS119:CS164 DA119:DA164 DI119:DI164 DQ119:DQ164 DY119:DY164 EG119:EI164 EO119:EQ164 EV119:EY164 FE119:FF164 FM119:FO164 FU119:FU164 GC119:GC164 GK119:GK164 GS119:GS164 HA119:HA164 HI119:HI164 HQ119:HQ164 HY119:HY164 IG119:IG164 IO119:IO164">
    <cfRule type="cellIs" dxfId="427" priority="900" operator="lessThan">
      <formula>0</formula>
    </cfRule>
    <cfRule type="cellIs" dxfId="428" priority="901" operator="greaterThan">
      <formula>0</formula>
    </cfRule>
  </conditionalFormatting>
  <conditionalFormatting sqref="BN1 BV1 CD1 CL1 CT1 DB1 DJ1 DR1 DZ1 EH1 EP1 EX1 FN1 FV1 GD1 GL1 GT1 HB1 HJ1 HR1 HZ1 IH1 IP1 IX1 JF1 KL1 KT1 LB1 LJ1 LR1 LZ1 MH1 MQ1 MZ1 NI1 OI1 OQ1 BN2 DB2 FN2 FV2 GD2 GL2 GT2 HB2 HJ2 HR2 HZ2 IH2 IP2 IX2 JF2 KL2 KT2 LB2 LJ2 LR2 LZ2 MH2 MQ2 MZ2 NI2 OI2 OQ2 BN3:BN4 DB3:DB4 FN3:FN4 FV3:FV4 GD3:GD4 GL3:GL4 GT3:GT4 HB3:HB4 HJ3:HJ4 HR3:HR4 HZ3:HZ4 IH3:IH4 IP3:IP4 IX3:IX4 JF3:JF4 KL3:KL4 KT3:KT4 LB3:LB4 LJ3:LJ4 LR3:LR4 LZ3:LZ4 MH3:MH4 MQ3:MQ4 MZ3:MZ4 NI3:NI4 OI3:OI4 OQ3:OQ4 BN5 DB5 FN5 FV5 GD5 GL5 GT5 HB5 HJ5 HR5 HZ5 IH5 IP5 IX5 JF5 KL5 KT5 LB5 LJ5 LR5 LZ5 MH5 MQ5 MZ5 NI5 OI5 OQ5 BN6:BO6 BW6 CE6 CM6 CU6 DB6:DC6 DK6 DS6 EA6 EI6 EQ6 EY6 FG6 FN6:FO6 FV6:FW6 GD6:GE6 GL6:GM6 GT6:GU6 HB6:HC6 HJ6:HK6 HR6:HS6 HZ6:IA6 IH6:II6 IP6:IQ6 IX6:IY6 JF6:JG6 JW6 KE6 KL6:KM6 KT6:KU6 LB6:LC6 LJ6:LK6 LR6:LS6 LZ6 MH6 MQ6 MZ6 NI6 OI6:OJ6 OQ6 BN7:BO12 BW7:BW12 CE7:CE12 CM7:CM12 CU7:CU12 DB7:DC12 DK7:DK12 DS7:DS12 EA7:EA12 EI7:EI12 EQ7:EQ12 EY7:EY12 FG7:FG12 FN7:FO12 FV7:FW12 GD7:GE12 GL7:GM12 GT7:GU12 HB7:HC12 HJ7:HK12 HR7:HS12 HZ7:IA12 IH7:II12 IP7:IQ12 IX7:IY12 JF7:JG12 JO7:JO12 JW7:JW12 KE7:KE12 KL7:KM12 KT7:KU12 LB7:LC12 LJ7:LK12 LR7:LS12 LZ7:MA12 MH7:MH12 MQ7:MQ12 MZ7:MZ12 NI7:NI12 OI7:OJ12 OQ7:OQ12 BN13 DB13 FN13 FV13 GD13 GL13 GT13 HB13 HJ13 HR13 HZ13 IH13 IP13 IX13 JF13 KL13 KT13 LB13 LJ13 LR13 LZ13 MH13 MQ13 MZ13 NI13 OI13 OQ13 BN14 DB14 FN14 FV14 GD14 GL14 GT14 HB14 HJ14 HR14 HZ14 IH14 IP14 IX14 JF14 KL14 KT14 LB14 LJ14 LR14 LZ14 MH14 MQ14 MZ14 NI14 OI14 OQ14 BN15 DB15 FN15 FV15 GD15 GL15 GT15 HB15 HJ15 HR15 HZ15 IH15 IP15 IX15 JF15 KL15 KT15 LB15 LJ15 LR15 LZ15 MH15 MQ15 MZ15 NI15 OI15 OQ15 BN16:BN17 DB16:DB17 FN16:FN17 FV16:FV17 GD16:GD17 GL16:GL17 GT16:GT17 HB16:HB17 HJ16:HJ17 HR16:HR17 HZ16:HZ17 IH16:IH17 IP16:IP17 IX16:IX17 JF16:JF17 KL16:KL17 KT16:KT17 LB16:LB17 LJ16:LJ17 LR16:LR17 LZ16:LZ17 MH16:MH17 MQ16:MQ17 MZ16:MZ17 NI16:NI17 OI16:OI17 OQ16:OQ17 BN19:BN23 DB19:DB23 FN19:FN23 FV19:FV23 GD19:GD23 GL19:GL23 GT19:GT23 HB19:HB23 HJ19:HJ23 HR19:HR23 HZ19:HZ23 IH19:IH23 IP19:IP23 IX19:IX23 JF19:JF23 KL19:KL23 KT19:KT23 LB19:LB23 LJ19:LJ23 LR19:LR23 LZ19:LZ23 MH19:MH23 MQ19:MQ23 MZ19:MZ23 NI19:NI23 OI19:OI23 OQ19:OQ23 BN24 DB24 FN24 FV24 GD24 GL24 GT24 HB24 HJ24 HR24 HZ24 IH24 IP24 IX24 JF24 KL24 KT24 LB24 LJ24 LR24 LZ24 MH24 MQ24 MZ24 NI24 OI24 OQ24 BN25 DB25 FN25 FV25 GD25 GL25 GT25 HB25 HJ25 HR25 HZ25 IH25 IP25 IX25 JF25 KL25 KT25 LB25 LJ25 LR25 LZ25 MH25 MQ25 MZ25 NI25 OI25 OQ25 BN26:BO26 BV26:BW26 CD26:CE26 CL26:CM26 CT26:CU26 DB26:DC26 DJ26:DK26 DR26:DS26 DZ26:EA26 EH26:EI26 EP26:EQ26 EX26:EY26 FG26 FN26:FO26 FV26:FW26 GD26:GE26 GL26:GM26 GT26:GU26 HB26:HC26 HJ26:HK26 HR26:HS26 HZ26:IA26 IH26:II26 IP26:IQ26 IX26:IY26 JF26:JG26 JO26 JW26 KE26 KL26:KM26 KT26:KU26 LB26:LC26 LJ26:LK26 LR26:LS26 LZ26:MA26 MH26 MQ26 MZ26 NI26 OI26:OJ26 OQ26 BN27:BO29 BV27:BW29 CD27:CE29 CL27:CM29 CT27:CU29 DB27:DC29 DJ27:DK29 DR27:DS29 DZ27:EA29 EH27:EI29 EP27:EQ29 EX27:EY29 FG27:FG29 FN27:FO29 FV27:FW29 GD27:GE29 GL27:GM29 GT27:GU29 HB27:HC29 HJ27:HK29 HR27:HS29 HZ27:IA29 IH27:II29 IP27:IQ29 IX27:IY29 JF27:JG29 JO27:JO29 JW27:JW29 KE27:KE29 KL27:KM29 KT27:KU29 LB27:LC29 LJ27:LK29 LR27:LS29 LZ27:MA29 MH27:MH29 MQ27:MQ29 MZ27:MZ29 NI27:NI29 OI27:OJ29 OQ27:OQ29 BN30:BO34 BV30:BW34 CD30:CE34 CL30:CM34 CT30:CU34 DB30:DC34 DJ30:DK34 DR30:DS34 DZ30:EA34 EH30:EI34 EP30:EQ34 EX30:EY34 FG30:FG34 FN30:FO34 FV30:FW34 GD30:GE34 GL30:GM34 GT30:GU34 HB30:HC34 HJ30:HK34 HR30:HS34 HZ30:IA34 IH30:II34 IP30:IQ34 IX30:IY34 JF30:JG34 JO30:JO34 JW30:JW34 KE30:KE34 KL30:KM34 KT30:KU34 LB30:LC34 LJ30:LK34 LR30:LS34 LZ30:MA34 MH30:MH34 MQ30:MQ34 MZ30:MZ34 NI30:NI34 OI30:OJ34 OQ30:OQ34 BN35:BO39 BV35:BW39 CD35:CE39 CL35:CM39 CT35:CU39 DB35:DC39 DJ35:DK39 DR35:DS39 DZ35:EA39 EH35:EI39 EP35:EQ39 EX35:EY39 FG35:FG39 FN35:FO39 FV35:FW39 GD35:GE39 GL35:GM39 GT35:GU39 HB35:HC39 HJ35:HK39 HR35:HS39 HZ35:IA39 IH35:II39 IP35:IQ39 IX35:IY39 JF35:JG39 JO35:JO39 JW35:JW39 KE35:KE39 KL35:KM39 KT35:KU39 LB35:LC39 LJ35:LK39 LR35:LS39 LZ35:MA39 MH35:MH39 MQ35:MQ39 MZ35:MZ39 NI35:NI39 OI35:OJ39 OQ35:OQ39 BN40:BO61 BV40:BW61 CD40:CE61 CL40:CM61 CT40:CU61 DB40:DC61 DJ40:DK61 DR40:DS61 DZ40:EA61 EH40:EI61 EP40:EQ61 EX40:EY61 FG40:FG61 FN40:FO61 FV40:FW61 GD40:GE61 GL40:GM61 GT40:GU61 HB40:HC61 HJ40:HK61 HR40:HS61 HZ40:IA61 IH40:II61 IP40:IQ61 IX40:IY61 JF40:JG61 JO40:JO61 JW40:JW61 KE40:KE61 KL40:KM61 KT40:KU61 LB40:LC61 LJ40:LK61 LR40:LS61 LZ40:MA61 MH40:MH61 MQ40:MQ61 MZ40:MZ61 NI40:NI61 OI40:OJ61 OQ40:OQ61 BN62:BO70 BV62:BW70 CD62:CE70 CL62:CM70 CT62:CU70 DB62:DC70 DJ62:DK70 DR62:DS70 DZ62:EA70 EH62:EI70 EP62:EQ70 EX62:EY70 FF62:FF70 FN62:FO70 FV62:FW70 GD62:GE70 GL62:GM70 GT62:GU70 HB62:HC70 HJ62:HK70 HR62:HS70 HZ62:IA70 IH62:II70 IP62:IQ70 IX62:IY70 JF62:JG70 JN62:JN70 JV62:JV70 KD62:KD70 KL62:KM70 KT62:KU70 LB62:LC70 LJ62:LK70 LR62:LS70 LZ62:MA70 MH62:MH70 MQ62:MQ70 MZ62:MZ70 NI62:NI70 OI62:OJ70 OQ62:OQ70 BN71:BO72 CD71:CE72 CL71:CM72 CT71:CU72 DB71:DC72 DJ71:DK72 DR71:DS72 DZ71:EA72 EH71:EI72 EP71:EQ72 EX71:EY72 FF71:FF72 FN71:FO72 FV71:FW72 GD71:GE72 GL71:GM72 GT71:GU72 HB71:HC72 HJ71:HK72 HR71:HS72 HZ71:IA72 IH71:II72 IP71:IQ72 IX71:IY72 JF71:JG72 JN71:JN72 JV71:JV72 KD71:KD72 KL71:KM72 KT71:KU72 LB71:LC72 LJ71:LK72 LR71:LS72 LZ71:MA72 MH71:MH72 MQ71:MQ72 MZ71:MZ72 NI71:NI72 OI71:OJ72 OQ71:OQ72 BN73:BO118 BV73:BW118 CD73:CE118 CL73:CM118 CT73:CU118 DB73:DC118 DJ73:DK118 DR73:DS118 DZ73:EA118 EH73:EI118 EP73:EQ118 EX73:EY118 FF73:FF118 FN73:FO118 FV73:FW118 GD73:GE118 GL73:GM118 GT73:GU118 HB73:HC118 HJ73:HK118 HR73:HS118 HZ73:IA118 IH73:II118 IP73:IQ118 IX73:IY118 JF73:JG118 JN73:JN118 JV73:JV118 KD73:KD118 KL73:KM118 KT73:KU118 LB73:LC118 LJ73:LK118 LR73:LS118 LZ73:MA118 MH73:MH118 MQ73:MQ118 MZ73:MZ118 NI73:NI118 OI73:OJ118 OQ73:OQ118 BN119:BO121 BV119:BW121 CD119:CE121 CL119:CM121 CT119:CU121 DB119:DC121 DJ119:DK121 DR119:DS121 DZ119:EA121 EH119:EI121 EP119:EQ121 EX119:EY121 FG119:FG121 FN119:FO121 FV119:FW121 GD119:GE121 GL119:GM121 GT119:GU121 HB119:HC121 HJ119:HK121 HR119:HS121 HZ119:IA121 IH119:II121 IP119:IQ121 IX119:IY121 JF119:JG121 JN119:JN121 JV119:JV121 KD119:KD121 KL119:KM121 KT119:KU121 LB119:LC121 LJ119:LK121 LR119:LS121 LZ119:MA121 MH119:MH121 MQ119:MQ121 MZ119:MZ121 NI119:NI121 OI119:OJ121 OQ119:OQ121 BN122:BO125 BV122:BW125 CD122:CE125 CL122:CM125 CT122:CU125 DB122:DC125 DJ122:DK125 DR122:DS125 DZ122:EA125 EH122:EI125 EP122:EQ125 EX122:EY125 FG122:FG125 FN122:FO125 FV122:FW125 GD122:GE125 GL122:GM125 GT122:GU125 HB122:HC125 HJ122:HK125 HR122:HS125 HZ122:IA125 IH122:II125 IP122:IQ125 IX122:IY125 JF122:JG125 JN122:JN125 JW122:JW125 KD122:KD125 KL122:KM125 KT122:KU125 LB122:LC125 LJ122:LK125 LR122:LS125 LZ122:MA125 MH122:MH125 MQ122:MQ125 MZ122:MZ125 NI122:NI125 OI122:OJ125 OQ122:OQ125 BN126:BO134 BV126:BW134 CD126:CE134 CL126:CM134 CT126:CU134 DB126:DC134 DJ126:DK134 DR126:DS134 DZ126:EA134 EH126:EI134 EP126:EQ134 EX126:EY134 FG126:FG134 FN126:FO134 FV126:FW134 GD126:GE134 GL126:GM134 GT126:GU134 HB126:HC134 HJ126:HK134 HR126:HS134 HZ126:IA134 IH126:II134 IP126:IQ134 IX126:IY134 JF126:JG134 JO126:JO134 JW126:JW134 KD126:KD134 KL126:KM134 KT126:KU134 LB126:LC134 LJ126:LK134 LR126:LS134 LZ126:MA134 MH126:MH134 MQ126:MQ134 MZ126:MZ134 NI126:NI134 OI126:OJ134 OQ126:OQ134 BN135:BO164 BV135:BW164 CD135:CE164 CL135:CM164 CT135:CU164 DB135:DC164 DJ135:DK164 DR135:DS164 DZ135:EA164 EH135:EI164 EP135:EQ164 EX135:EY164 FG135:FG164 FN135:FO164 FV135:FW164 GD135:GE164 GL135:GM164 GT135:GU164 HB135:HC164 HJ135:HK164 HR135:HS164 HZ135:IA164 IH135:II164 IP135:IQ164 IX135:IY164 JF135:JG164 JO135:JO164 JW135:JW164 KE135:KE164 KL135:KM164 KT135:KU164 LB135:LC164 LJ135:LK164 LR135:LS164 LZ135:MA164 MH135:MH164 MQ135:MQ164 MZ135:MZ164 NI135:NI164 OI135:OJ164 OQ135:OQ164">
    <cfRule type="cellIs" dxfId="425" priority="531" operator="between">
      <formula>-0.16</formula>
      <formula>-5</formula>
    </cfRule>
    <cfRule type="cellIs" dxfId="426" priority="532" operator="between">
      <formula>0.16</formula>
      <formula>20</formula>
    </cfRule>
  </conditionalFormatting>
  <conditionalFormatting sqref="CR1 CR3:CR4 CR10:CR17 CR19:CR164">
    <cfRule type="cellIs" dxfId="425" priority="910" operator="between">
      <formula>-3</formula>
      <formula>-0.1</formula>
    </cfRule>
    <cfRule type="cellIs" dxfId="426" priority="911" operator="between">
      <formula>0.1</formula>
      <formula>3</formula>
    </cfRule>
  </conditionalFormatting>
  <conditionalFormatting sqref="EU1 EU3:EU17 EU19:EU164">
    <cfRule type="cellIs" dxfId="427" priority="889" operator="lessThan">
      <formula>0</formula>
    </cfRule>
    <cfRule type="cellIs" dxfId="428" priority="890" operator="greaterThan">
      <formula>0</formula>
    </cfRule>
  </conditionalFormatting>
  <conditionalFormatting sqref="EV1 EV3:EV17 EV19:EV164">
    <cfRule type="cellIs" dxfId="426" priority="833" operator="between">
      <formula>0.1</formula>
      <formula>3</formula>
    </cfRule>
    <cfRule type="cellIs" dxfId="425" priority="834" operator="between">
      <formula>-0.05</formula>
      <formula>-3</formula>
    </cfRule>
    <cfRule type="cellIs" dxfId="427" priority="835" operator="lessThan">
      <formula>0</formula>
    </cfRule>
    <cfRule type="cellIs" dxfId="428" priority="886" operator="greaterThan">
      <formula>0</formula>
    </cfRule>
    <cfRule type="cellIs" dxfId="425" priority="887" operator="between">
      <formula>-3</formula>
      <formula>-0.5</formula>
    </cfRule>
    <cfRule type="cellIs" dxfId="426" priority="888" operator="between">
      <formula>0.5</formula>
      <formula>30</formula>
    </cfRule>
  </conditionalFormatting>
  <conditionalFormatting sqref="IW1:IW2 JE1:JE2 JM1:JN2 JU1:JV2 KC1:KD2 KK1:KK2 KS1:KS2 LA1:LA2 LI1:LI2 LQ1:LQ2 LY1:LY2 MG1:MG2 OH1:OH2 IW3:IW4 JE3:JE4 JM3:JN4 JU3:JV4 KC3:KD4 KK3:KK4 KS3:KS4 LA3:LA4 LI3:LI4 LQ3:LQ4 LY3:LY4 MG3:MG4 OH3:OH4 IW10:IW12 JE10:JE12 JM10:JN12 JU10:JV12 KC10:KD12 KK10:KK12 KS10:KS12 LA10:LA12 LI10:LI12 LQ10:LQ12 LY10:LY12 MG10:MG12 OH10:OH12 IW13 JE13 JM13:JN13 JU13:JV13 KC13:KD13 KK13 KS13 LA13 LI13 LQ13 LY13 MG13 OH13 IW14 JE14 JM14:JN14 JU14:JV14 KC14:KD14 KK14 KS14 LA14 LI14 LQ14 LY14 MG14 OH14 IW15 JE15 JM15:JN15 JU15:JV15 KC15:KD15 KK15 KS15 LA15 LI15 LQ15 LY15 MG15 OH15 IW16:IW17 JE16:JE17 JM16:JN17 JU16:JV17 KC16:KD17 KK16:KK17 KS16:KS17 LA16:LA17 LI16:LI17 LQ16:LQ17 LY16:LY17 MG16:MG17 OH16:OH17 IW19:IW23 JE19:JE23 JM19:JN23 JU19:JV23 KC19:KD23 KK19:KK23 KS19:KS23 LA19:LA23 LI19:LI23 LQ19:LQ23 LY19:LY23 MG19:MG23 OH19:OH23 IW24 JE24 JM24:JN24 JU24:JV24 KC24:KD24 KK24 KS24 LA24 LI24 LQ24 LY24 MG24 OH24 IW25 JE25 JM25:JN25 JU25:JV25 KC25:KD25 KK25 KS25 LA25 LI25 LQ25 LY25 MG25 OH25 IW26 JE26 JM26:JN26 JU26:JV26 KC26:KD26 KK26 KS26 LA26 LI26 LQ26 LY26 MG26 OH26 IW27:IW29 JE27:JE29 JM27:JN29 JU27:JV29 KC27:KD29 KK27:KK29 KS27:KS29 LA27:LA29 LI27:LI29 LQ27:LQ29 LY27:LY29 MG27:MG29 OH27:OH29 IW30:IW34 JE30:JE34 JM30:JN34 JU30:JV34 KC30:KD34 KK30:KK34 KS30:KS34 LA30:LA34 LI30:LI34 LQ30:LQ34 LY30:LY34 MG30:MG34 OH30:OH34 IW35:IW39 JE35:JE39 JM35:JN39 JU35:JV39 KC35:KD39 KK35:KK39 KS35:KS39 LA35:LA39 LI35:LI39 LQ35:LQ39 LY35:LY39 MG35:MG39 OH35:OH39 IW40:IW49 JE40:JE49 JM40:JN49 JU40:JV49 KC40:KD49 KK40:KK49 KS40:KS49 LA40:LA49 LI40:LI49 LQ40:LQ49 LY40:LY49 MG40:MG49 OH40:OH49 IW50 JE50 JM50:JN50 JU50:JV50 KC50:KD50 KK50 KS50 LA50 LI50 LQ50 LY50 MG50 OH50 IW51:IW53 JE51:JE53 JM51:JN53 JU51:JV53 KC51:KD53 KK51:KK53 KS51:KS53 LA51:LA53 LI51:LI53 LQ51:LQ53 LY51:LY53 MG51:MG53 OH51:OH53 IW54:IW57 JE54:JE57 JM54:JN57 JU54:JV57 KC54:KD57 KK54:KK57 KS54:KS57 LA54:LA57 LI54:LI57 LQ54:LQ57 LY54:LY57 MG54:MG57 OH54:OH57 IW58:IW61 JE58:JE61 JM58:JN61 JU58:JV61 KC58:KD61 KK58:KK61 KS58:KS61 LA58:LA61 LI58:LI61 LQ58:LQ61 LY58:LY61 MG58:MG61 OH58:OH61 IW62 JE62 JM62 JU62 KC62 KK62 KS62 LA62 LI62 LQ62 LY62 MG62 OH62 IW63:IW67 JE63:JE67 JM63:JM67 JU63:JU67 KC63:KC67 KK63:KK67 KS63:KS67 LA63:LA67 LI63:LI67 LQ63:LQ67 LY63:LY67 MG63:MG67 OH63:OH67 IW68:IW77 JE68:JE77 JM68:JM77 JU68:JU77 KC68:KC77 KK68:KK77 KS68:KS77 LA68:LA77 LI68:LI77 LQ68:LQ77 LY68:LY77 MG68:MG77 OH68:OH77 IW78:IW121 JE78:JE121 JM78:JM121 JU78:JU121 KC78:KC121 KK78:KK121 KS78:KS121 LA78:LA121 LI78:LI121 LQ78:LQ121 LY78:LY121 MG78:MG121 OH78:OH121 IW122:IW125 JE122:JE125 JM122:JM125 JU122:JV125 KC122:KC125 KK122:KK125 KS122:KS125 LA122:LA125 LI122:LI125 LQ122:LQ125 LY122:LY125 MG122:MG125 OH122:OH125 IW126:IW134 JE126:JE134 JM126:JN134 JU126:JV134 KC126:KC134 KK126:KK134 KS126:KS134 LA126:LA134 LI126:LI134 LQ126:LQ134 LY126:LY134 MG126:MG134 OH126:OH134 IW135:IW164 JE135:JE164 JM135:JN164 JU135:JV164 KC135:KD164 KK135:KK164 KS135:KS164 LA135:LA164 LI135:LI164 LQ135:LQ164 LY135:LY164 MG135:MG164 OH135:OH164">
    <cfRule type="cellIs" dxfId="427" priority="898" operator="lessThan">
      <formula>0</formula>
    </cfRule>
    <cfRule type="cellIs" dxfId="428" priority="899" operator="greaterThan">
      <formula>0</formula>
    </cfRule>
  </conditionalFormatting>
  <conditionalFormatting sqref="MN1:MO1 MN3:MO17 MN19:MO164">
    <cfRule type="cellIs" dxfId="427" priority="876" operator="lessThan">
      <formula>0</formula>
    </cfRule>
    <cfRule type="cellIs" dxfId="428" priority="877" operator="greaterThan">
      <formula>0</formula>
    </cfRule>
  </conditionalFormatting>
  <conditionalFormatting sqref="MO1 MO3:MO17 MO19:MO164">
    <cfRule type="cellIs" dxfId="425" priority="874" operator="between">
      <formula>-5</formula>
      <formula>-0.5</formula>
    </cfRule>
    <cfRule type="cellIs" dxfId="426" priority="875" operator="between">
      <formula>0.5</formula>
      <formula>5</formula>
    </cfRule>
  </conditionalFormatting>
  <conditionalFormatting sqref="MP1:MP17 MP19:MP164">
    <cfRule type="cellIs" dxfId="425" priority="468" operator="between">
      <formula>-0.08</formula>
      <formula>-5</formula>
    </cfRule>
    <cfRule type="cellIs" dxfId="426" priority="469" operator="between">
      <formula>0.08</formula>
      <formula>20</formula>
    </cfRule>
    <cfRule type="cellIs" dxfId="427" priority="470" operator="lessThan">
      <formula>0</formula>
    </cfRule>
    <cfRule type="cellIs" dxfId="428" priority="471" operator="greaterThan">
      <formula>0</formula>
    </cfRule>
  </conditionalFormatting>
  <conditionalFormatting sqref="MW1:MX1 MW3:MX17 MW19:MX164">
    <cfRule type="cellIs" dxfId="426" priority="658" operator="between">
      <formula>0.1</formula>
      <formula>5</formula>
    </cfRule>
    <cfRule type="cellIs" dxfId="425" priority="659" operator="between">
      <formula>-0.1</formula>
      <formula>-5</formula>
    </cfRule>
    <cfRule type="cellIs" dxfId="427" priority="660" operator="lessThan">
      <formula>0</formula>
    </cfRule>
    <cfRule type="cellIs" dxfId="428" priority="661" operator="greaterThan">
      <formula>0</formula>
    </cfRule>
  </conditionalFormatting>
  <conditionalFormatting sqref="MX1 MX3:MX17 MX19:MX164">
    <cfRule type="cellIs" dxfId="426" priority="631" operator="between">
      <formula>0.1</formula>
      <formula>20</formula>
    </cfRule>
  </conditionalFormatting>
  <conditionalFormatting sqref="NF1:NG1 NF3:NG17 NF19:NG164">
    <cfRule type="cellIs" dxfId="427" priority="615" operator="lessThan">
      <formula>0</formula>
    </cfRule>
    <cfRule type="cellIs" dxfId="428" priority="616" operator="greaterThan">
      <formula>0</formula>
    </cfRule>
  </conditionalFormatting>
  <conditionalFormatting sqref="NG1 NG3:NG17 NG19:NG164">
    <cfRule type="cellIs" dxfId="425" priority="612" operator="between">
      <formula>-0.1</formula>
      <formula>-5</formula>
    </cfRule>
    <cfRule type="cellIs" dxfId="425" priority="613" operator="between">
      <formula>-10</formula>
      <formula>-5</formula>
    </cfRule>
    <cfRule type="cellIs" dxfId="426" priority="614" operator="between">
      <formula>0.1</formula>
      <formula>20</formula>
    </cfRule>
  </conditionalFormatting>
  <conditionalFormatting sqref="NH1:NH17 NH19:NH164">
    <cfRule type="cellIs" dxfId="425" priority="473" operator="between">
      <formula>-0.08</formula>
      <formula>-5</formula>
    </cfRule>
    <cfRule type="cellIs" dxfId="426" priority="474" operator="between">
      <formula>0.08</formula>
      <formula>20</formula>
    </cfRule>
    <cfRule type="cellIs" dxfId="427" priority="475" operator="lessThan">
      <formula>0</formula>
    </cfRule>
    <cfRule type="cellIs" dxfId="428" priority="476" operator="greaterThan">
      <formula>0</formula>
    </cfRule>
  </conditionalFormatting>
  <conditionalFormatting sqref="NP1:NQ1 NP3:NP9 NP10:NQ17 NP19:NQ164">
    <cfRule type="cellIs" dxfId="427" priority="495" operator="lessThan">
      <formula>0</formula>
    </cfRule>
    <cfRule type="cellIs" dxfId="428" priority="496" operator="greaterThan">
      <formula>0</formula>
    </cfRule>
  </conditionalFormatting>
  <conditionalFormatting sqref="NQ1 NQ10:NQ17 NQ19:NQ164">
    <cfRule type="cellIs" dxfId="425" priority="493" operator="between">
      <formula>-0.05</formula>
      <formula>-5</formula>
    </cfRule>
    <cfRule type="cellIs" dxfId="426" priority="494" operator="between">
      <formula>0.05</formula>
      <formula>20</formula>
    </cfRule>
  </conditionalFormatting>
  <conditionalFormatting sqref="NS1:NS17 NS19:NS1048576">
    <cfRule type="cellIs" dxfId="427" priority="377" operator="lessThan">
      <formula>0</formula>
    </cfRule>
    <cfRule type="cellIs" dxfId="428" priority="378" operator="greaterThan">
      <formula>0</formula>
    </cfRule>
  </conditionalFormatting>
  <conditionalFormatting sqref="NX1:NY1 NX3:NY17 NX19:NY164">
    <cfRule type="cellIs" dxfId="427" priority="525" operator="lessThan">
      <formula>0</formula>
    </cfRule>
    <cfRule type="cellIs" dxfId="428" priority="526" operator="greaterThan">
      <formula>0</formula>
    </cfRule>
  </conditionalFormatting>
  <conditionalFormatting sqref="NZ1:NZ17 NZ19:NZ164">
    <cfRule type="cellIs" dxfId="427" priority="466" operator="lessThan">
      <formula>0</formula>
    </cfRule>
    <cfRule type="cellIs" dxfId="428" priority="467" operator="greaterThan">
      <formula>0</formula>
    </cfRule>
  </conditionalFormatting>
  <conditionalFormatting sqref="OA1:OA17 OA19:OA1048576">
    <cfRule type="cellIs" dxfId="427" priority="375" operator="lessThan">
      <formula>0</formula>
    </cfRule>
    <cfRule type="cellIs" dxfId="428" priority="376" operator="greaterThan">
      <formula>0</formula>
    </cfRule>
  </conditionalFormatting>
  <conditionalFormatting sqref="OW1:OX17 OW19:OX1048576">
    <cfRule type="cellIs" dxfId="427" priority="111" operator="lessThan">
      <formula>0</formula>
    </cfRule>
    <cfRule type="cellIs" dxfId="428" priority="112" operator="greaterThan">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dxfId="427" priority="457" operator="lessThan">
      <formula>0</formula>
    </cfRule>
    <cfRule type="cellIs" dxfId="428" priority="458" operator="greaterThan">
      <formula>0</formula>
    </cfRule>
  </conditionalFormatting>
  <conditionalFormatting sqref="F3 F4 F5 F6:F7 F8 F9 M3 M4 M5 M6:M7 M8 M9 V3 V4 V5 V6:V7 V8 V9 AD3 AD4 AD5 AD6:AD7 AD8 AD9 AL3 AL4 AL5 AL6:AL7 AL8 AL9 AT3 AT4 AT5 AT6:AT7 AT8 AT9">
    <cfRule type="cellIs" dxfId="426" priority="413" operator="between">
      <formula>0.06</formula>
      <formula>3</formula>
    </cfRule>
    <cfRule type="cellIs" dxfId="425" priority="414" operator="between">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dxfId="426" priority="407" operator="between">
      <formula>0.15</formula>
      <formula>3</formula>
    </cfRule>
    <cfRule type="cellIs" dxfId="425" priority="408" operator="between">
      <formula>-0.1</formula>
      <formula>-2</formula>
    </cfRule>
    <cfRule type="cellIs" dxfId="427" priority="409" operator="lessThan">
      <formula>0</formula>
    </cfRule>
    <cfRule type="cellIs" dxfId="428" priority="410" operator="greaterThan">
      <formula>0</formula>
    </cfRule>
  </conditionalFormatting>
  <conditionalFormatting sqref="G3 G4 G5 G6:G7 G8:G9 O3 O4 O5 O6:O7 O8:O9 W3 W4 W5 W6:W7 W8:W9 AE3 AE4 AE5 AE6:AE7 AE8:AE9 AM3 AM4 AM5 AM6:AM7 AM8:AM9 AU3 AU4 AU5 AU6:AU7 AU8:AU9">
    <cfRule type="cellIs" dxfId="425" priority="411" operator="between">
      <formula>-0.15</formula>
      <formula>-3</formula>
    </cfRule>
    <cfRule type="cellIs" dxfId="426" priority="412" operator="between">
      <formula>0.15</formula>
      <formula>3</formula>
    </cfRule>
  </conditionalFormatting>
  <conditionalFormatting sqref="BA3:BC9">
    <cfRule type="cellIs" dxfId="427" priority="389" operator="lessThan">
      <formula>0</formula>
    </cfRule>
    <cfRule type="cellIs" dxfId="428" priority="390" operator="greaterThan">
      <formula>0</formula>
    </cfRule>
  </conditionalFormatting>
  <conditionalFormatting sqref="BF3:BG3 BJ3:BO3 BR3:BU3 BW3 BZ3:CC3 CE3 CH3:CK3 CM3 CO3:CS3 CU3 CW3:DC3 DF3:DI3 DK3 DM3:DQ3 DS3 DU3:DY3 EA3 EC3:EG3 EI3 EK3:EO3 EV3:EW3 EY3 FA3:FG3 FI3:FO3 FQ3:FW3 FY3:GE3 GG3:GM3 GO3:GU3 GW3:HC3 HE3:HK3 HM3:HS3 HU3:IA3 IC3:II3 IK3:IQ3 IS3:IY3 JA3:JG3 JI3:JO3 JQ3:JW3 JY3:KE3 KG3:KM3 KO3:KU3 KW3:LC3 LE3:LK3 LM3:LS3 LU3:MA3 MC3:MJ3 ML3 MN3:MO3 MQ3:MR3 MZ3:NB3 ND3:NK3 NR3:NT3 NV3:OB3 OD3:OJ3 OL3:OU3 OW3:PI3 BF4:BG4 BI4:BO4 BQ4:BU4 BW4 BY4:CC4 CE4 CG4:CK4 CM4 CO4:CS4 CU4 CW4:DC4 DE4:DI4 DK4 DM4:DQ4 DS4 DU4:DY4 EA4 EC4:EG4 EI4 EK4:EO4 EV4:EW4 EY4 FA4:FG4 FI4:FO4 FQ4:FW4 FY4:GE4 GG4:GM4 GO4:GU4 GW4:HC4 HE4:HK4 HM4:HS4 HU4:IA4 IC4:II4 IK4:IQ4 IS4:IY4 JA4:JG4 JI4:JO4 JQ4:JW4 JY4:KE4 KG4:KM4 KO4:KU4 KW4:LC4 LE4:LK4 LM4:LS4 LU4:MA4 MC4:MJ4 ML4 MN4:MO4 MQ4:MR4 MZ4:NB4 ND4:NK4 NR4:NT4 NV4:OB4 OD4:OJ4 OL4:OU4 OW4:PI4 BJ5:BK5 BR5:BS5 BZ5:CA5 CH5:CI5 CP5:CQ5 CX5:CY5 DF5 DN5:DO5 DV5:DW5 ED5:EE5 EL5:EM5 FB5:FC5 FJ5:FK5 FR5:FS5 FZ5:GA5 GH5:GI5 GP5:GQ5 GX5:GY5 HF5:HG5 HN5:HO5 HV5:HW5 ID5:IE5 IL5:IM5 IT5:IU5 JB5:JC5 JJ5:JK5 JR5:JS5 JZ5:KA5 KH5:KI5 KP5:KQ5 KX5:KY5 LF5:LG5 LN5:LO5 LV5:LW5 MD5:ME5 MN5 OE5:OF5 OM5:ON5 BJ6:BK7 BR6:BS7 BZ6:CA7 CH6:CI7 CP6:CQ7 CX6:CY7 DF6:DG7 DN6:DO7 DV6:DW7 ED6:EE7 EL6:EM7 FB6:FC7 FJ6:FK7 FR6:FS7 FZ6:GA7 GH6:GI7 GP6:GQ7 GX6:GY7 HF6:HG7 HN6:HO7 HV6:HW7 ID6:IE7 IL6:IM7 IT6:IU7 JB6:JC7 JJ6:JK7 JR6:JS7 JZ6:KA7 KH6:KI7 KP6:KQ7 KX6:KY7 LF6:LG7 LN6:LO7 LV6:LW7 MD6:ME7 MN6:MN7 OE6:OF7 OM6:ON7 BJ8:BK8 BR8:BS8 BZ8:CA8 CH8:CI8 CP8:CQ8 GX8:GY8 HV8:HW8 JB8:JC8 BJ9:BK9 BR9:BS9 BZ9:CA9 CH9:CI9 CP9:CQ9 HV9:HW9 JB9:JC9 MS11 MV12:MV17 MV19:MV81 MS82:MT82 MV82 MS83:MX83 MU84:MX84 MV85:MV132">
    <cfRule type="cellIs" dxfId="427" priority="897" operator="lessThan">
      <formula>0</formula>
    </cfRule>
  </conditionalFormatting>
  <conditionalFormatting sqref="BI3:BJ9">
    <cfRule type="cellIs" dxfId="427" priority="854" operator="lessThan">
      <formula>0</formula>
    </cfRule>
    <cfRule type="cellIs" dxfId="428" priority="855" operator="greaterThan">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dxfId="425" priority="668" operator="between">
      <formula>-500</formula>
      <formula>-80</formula>
    </cfRule>
    <cfRule type="cellIs" dxfId="426" priority="669" operator="between">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dxfId="425" priority="564" operator="between">
      <formula>-0.08</formula>
      <formula>-5</formula>
    </cfRule>
    <cfRule type="cellIs" dxfId="426" priority="565" operator="between">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dxfId="425" priority="677" operator="between">
      <formula>-0.2</formula>
      <formula>-5</formula>
    </cfRule>
    <cfRule type="cellIs" dxfId="426" priority="678" operator="between">
      <formula>0.2</formula>
      <formula>5</formula>
    </cfRule>
    <cfRule type="cellIs" dxfId="427" priority="679" operator="lessThan">
      <formula>0</formula>
    </cfRule>
    <cfRule type="cellIs" dxfId="428" priority="680" operator="greaterThan">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dxfId="425" priority="535" operator="between">
      <formula>-0.16</formula>
      <formula>-5</formula>
    </cfRule>
    <cfRule type="cellIs" dxfId="426" priority="536" operator="between">
      <formula>0.16</formula>
      <formula>20</formula>
    </cfRule>
    <cfRule type="cellIs" dxfId="427" priority="537" operator="lessThan">
      <formula>0</formula>
    </cfRule>
    <cfRule type="cellIs" dxfId="428" priority="538" operator="greaterThan">
      <formula>0</formula>
    </cfRule>
    <cfRule type="cellIs" dxfId="426" priority="551" operator="between">
      <formula>-0.16</formula>
      <formula>-5</formula>
    </cfRule>
    <cfRule type="cellIs" dxfId="426" priority="552" operator="between">
      <formula>0.16</formula>
      <formula>50</formula>
    </cfRule>
  </conditionalFormatting>
  <conditionalFormatting sqref="BQ3:BR4 BQ5:BR5 BQ6:BR7 BQ8:BR9 BY3:BZ4 BY5:BZ5 BY6:BZ7 BY8:BZ9">
    <cfRule type="cellIs" dxfId="427" priority="856" operator="lessThan">
      <formula>0</formula>
    </cfRule>
    <cfRule type="cellIs" dxfId="428" priority="857" operator="greaterThan">
      <formula>0</formula>
    </cfRule>
  </conditionalFormatting>
  <conditionalFormatting sqref="CG3:CH9">
    <cfRule type="cellIs" dxfId="427" priority="852" operator="lessThan">
      <formula>0</formula>
    </cfRule>
    <cfRule type="cellIs" dxfId="428" priority="853" operator="greaterThan">
      <formula>0</formula>
    </cfRule>
  </conditionalFormatting>
  <conditionalFormatting sqref="CO3:CP4 CO5:CP5 CO6:CP7 CO8:CP9 CW3:CX4 CW5:CX5 CW6:CX7 CW8:CX9">
    <cfRule type="cellIs" dxfId="427" priority="858" operator="lessThan">
      <formula>0</formula>
    </cfRule>
    <cfRule type="cellIs" dxfId="428" priority="859" operator="greaterThan">
      <formula>0</formula>
    </cfRule>
  </conditionalFormatting>
  <conditionalFormatting sqref="DE3:DF4 DE5:DF5 DE6:DF7 DE8:DF9 DM3:DN4 DM5:DN5 DM6:DN7 DM8:DN9">
    <cfRule type="cellIs" dxfId="427" priority="860" operator="lessThan">
      <formula>0</formula>
    </cfRule>
    <cfRule type="cellIs" dxfId="428" priority="861" operator="greaterThan">
      <formula>0</formula>
    </cfRule>
  </conditionalFormatting>
  <conditionalFormatting sqref="DG3:DG4 DG6:DG9">
    <cfRule type="cellIs" dxfId="426" priority="563" operator="between">
      <formula>0.08</formula>
      <formula>20</formula>
    </cfRule>
  </conditionalFormatting>
  <conditionalFormatting sqref="DU3:DV4 DU5:DV5 DU6:DV7 DU8:DV9 EC3:ED4 EC5:ED5 EC6:ED7 EC8:ED9">
    <cfRule type="cellIs" dxfId="427" priority="862" operator="lessThan">
      <formula>0</formula>
    </cfRule>
    <cfRule type="cellIs" dxfId="428" priority="863" operator="greaterThan">
      <formula>0</formula>
    </cfRule>
  </conditionalFormatting>
  <conditionalFormatting sqref="DW3:DW4 DW5 DW6:DW7 DW8:DW9 EE3:EE4 EE5 EE6:EE7 EE8:EE9 EM3:EM4 EM5 EM6:EM7 EM8:EM9">
    <cfRule type="cellIs" dxfId="425" priority="555" operator="between">
      <formula>-0.08</formula>
      <formula>-5</formula>
    </cfRule>
    <cfRule type="cellIs" dxfId="426" priority="556" operator="between">
      <formula>0.08</formula>
      <formula>20</formula>
    </cfRule>
    <cfRule type="cellIs" dxfId="427" priority="557" operator="lessThan">
      <formula>0</formula>
    </cfRule>
    <cfRule type="cellIs" dxfId="428" priority="558" operator="greaterThan">
      <formula>0</formula>
    </cfRule>
  </conditionalFormatting>
  <conditionalFormatting sqref="ES3:EU9">
    <cfRule type="cellIs" dxfId="427" priority="884" operator="lessThan">
      <formula>0</formula>
    </cfRule>
    <cfRule type="cellIs" dxfId="428" priority="885" operator="greaterThan">
      <formula>0</formula>
    </cfRule>
  </conditionalFormatting>
  <conditionalFormatting sqref="FI3:FJ9">
    <cfRule type="cellIs" dxfId="427" priority="864" operator="lessThan">
      <formula>0</formula>
    </cfRule>
    <cfRule type="cellIs" dxfId="428" priority="865" operator="greaterThan">
      <formula>0</formula>
    </cfRule>
  </conditionalFormatting>
  <conditionalFormatting sqref="FQ3:FR9">
    <cfRule type="cellIs" dxfId="427" priority="836" operator="lessThan">
      <formula>0</formula>
    </cfRule>
    <cfRule type="cellIs" dxfId="428" priority="837" operator="greaterThan">
      <formula>0</formula>
    </cfRule>
  </conditionalFormatting>
  <conditionalFormatting sqref="FY3:FZ9">
    <cfRule type="cellIs" dxfId="427" priority="866" operator="lessThan">
      <formula>0</formula>
    </cfRule>
    <cfRule type="cellIs" dxfId="428" priority="867" operator="greaterThan">
      <formula>0</formula>
    </cfRule>
  </conditionalFormatting>
  <conditionalFormatting sqref="GG3:GH9">
    <cfRule type="cellIs" dxfId="427" priority="868" operator="lessThan">
      <formula>0</formula>
    </cfRule>
    <cfRule type="cellIs" dxfId="428" priority="869" operator="greaterThan">
      <formula>0</formula>
    </cfRule>
  </conditionalFormatting>
  <conditionalFormatting sqref="HU3:HV4 HU5:HV5 HU6:HV7 HU8:HV9 IC3:ID4 IC5:ID5 IC6:ID7 IC8:ID9">
    <cfRule type="cellIs" dxfId="427" priority="850" operator="lessThan">
      <formula>0</formula>
    </cfRule>
    <cfRule type="cellIs" dxfId="428" priority="851" operator="greaterThan">
      <formula>0</formula>
    </cfRule>
  </conditionalFormatting>
  <conditionalFormatting sqref="IK3:IL9">
    <cfRule type="cellIs" dxfId="427" priority="848" operator="lessThan">
      <formula>0</formula>
    </cfRule>
    <cfRule type="cellIs" dxfId="428" priority="849" operator="greaterThan">
      <formula>0</formula>
    </cfRule>
  </conditionalFormatting>
  <conditionalFormatting sqref="IS3:IT4 IS5:IT5 IS6:IT7 IS8:IT9 JA3:JB4 JA5:JB5 JA6:JB7 JA8:JB9">
    <cfRule type="cellIs" dxfId="427" priority="846" operator="lessThan">
      <formula>0</formula>
    </cfRule>
    <cfRule type="cellIs" dxfId="428" priority="847" operator="greaterThan">
      <formula>0</formula>
    </cfRule>
  </conditionalFormatting>
  <conditionalFormatting sqref="JQ3:JR9">
    <cfRule type="cellIs" dxfId="427" priority="838" operator="lessThan">
      <formula>0</formula>
    </cfRule>
    <cfRule type="cellIs" dxfId="428" priority="839" operator="greaterThan">
      <formula>0</formula>
    </cfRule>
  </conditionalFormatting>
  <conditionalFormatting sqref="KO3:KP4 KO5:KP5 KO6:KP7 KO8:KP9 KW3:KX4 KW5:KX5 KW6:KX7 KW8:KX9">
    <cfRule type="cellIs" dxfId="427" priority="844" operator="lessThan">
      <formula>0</formula>
    </cfRule>
    <cfRule type="cellIs" dxfId="428" priority="845" operator="greaterThan">
      <formula>0</formula>
    </cfRule>
  </conditionalFormatting>
  <conditionalFormatting sqref="LE3:LF4 LE5:LF5 LE6:LF7 LE8:LF9 LM3:LN4 LM5:LN5 LM6:LN7 LM8:LN9">
    <cfRule type="cellIs" dxfId="427" priority="842" operator="lessThan">
      <formula>0</formula>
    </cfRule>
    <cfRule type="cellIs" dxfId="428" priority="843" operator="greaterThan">
      <formula>0</formula>
    </cfRule>
  </conditionalFormatting>
  <conditionalFormatting sqref="LU3:LV4 LU5:LV5 LU6:LV7 LU8:LV9 MC3:MD4 MC5:MD5 MC6:MD7 MC8:MD9">
    <cfRule type="cellIs" dxfId="427" priority="840" operator="lessThan">
      <formula>0</formula>
    </cfRule>
    <cfRule type="cellIs" dxfId="428" priority="841" operator="greaterThan">
      <formula>0</formula>
    </cfRule>
  </conditionalFormatting>
  <conditionalFormatting sqref="ML3:MN9">
    <cfRule type="cellIs" dxfId="427" priority="878" operator="lessThan">
      <formula>0</formula>
    </cfRule>
    <cfRule type="cellIs" dxfId="428" priority="879" operator="greaterThan">
      <formula>0</formula>
    </cfRule>
  </conditionalFormatting>
  <conditionalFormatting sqref="MU3:MW9">
    <cfRule type="cellIs" dxfId="427" priority="629" operator="lessThan">
      <formula>0</formula>
    </cfRule>
    <cfRule type="cellIs" dxfId="428" priority="630" operator="greaterThan">
      <formula>0</formula>
    </cfRule>
  </conditionalFormatting>
  <conditionalFormatting sqref="ND3:NF5">
    <cfRule type="cellIs" dxfId="427" priority="605" operator="lessThan">
      <formula>0</formula>
    </cfRule>
    <cfRule type="cellIs" dxfId="428" priority="606" operator="greaterThan">
      <formula>0</formula>
    </cfRule>
  </conditionalFormatting>
  <conditionalFormatting sqref="ND3:NF9">
    <cfRule type="cellIs" dxfId="427" priority="603" operator="lessThan">
      <formula>0</formula>
    </cfRule>
    <cfRule type="cellIs" dxfId="428" priority="604" operator="greaterThan">
      <formula>0</formula>
    </cfRule>
  </conditionalFormatting>
  <conditionalFormatting sqref="NV3:NY9">
    <cfRule type="cellIs" dxfId="427" priority="519" operator="lessThan">
      <formula>0</formula>
    </cfRule>
    <cfRule type="cellIs" dxfId="428" priority="520" operator="greaterThan">
      <formula>0</formula>
    </cfRule>
  </conditionalFormatting>
  <conditionalFormatting sqref="DG4 DG6:DG9">
    <cfRule type="cellIs" dxfId="425" priority="581" operator="between">
      <formula>-0.06</formula>
      <formula>-5</formula>
    </cfRule>
    <cfRule type="cellIs" dxfId="426" priority="582" operator="between">
      <formula>0.06</formula>
      <formula>6</formula>
    </cfRule>
  </conditionalFormatting>
  <conditionalFormatting sqref="BC10:BD11 BC13:BD17 BC19:BD29">
    <cfRule type="cellIs" dxfId="427" priority="405" operator="lessThan">
      <formula>0</formula>
    </cfRule>
    <cfRule type="cellIs" dxfId="428" priority="406" operator="greaterThan">
      <formula>0</formula>
    </cfRule>
  </conditionalFormatting>
  <conditionalFormatting sqref="BD10:BD11 BD13:BD17 BD19:BD29">
    <cfRule type="cellIs" dxfId="425" priority="401" operator="between">
      <formula>-10</formula>
      <formula>-0.1</formula>
    </cfRule>
    <cfRule type="cellIs" dxfId="426" priority="402" operator="between">
      <formula>0.1</formula>
      <formula>5</formula>
    </cfRule>
    <cfRule type="cellIs" dxfId="425" priority="403" operator="between">
      <formula>-0.2</formula>
      <formula>-0.05</formula>
    </cfRule>
    <cfRule type="cellIs" dxfId="426" priority="404" operator="between">
      <formula>0.05</formula>
      <formula>1.5</formula>
    </cfRule>
  </conditionalFormatting>
  <conditionalFormatting sqref="EU10:EV11">
    <cfRule type="cellIs" dxfId="427" priority="893" operator="lessThan">
      <formula>0</formula>
    </cfRule>
    <cfRule type="cellIs" dxfId="428" priority="894" operator="greaterThan">
      <formula>0</formula>
    </cfRule>
  </conditionalFormatting>
  <conditionalFormatting sqref="MN10:MO11">
    <cfRule type="cellIs" dxfId="427" priority="882" operator="lessThan">
      <formula>0</formula>
    </cfRule>
    <cfRule type="cellIs" dxfId="428" priority="883" operator="greaterThan">
      <formula>0</formula>
    </cfRule>
  </conditionalFormatting>
  <conditionalFormatting sqref="NF10:NG11">
    <cfRule type="cellIs" dxfId="426" priority="618" operator="between">
      <formula>0.1</formula>
      <formula>5</formula>
    </cfRule>
    <cfRule type="cellIs" dxfId="425" priority="619" operator="between">
      <formula>-0.1</formula>
      <formula>-5</formula>
    </cfRule>
    <cfRule type="cellIs" dxfId="427" priority="620" operator="lessThan">
      <formula>0</formula>
    </cfRule>
    <cfRule type="cellIs" dxfId="428" priority="621" operator="greaterThan">
      <formula>0</formula>
    </cfRule>
  </conditionalFormatting>
  <conditionalFormatting sqref="NP10:NQ11">
    <cfRule type="cellIs" dxfId="427" priority="501" operator="lessThan">
      <formula>0</formula>
    </cfRule>
    <cfRule type="cellIs" dxfId="428" priority="502" operator="greaterThan">
      <formula>0</formula>
    </cfRule>
    <cfRule type="cellIs" dxfId="426" priority="503" operator="between">
      <formula>0.1</formula>
      <formula>5</formula>
    </cfRule>
    <cfRule type="cellIs" dxfId="425" priority="504" operator="between">
      <formula>-0.1</formula>
      <formula>-5</formula>
    </cfRule>
  </conditionalFormatting>
  <conditionalFormatting sqref="NX10:NY11">
    <cfRule type="cellIs" dxfId="427" priority="529" operator="lessThan">
      <formula>0</formula>
    </cfRule>
    <cfRule type="cellIs" dxfId="428" priority="530" operator="greaterThan">
      <formula>0</formula>
    </cfRule>
  </conditionalFormatting>
  <conditionalFormatting sqref="NY10:NY17 NY19:NY164">
    <cfRule type="cellIs" dxfId="425" priority="517" operator="between">
      <formula>-0.05</formula>
      <formula>-5</formula>
    </cfRule>
    <cfRule type="cellIs" dxfId="426" priority="518" operator="between">
      <formula>0.05</formula>
      <formula>20</formula>
    </cfRule>
  </conditionalFormatting>
  <conditionalFormatting sqref="CI12:CI17 CI19:CI163">
    <cfRule type="cellIs" dxfId="425" priority="933" operator="lessThan">
      <formula>0</formula>
    </cfRule>
  </conditionalFormatting>
  <conditionalFormatting sqref="CQ12:CQ17 CQ19:CQ164">
    <cfRule type="cellIs" dxfId="427" priority="912" operator="lessThan">
      <formula>0</formula>
    </cfRule>
    <cfRule type="cellIs" dxfId="428" priority="913" operator="greaterThan">
      <formula>0</formula>
    </cfRule>
  </conditionalFormatting>
  <conditionalFormatting sqref="CR12:CR17 CR19:CR164">
    <cfRule type="cellIs" dxfId="427" priority="914" operator="lessThan">
      <formula>0</formula>
    </cfRule>
    <cfRule type="cellIs" dxfId="428" priority="915" operator="greaterThan">
      <formula>0</formula>
    </cfRule>
    <cfRule type="cellIs" dxfId="426" priority="916" operator="greaterThan">
      <formula>0.2</formula>
    </cfRule>
    <cfRule type="cellIs" dxfId="431" priority="917" operator="greaterThan">
      <formula>0.1</formula>
    </cfRule>
  </conditionalFormatting>
  <conditionalFormatting sqref="F18:G18 N18:O18 V18:W18 AD18:AE18 AL18:AM18 AT18:AU18">
    <cfRule type="cellIs" dxfId="427" priority="41" operator="lessThan">
      <formula>0</formula>
    </cfRule>
    <cfRule type="cellIs" dxfId="428" priority="42" operator="greaterThan">
      <formula>0</formula>
    </cfRule>
  </conditionalFormatting>
  <conditionalFormatting sqref="G18 O18 W18 AE18 AM18 AU18">
    <cfRule type="cellIs" dxfId="425" priority="39" operator="between">
      <formula>-0.2</formula>
      <formula>-0.05</formula>
    </cfRule>
    <cfRule type="cellIs" dxfId="426" priority="40" operator="between">
      <formula>0.05</formula>
      <formula>1.5</formula>
    </cfRule>
  </conditionalFormatting>
  <conditionalFormatting sqref="G18:H18 O18:P18 W18:X18 AE18:AF18 AM18:AN18 AU18:AV18">
    <cfRule type="cellIs" dxfId="425" priority="25" operator="between">
      <formula>-10</formula>
      <formula>-0.1</formula>
    </cfRule>
    <cfRule type="cellIs" dxfId="426" priority="26" operator="between">
      <formula>0.1</formula>
      <formula>5</formula>
    </cfRule>
  </conditionalFormatting>
  <conditionalFormatting sqref="H18 P18 X18 AF18 AN18 AV18">
    <cfRule type="cellIs" dxfId="425" priority="37" operator="lessThan">
      <formula>-0.5</formula>
    </cfRule>
    <cfRule type="cellIs" dxfId="426" priority="38" operator="greaterThan">
      <formula>0.5</formula>
    </cfRule>
  </conditionalFormatting>
  <conditionalFormatting sqref="H18:I18 P18:Q18 X18:Y18 AF18:AG18 AN18:AO18 AV18:AW18 BE18:BF18">
    <cfRule type="cellIs" dxfId="427" priority="11" operator="lessThan">
      <formula>0</formula>
    </cfRule>
    <cfRule type="cellIs" dxfId="428" priority="12" operator="greaterThan">
      <formula>0</formula>
    </cfRule>
  </conditionalFormatting>
  <conditionalFormatting sqref="H18 P18 X18 AF18 AN18 AV18 BE18">
    <cfRule type="cellIs" dxfId="425" priority="9" operator="between">
      <formula>-0.08</formula>
      <formula>-5</formula>
    </cfRule>
    <cfRule type="cellIs" dxfId="426" priority="10" operator="between">
      <formula>0.08</formula>
      <formula>10</formula>
    </cfRule>
  </conditionalFormatting>
  <conditionalFormatting sqref="I18 Q18 Y18 AG18 AO18 AW18">
    <cfRule type="cellIs" dxfId="425" priority="7" operator="between">
      <formula>-0.16</formula>
      <formula>-5</formula>
    </cfRule>
    <cfRule type="cellIs" dxfId="426" priority="8" operator="between">
      <formula>0.16</formula>
      <formula>10</formula>
    </cfRule>
  </conditionalFormatting>
  <conditionalFormatting sqref="X18 AF18 AN18 AV18">
    <cfRule type="cellIs" dxfId="426" priority="27" operator="between">
      <formula>0.2</formula>
      <formula>50</formula>
    </cfRule>
    <cfRule type="cellIs" dxfId="425" priority="28" operator="between">
      <formula>-1</formula>
      <formula>-0.2</formula>
    </cfRule>
    <cfRule type="cellIs" dxfId="427" priority="29" operator="lessThan">
      <formula>0</formula>
    </cfRule>
    <cfRule type="cellIs" dxfId="428" priority="30" operator="greaterThan">
      <formula>0</formula>
    </cfRule>
  </conditionalFormatting>
  <conditionalFormatting sqref="BK18:BL18 BS18:BT18 CA18:CB18 CI18:CJ18 CQ18:CR18 CY18:CZ18 DG18:DH18 DO18:DP18 DW18:DX18 EE18:EF18 EM18:EN18 FC18:FD18 FK18:FL18 FS18:FT18 GA18:GB18 GI18:GJ18 GQ18:GR18 GY18:GZ18 HG18:HH18 HO18:HP18 HW18:HX18 IE18:IF18 IM18:IN18 IU18:IV18 JC18:JD18 JK18:JL18 JS18:JT18 KA18:KB18 KI18:KJ18 KQ18:KR18 KY18:KZ18 LG18:LH18 LO18:LP18 LW18:LX18 ME18:MF18 OF18:OG18 ON18:OO18">
    <cfRule type="cellIs" dxfId="427" priority="100" operator="lessThan">
      <formula>0</formula>
    </cfRule>
    <cfRule type="cellIs" dxfId="428" priority="101" operator="greaterThan">
      <formula>0</formula>
    </cfRule>
  </conditionalFormatting>
  <conditionalFormatting sqref="BL18 BT18 CB18 CJ18 CR18 CZ18 DH18 DP18 DX18 EF18 EN18 FD18 FL18 FT18 GB18 GJ18 GR18 GZ18 HH18 HP18 HX18 IF18 IN18 IV18 JD18 JL18 JT18 KB18 KJ18 KR18 KZ18 LH18 LP18 LX18 MF18 OG18 OO18">
    <cfRule type="cellIs" dxfId="425" priority="98" operator="between">
      <formula>-3</formula>
      <formula>-0.1</formula>
    </cfRule>
    <cfRule type="cellIs" dxfId="426" priority="99" operator="between">
      <formula>0.1</formula>
      <formula>3</formula>
    </cfRule>
  </conditionalFormatting>
  <conditionalFormatting sqref="BM18 BU18 CC18 CK18 CS18 DA18 DI18 DQ18 DY18 EG18 EO18 EW18 FE18:FF18 FM18:FN18 FU18 GC18 GK18 GS18 HA18 HI18 HQ18 HY18 IG18 IO18">
    <cfRule type="cellIs" dxfId="427" priority="92" operator="lessThan">
      <formula>0</formula>
    </cfRule>
    <cfRule type="cellIs" dxfId="428" priority="93" operator="greaterThan">
      <formula>0</formula>
    </cfRule>
  </conditionalFormatting>
  <conditionalFormatting sqref="BM18:BN18 BU18 CC18 CK18 CS18 DA18:DB18 DI18 DQ18 DY18 EG18 EO18 EW18 FE18:FF18 FM18:FN18 FU18:FV18 GC18:GD18 GK18:GL18 GS18:GT18 HA18:HB18 HI18:HJ18 HQ18:HR18 HY18:HZ18 IG18:IH18 IO18:IP18 IW18:IX18 JE18:JF18 JM18:JN18 JU18:JV18 KC18:KD18 KK18:KL18 KS18:KT18 LA18:LB18 LI18:LJ18 LQ18:LR18 LY18:LZ18 MG18:MI18 MQ18:MR18 MZ18:NA18 NI18:NK18 NR18 OH18:OI18">
    <cfRule type="cellIs" dxfId="427" priority="65" operator="lessThan">
      <formula>0</formula>
    </cfRule>
    <cfRule type="cellIs" dxfId="428" priority="66" operator="greaterThan">
      <formula>0</formula>
    </cfRule>
  </conditionalFormatting>
  <conditionalFormatting sqref="BM18 BU18 CC18 CK18 CS18 DA18 DI18 DQ18 DY18 EG18 EO18 EW18 FE18:FF18 FM18 FU18 GC18 GK18 GS18 HA18 HI18 HQ18 HY18 IG18 IO18 IW18 JE18 JM18:JN18 JU18:JV18 KC18:KD18 KK18 KS18 LA18 LI18 LQ18 LY18 MG18 MY18 NH18 OH18 OP18">
    <cfRule type="cellIs" dxfId="425" priority="63" operator="between">
      <formula>-0.08</formula>
      <formula>-5</formula>
    </cfRule>
    <cfRule type="cellIs" dxfId="426" priority="64" operator="between">
      <formula>0.08</formula>
      <formula>20</formula>
    </cfRule>
  </conditionalFormatting>
  <conditionalFormatting sqref="BN18 DB18 FN18 FV18 GD18 GL18 GT18 HB18 HJ18 HR18 HZ18 IH18 IP18 IX18 JF18 KL18 KT18 LB18 LJ18 LR18 LZ18 MH18 MQ18 MZ18 NI18 OI18 OQ18">
    <cfRule type="cellIs" dxfId="425" priority="61" operator="between">
      <formula>-0.16</formula>
      <formula>-5</formula>
    </cfRule>
    <cfRule type="cellIs" dxfId="426" priority="62" operator="between">
      <formula>0.16</formula>
      <formula>20</formula>
    </cfRule>
  </conditionalFormatting>
  <conditionalFormatting sqref="IW18 JE18 JM18:JN18 JU18:JV18 KC18:KD18 KK18 KS18 LA18 LI18 LQ18 LY18 MG18 OH18">
    <cfRule type="cellIs" dxfId="427" priority="90" operator="lessThan">
      <formula>0</formula>
    </cfRule>
    <cfRule type="cellIs" dxfId="428" priority="91" operator="greaterThan">
      <formula>0</formula>
    </cfRule>
  </conditionalFormatting>
  <conditionalFormatting sqref="CI94:CJ163">
    <cfRule type="cellIs" dxfId="432" priority="920" operator="greaterThan">
      <formula>0</formula>
    </cfRule>
    <cfRule type="cellIs" dxfId="433" priority="921" operator="greaterThan">
      <formula>0</formula>
    </cfRule>
    <cfRule type="cellIs" dxfId="434" priority="922" operator="greaterThan">
      <formula>0</formula>
    </cfRule>
    <cfRule type="cellIs" dxfId="428" priority="923" operator="greaterThan">
      <formula>0</formula>
    </cfRule>
    <cfRule type="cellIs" dxfId="427" priority="924" operator="lessThan">
      <formula>0</formula>
    </cfRule>
  </conditionalFormatting>
  <hyperlinks>
    <hyperlink ref="DC1" r:id="rId2" display="159516 半导体设备ETF" tooltip="http://fund.eastmoney.com/159516.html"/>
    <hyperlink ref="AR100" r:id="rId3" display="1992745.49" tooltip="https://fund.szse.cn/marketdata/fundslist/javascript:void(0);"/>
    <hyperlink ref="AS100" r:id="rId3" display="2069045.49" tooltip="https://fund.szse.cn/marketdata/fundslist/javascript:void(0);"/>
    <hyperlink ref="AR101" r:id="rId3" display="2069045.49" tooltip="https://fund.szse.cn/marketdata/fundslist/javascript:void(0);"/>
    <hyperlink ref="BI101" r:id="rId3" display="992726.55" tooltip="https://fund.szse.cn/marketdata/fundslist/javascript:void(0);"/>
    <hyperlink ref="BQ101" r:id="rId3" display="1543662.39" tooltip="https://fund.szse.cn/marketdata/fundslist/javascript:void(0);"/>
    <hyperlink ref="DE101" r:id="rId3" display="2070917.98" tooltip="https://fund.szse.cn/marketdata/fundslist/javascript:void(0);"/>
    <hyperlink ref="EK101" r:id="rId3" display="1576322.96" tooltip="https://fund.szse.cn/marketdata/fundslist/javascript:void(0);"/>
  </hyperlinks>
  <pageMargins left="0.75" right="0.75" top="1" bottom="1" header="0.5" footer="0.5"/>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行业etf数据02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40574</dc:creator>
  <cp:lastModifiedBy>一二（71cm）</cp:lastModifiedBy>
  <dcterms:created xsi:type="dcterms:W3CDTF">2025-06-19T20:43:00Z</dcterms:created>
  <dcterms:modified xsi:type="dcterms:W3CDTF">2026-06-10T08:25:56Z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18F2B917003D4D56A0BB05EED9BB9BD4_13</vt:lpwstr>
  </property>
  <property fmtid="{D5CDD505-2E9C-101B-9397-08002B2CF9AE}" pid="3" name="KSOProductBuildVer">
    <vt:lpwstr>2052-12.1.0.26895</vt:lpwstr>
  </property>
  <property fmtid="{D5CDD505-2E9C-101B-9397-08002B2CF9AE}" pid="4" name="CalculationRule">
    <vt:i4>0</vt:i4>
  </property>
  <property fmtid="{D5CDD505-2E9C-101B-9397-08002B2CF9AE}" pid="5" name="KSOReadingLayout">
    <vt:bool>false</vt:bool>
  </property>
</Properties>
</file>